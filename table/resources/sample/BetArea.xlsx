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94"/>
  </bookViews>
  <sheets>
    <sheet name="BetArea" sheetId="21" r:id="rId1"/>
  </sheets>
  <definedNames>
    <definedName name="_xlnm._FilterDatabase" localSheetId="0" hidden="1">BetArea!$C$1:$C$70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chuge</author>
    <author>g8s8chenkaijia</author>
  </authors>
  <commentList>
    <comment ref="A1" authorId="0">
      <text>
        <r>
          <rPr>
            <sz val="9"/>
            <rFont val="宋体"/>
            <charset val="134"/>
          </rPr>
          <t>游戏ID*100+2位数 = 游戏押注区域ID
比如 200400*100+1 = 奔驰宝马游戏中的第一个押注区域-宝马</t>
        </r>
      </text>
    </comment>
    <comment ref="E1" authorId="1">
      <text>
        <r>
          <rPr>
            <sz val="9"/>
            <rFont val="宋体"/>
            <charset val="134"/>
          </rPr>
          <t>0表示无下注区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计算有效下注时使用</t>
        </r>
      </text>
    </comment>
    <comment ref="G1" authorId="0">
      <text>
        <r>
          <rPr>
            <sz val="9"/>
            <rFont val="宋体"/>
            <charset val="134"/>
          </rPr>
          <t>系统下注上限:房间底注倍率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当前场次最大押注的倍数
总下注上限金额 = 上限倍数 * 场次最大押注金额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用于展示赔付和特殊中奖类型中的通赔调用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0：不返回
返还 填具体值*100</t>
        </r>
      </text>
    </comment>
    <comment ref="L1" authorId="2">
      <text>
        <r>
          <rPr>
            <sz val="9"/>
            <rFont val="宋体"/>
            <charset val="134"/>
          </rPr>
          <t xml:space="preserve">下注前置区域:
下注当前区域时, 需要先下注该列表区域中的某一个
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用于计算庄家赔付上限</t>
        </r>
      </text>
    </comment>
  </commentList>
</comments>
</file>

<file path=xl/sharedStrings.xml><?xml version="1.0" encoding="utf-8"?>
<sst xmlns="http://schemas.openxmlformats.org/spreadsheetml/2006/main" count="789" uniqueCount="321">
  <si>
    <t>下注区域ID</t>
  </si>
  <si>
    <t>游戏ID</t>
  </si>
  <si>
    <t>游戏名称</t>
  </si>
  <si>
    <t>下注区位置名称</t>
  </si>
  <si>
    <t>下注区位置</t>
  </si>
  <si>
    <t>互斥组ID</t>
  </si>
  <si>
    <t>总下注上限倍数</t>
  </si>
  <si>
    <t>总下注上限倍数-个人</t>
  </si>
  <si>
    <t>基础赔付倍数</t>
  </si>
  <si>
    <t>基础返还下注比例</t>
  </si>
  <si>
    <t>对应开奖位置列表</t>
  </si>
  <si>
    <t>下注前置区域</t>
  </si>
  <si>
    <t>当前区域最大赔付倍数</t>
  </si>
  <si>
    <t>描述</t>
  </si>
  <si>
    <t>列1</t>
  </si>
  <si>
    <t>int</t>
  </si>
  <si>
    <t>list&lt;int&gt;{,}</t>
  </si>
  <si>
    <t>id</t>
  </si>
  <si>
    <t>gameID</t>
  </si>
  <si>
    <t>areaID</t>
  </si>
  <si>
    <t>repulsionID</t>
  </si>
  <si>
    <t>tbUpperLimit</t>
  </si>
  <si>
    <t>tbPlayerUpperLimit</t>
  </si>
  <si>
    <t>baseBet</t>
  </si>
  <si>
    <t>baseReturnRate</t>
  </si>
  <si>
    <t>posWin</t>
  </si>
  <si>
    <t>preBetArea</t>
  </si>
  <si>
    <t>maxPetMultiplier</t>
  </si>
  <si>
    <t>红黑大战</t>
  </si>
  <si>
    <t>红赢</t>
  </si>
  <si>
    <t>200100001,200100007,200100008,200100009,200100010,200100011</t>
  </si>
  <si>
    <t>无</t>
  </si>
  <si>
    <t>黑赢</t>
  </si>
  <si>
    <t>200100012,200100018,200100019,200100020,200100021,200100022</t>
  </si>
  <si>
    <t>幸运一击</t>
  </si>
  <si>
    <t>200100002,200100003,200100004,200100005,200100006,200100013,200100014,200100015,200100016,200100017</t>
  </si>
  <si>
    <t>龙虎斗</t>
  </si>
  <si>
    <t>龙方</t>
  </si>
  <si>
    <t>200101001,200101003</t>
  </si>
  <si>
    <t>虎方</t>
  </si>
  <si>
    <t>200101002,200101003</t>
  </si>
  <si>
    <t>和</t>
  </si>
  <si>
    <t>200101004</t>
  </si>
  <si>
    <t>飞禽走兽</t>
  </si>
  <si>
    <t>燕子</t>
  </si>
  <si>
    <t>200300003,200300004,200300005</t>
  </si>
  <si>
    <t>鸽子</t>
  </si>
  <si>
    <t>200300001,200300002,2003000028</t>
  </si>
  <si>
    <t>飞禽</t>
  </si>
  <si>
    <t>200300029,200300030,200300031,200300032,200300033,200300046,200300047,200300048,200300049,200300050,200300051,200300052</t>
  </si>
  <si>
    <t>走兽</t>
  </si>
  <si>
    <t>200300034,200300035,200300036,200300037,200300038,200300039,200300040,200300041,200300042,200300043,200300044,200300045</t>
  </si>
  <si>
    <t>猴子</t>
  </si>
  <si>
    <t>200300010,200300011,200300012</t>
  </si>
  <si>
    <t>兔子</t>
  </si>
  <si>
    <t>200300007,200300008,200300009</t>
  </si>
  <si>
    <t>孔雀</t>
  </si>
  <si>
    <t>200300024,200300025,200300026</t>
  </si>
  <si>
    <t>鹰</t>
  </si>
  <si>
    <t>200300021,200300022,200300023</t>
  </si>
  <si>
    <t>金鲨</t>
  </si>
  <si>
    <t>200300006</t>
  </si>
  <si>
    <t>银鲨</t>
  </si>
  <si>
    <t>200300020</t>
  </si>
  <si>
    <t>狮子</t>
  </si>
  <si>
    <t>200300017,200300018,200300019</t>
  </si>
  <si>
    <t>熊猫</t>
  </si>
  <si>
    <t>200300014,200300015,200300016</t>
  </si>
  <si>
    <t>豪车俱乐部</t>
  </si>
  <si>
    <t>法拉利</t>
  </si>
  <si>
    <t>200400004,200400016</t>
  </si>
  <si>
    <t>保时捷</t>
  </si>
  <si>
    <t>200400010,200400022</t>
  </si>
  <si>
    <t>玛莎拉蒂</t>
  </si>
  <si>
    <t>200400001,200400013</t>
  </si>
  <si>
    <t>奔驰</t>
  </si>
  <si>
    <t>200400007,200400019</t>
  </si>
  <si>
    <t>宝马</t>
  </si>
  <si>
    <t>200400003,200400009,200400015,200400021</t>
  </si>
  <si>
    <t>凯迪拉克</t>
  </si>
  <si>
    <t>200400006,200400012,200400018,200400024</t>
  </si>
  <si>
    <t>大众</t>
  </si>
  <si>
    <t>200400005,200400011,200400017,200400023</t>
  </si>
  <si>
    <t>马自达</t>
  </si>
  <si>
    <t>200400002,200400008,200400014,200400020</t>
  </si>
  <si>
    <t>百家乐</t>
  </si>
  <si>
    <t>B Pair</t>
  </si>
  <si>
    <t>Tie</t>
  </si>
  <si>
    <t>P Pair</t>
  </si>
  <si>
    <t>Player</t>
  </si>
  <si>
    <t>Banker</t>
  </si>
  <si>
    <t>三个骰子</t>
  </si>
  <si>
    <t>200600001</t>
  </si>
  <si>
    <t>200600022</t>
  </si>
  <si>
    <t>200600037</t>
  </si>
  <si>
    <t>全围</t>
  </si>
  <si>
    <t>200600101,200600133,200600159,200600178,200600191,200600199</t>
  </si>
  <si>
    <t>200600047</t>
  </si>
  <si>
    <t>200600053</t>
  </si>
  <si>
    <t>200600056</t>
  </si>
  <si>
    <t>小</t>
  </si>
  <si>
    <t>200600103,200600105,200600107,200600109,200600111,200600113,200600115,200600116,200600117,200600118,200600119,200600121,200600122,200600123,200600124,200600126,200600136,200600137,200600139,200600141,200600143,200600145,200600147,200600148,200600150,200600162,200600163</t>
  </si>
  <si>
    <t>4点</t>
  </si>
  <si>
    <t>200600002</t>
  </si>
  <si>
    <t>5点</t>
  </si>
  <si>
    <t>200600003,200600007</t>
  </si>
  <si>
    <t>6点</t>
  </si>
  <si>
    <t>200600004,200600008,200600174</t>
  </si>
  <si>
    <t>7点</t>
  </si>
  <si>
    <t>200600005,200600009,200600012,200600023</t>
  </si>
  <si>
    <t>8点</t>
  </si>
  <si>
    <t>200600006,200600010,200600013,200600024,200600027</t>
  </si>
  <si>
    <t>9点</t>
  </si>
  <si>
    <t>200600011,200600014,200600016,200600025,200600028,200600160</t>
  </si>
  <si>
    <t>10点</t>
  </si>
  <si>
    <t>200600015,200600017,200600026,200600029,200600031,200600038</t>
  </si>
  <si>
    <t>11点</t>
  </si>
  <si>
    <t>200600018,200600019,200600030,200600032,200600039,200600041</t>
  </si>
  <si>
    <t>12点</t>
  </si>
  <si>
    <t>200600020,200600033,200600034,200600040,200600042,200600179</t>
  </si>
  <si>
    <t>13点</t>
  </si>
  <si>
    <t>200600021,200600035,200600043,200600044,200600048</t>
  </si>
  <si>
    <t>14点</t>
  </si>
  <si>
    <t>200600036,200600045,200600049,200600050</t>
  </si>
  <si>
    <t>15点</t>
  </si>
  <si>
    <t>200600046,200600051,200600192</t>
  </si>
  <si>
    <t>16点</t>
  </si>
  <si>
    <t>200600052,200600054</t>
  </si>
  <si>
    <t>17点</t>
  </si>
  <si>
    <t>200600055</t>
  </si>
  <si>
    <t>猜1</t>
  </si>
  <si>
    <t>200600102,200600104,200600106,200600108,200600110,200600112,200600113,200600115,200600116,200600117,200600118,200600119,200600121,200600122,200600123,200600124,200600126,200600127,200600128,200600130,200600131</t>
  </si>
  <si>
    <t>猜2</t>
  </si>
  <si>
    <t>200600103,200600114,200600115,200600116,200600117,200600118,200600135,200600138,200600140,200600142,200600144,200600145,200600147,200600148,200600149,200600150,200600152,200600153,200600154,200600156,200600157</t>
  </si>
  <si>
    <t>猜3</t>
  </si>
  <si>
    <t>200600105,200600115,200600120,200600121,200600122,200600123,200600137,200600146,200600147,200600148,200600149,200600161,200600164,200600166,200600168,200600169,200600171,200600172,200600173,200600175,200600176</t>
  </si>
  <si>
    <t>猜4</t>
  </si>
  <si>
    <t>200600107,200600116,200600121,200600125,200600126,200600127,200600139,200600147,200600151,200600152,200600153,200600163,200600170,200600171,200600172,200600180,200600183,200600185,200600186,200600188,200600189</t>
  </si>
  <si>
    <t>猜5</t>
  </si>
  <si>
    <t>200600109,200600117,200600122,200600126,200600129,200600130,200600141,200600148,200600152,200600155,200600156,200600165,200600171,200600174,200600175,200600182,200600187,200600188,200600193,200600196,200600197</t>
  </si>
  <si>
    <t>猜6</t>
  </si>
  <si>
    <t>200600111,200600118,200600123,200600127,200600130,200600132,200600143,200600149,200600153,200600156,200600158,200600167,200600172,200600175,200600177,200600184,200600188,200600190,200600195,200600198,200600200</t>
  </si>
  <si>
    <t>大</t>
  </si>
  <si>
    <t>200600127,200600128,200600130,200600131,200600149,200600152,200600153,200600154,200600156,200600157,200600165,200600167,200600169,200600171,200600172,200600173,200600175,200600176,200600181,200600182,200600184,200600186,200600188,200600189,200600194,200600195,200600197</t>
  </si>
  <si>
    <t>色碟</t>
  </si>
  <si>
    <t>四黑</t>
  </si>
  <si>
    <t>四红</t>
  </si>
  <si>
    <t>200700003</t>
  </si>
  <si>
    <t>双</t>
  </si>
  <si>
    <t>200700004,200700008,200700009</t>
  </si>
  <si>
    <t>单</t>
  </si>
  <si>
    <t>200700006,200700007</t>
  </si>
  <si>
    <t>3个黑</t>
  </si>
  <si>
    <t>200700001</t>
  </si>
  <si>
    <t>3个红</t>
  </si>
  <si>
    <t>200700002</t>
  </si>
  <si>
    <t>大小骰子</t>
  </si>
  <si>
    <t>200800111,200800112,200800113,200800114,200800115,200800116,200800122,200800123,200800124,200800125,200800126,200800133,200800134,200800135,200800136,200800144,200800145,200800222,200800223,200800224,200800225,200800226,200800233,200800234,200800235,200800244,200800333,200800334</t>
  </si>
  <si>
    <t>200800146,200800155,200800156,200800166,200800236,200800245,200800246,200800255,200800256,200800266,200800335,200800336,200800344,200800345,200800346,200800355,200800356,200800366,200800444,200800445,200800446,200800455,200800456,200800466,200800555,200800556,200800566,200800666</t>
  </si>
  <si>
    <t>鱼虾蟹</t>
  </si>
  <si>
    <t>梅花鹿</t>
  </si>
  <si>
    <t>200900001,200900002,200900003,200900004,200900005,200900006,200900008,200900009,200900010,200900011,200900013,200900014,200900015,200900017,200900018,200900020,200900062,200900063,200900064,200900065,200900066</t>
  </si>
  <si>
    <t>葫芦</t>
  </si>
  <si>
    <t>200900007,200900008,200900009,200900010,200900011,200900022,200900023,200900024,200900025,200900026,200900028,200900029,200900030,200900032,200900033,200900035,200900057,200900071,200900072,200900073,200900074</t>
  </si>
  <si>
    <t>鸡</t>
  </si>
  <si>
    <t>200900008,200900012,200900013,200900014,200900015,200900027,200900028,200900029,200900030,200900037,200900038,200900039,200900040,200900042,200900043,200900045,200900058,200900067,200900078,200900079,200900080</t>
  </si>
  <si>
    <t>鱼</t>
  </si>
  <si>
    <t>200900009,200900013,200900016,200900017,200900018,200900028,200900031,200900032,200900033,200900041,200900042,200900043,200900047,200900048,200900049,200900051,200900059,200900068,200900075,200900083,200900084</t>
  </si>
  <si>
    <t>螃蟹</t>
  </si>
  <si>
    <t>200900010,200900014,200900017,200900019,200900020,200900029,200900032,200900034,200900035,200900042,200900044,200900045,200900050,200900051,200900053,200900054,200900060,200900069,200900076,200900081,200900086</t>
  </si>
  <si>
    <t>虾</t>
  </si>
  <si>
    <t>200900011,200900015,200900018,200900020,200900021,200900030,200900033,200900035,200900036,200900043,200900045,200900046,200900051,200900052,200900055,200900056,200900061,200900070,200900077,200900082,200900085</t>
  </si>
  <si>
    <t>俄罗斯轮盘</t>
  </si>
  <si>
    <t>猜7</t>
  </si>
  <si>
    <t>猜8</t>
  </si>
  <si>
    <t>猜9</t>
  </si>
  <si>
    <t>猜10</t>
  </si>
  <si>
    <t>猜11</t>
  </si>
  <si>
    <t>猜12</t>
  </si>
  <si>
    <t>猜13</t>
  </si>
  <si>
    <t>猜14</t>
  </si>
  <si>
    <t>猜15</t>
  </si>
  <si>
    <t>猜16</t>
  </si>
  <si>
    <t>猜17</t>
  </si>
  <si>
    <t>猜18</t>
  </si>
  <si>
    <t>猜19</t>
  </si>
  <si>
    <t>猜20</t>
  </si>
  <si>
    <t>猜21</t>
  </si>
  <si>
    <t>猜22</t>
  </si>
  <si>
    <t>猜23</t>
  </si>
  <si>
    <t>猜24</t>
  </si>
  <si>
    <t>猜25</t>
  </si>
  <si>
    <t>猜26</t>
  </si>
  <si>
    <t>猜27</t>
  </si>
  <si>
    <t>猜28</t>
  </si>
  <si>
    <t>猜29</t>
  </si>
  <si>
    <t>猜30</t>
  </si>
  <si>
    <t>猜31</t>
  </si>
  <si>
    <t>猜32</t>
  </si>
  <si>
    <t>猜33</t>
  </si>
  <si>
    <t>猜34</t>
  </si>
  <si>
    <t>猜35</t>
  </si>
  <si>
    <t>猜36</t>
  </si>
  <si>
    <t>猜0</t>
  </si>
  <si>
    <t>0&amp;1</t>
  </si>
  <si>
    <t>0&amp;2</t>
  </si>
  <si>
    <t>0&amp;3</t>
  </si>
  <si>
    <t>1&amp;2</t>
  </si>
  <si>
    <t>1&amp;4</t>
  </si>
  <si>
    <t>2&amp;3</t>
  </si>
  <si>
    <t>2&amp;5</t>
  </si>
  <si>
    <t>3&amp;6</t>
  </si>
  <si>
    <t>4&amp;5</t>
  </si>
  <si>
    <t>4&amp;7</t>
  </si>
  <si>
    <t>5&amp;6</t>
  </si>
  <si>
    <t>5&amp;8</t>
  </si>
  <si>
    <t>6&amp;9</t>
  </si>
  <si>
    <t>7&amp;8</t>
  </si>
  <si>
    <t>7&amp;10</t>
  </si>
  <si>
    <t>8&amp;9</t>
  </si>
  <si>
    <t>8&amp;11</t>
  </si>
  <si>
    <t>9&amp;12</t>
  </si>
  <si>
    <t>10&amp;11</t>
  </si>
  <si>
    <t>10&amp;13</t>
  </si>
  <si>
    <t>11&amp;12</t>
  </si>
  <si>
    <t>11&amp;14</t>
  </si>
  <si>
    <t>12&amp;15</t>
  </si>
  <si>
    <t>13&amp;14</t>
  </si>
  <si>
    <t>13&amp;16</t>
  </si>
  <si>
    <t>14&amp;15</t>
  </si>
  <si>
    <t>14&amp;17</t>
  </si>
  <si>
    <t>15&amp;18</t>
  </si>
  <si>
    <t>16&amp;17</t>
  </si>
  <si>
    <t>16&amp;19</t>
  </si>
  <si>
    <t>17&amp;18</t>
  </si>
  <si>
    <t>17&amp;20</t>
  </si>
  <si>
    <t>18&amp;21</t>
  </si>
  <si>
    <t>19&amp;20</t>
  </si>
  <si>
    <t>19&amp;22</t>
  </si>
  <si>
    <t>20&amp;21</t>
  </si>
  <si>
    <t>20&amp;23</t>
  </si>
  <si>
    <t>21&amp;24</t>
  </si>
  <si>
    <t>22&amp;23</t>
  </si>
  <si>
    <t>22&amp;25</t>
  </si>
  <si>
    <t>23&amp;24</t>
  </si>
  <si>
    <t>23&amp;26</t>
  </si>
  <si>
    <t>24&amp;27</t>
  </si>
  <si>
    <t>25&amp;26</t>
  </si>
  <si>
    <t>25&amp;28</t>
  </si>
  <si>
    <t>26&amp;27</t>
  </si>
  <si>
    <t>26&amp;29</t>
  </si>
  <si>
    <t>27&amp;30</t>
  </si>
  <si>
    <t>28&amp;29</t>
  </si>
  <si>
    <t>28&amp;31</t>
  </si>
  <si>
    <t>29&amp;30</t>
  </si>
  <si>
    <t>29&amp;32</t>
  </si>
  <si>
    <t>30&amp;33</t>
  </si>
  <si>
    <t>31&amp;32</t>
  </si>
  <si>
    <t>31&amp;34</t>
  </si>
  <si>
    <t>32&amp;33</t>
  </si>
  <si>
    <t>32&amp;35</t>
  </si>
  <si>
    <t>33&amp;36</t>
  </si>
  <si>
    <t>34&amp;35</t>
  </si>
  <si>
    <t>35&amp;36</t>
  </si>
  <si>
    <t>0&amp;1&amp;2</t>
  </si>
  <si>
    <t>0&amp;2&amp;3</t>
  </si>
  <si>
    <t>1&amp;2&amp;3</t>
  </si>
  <si>
    <t>4&amp;5&amp;6</t>
  </si>
  <si>
    <t>7&amp;8&amp;9</t>
  </si>
  <si>
    <t>10&amp;11&amp;12</t>
  </si>
  <si>
    <t>13&amp;14&amp;15</t>
  </si>
  <si>
    <t>16&amp;17&amp;18</t>
  </si>
  <si>
    <t>19&amp;20&amp;21</t>
  </si>
  <si>
    <t>22&amp;23&amp;24</t>
  </si>
  <si>
    <t>25&amp;26&amp;27</t>
  </si>
  <si>
    <t>28&amp;29&amp;30</t>
  </si>
  <si>
    <t>31&amp;32&amp;33</t>
  </si>
  <si>
    <t>34&amp;35&amp;36</t>
  </si>
  <si>
    <t>1&amp;2&amp;4&amp;5</t>
  </si>
  <si>
    <t>2&amp;3&amp;5&amp;6</t>
  </si>
  <si>
    <t>4&amp;5&amp;7&amp;8</t>
  </si>
  <si>
    <t>5&amp;6&amp;8&amp;9</t>
  </si>
  <si>
    <t>7&amp;8&amp;10&amp;11</t>
  </si>
  <si>
    <t>8&amp;9&amp;11&amp;12</t>
  </si>
  <si>
    <t>10&amp;11&amp;13&amp;14</t>
  </si>
  <si>
    <t>11&amp;12&amp;14&amp;15</t>
  </si>
  <si>
    <t>13&amp;14&amp;16&amp;17</t>
  </si>
  <si>
    <t>14&amp;15&amp;17&amp;18</t>
  </si>
  <si>
    <t>16&amp;17&amp;19&amp;20</t>
  </si>
  <si>
    <t>17&amp;18&amp;20&amp;21</t>
  </si>
  <si>
    <t>19&amp;20&amp;22&amp;23</t>
  </si>
  <si>
    <t>20&amp;21&amp;23&amp;24</t>
  </si>
  <si>
    <t>22&amp;23&amp;25&amp;26</t>
  </si>
  <si>
    <t>23&amp;24&amp;26&amp;27</t>
  </si>
  <si>
    <t>25&amp;26&amp;28&amp;29</t>
  </si>
  <si>
    <t>26&amp;27&amp;29&amp;30</t>
  </si>
  <si>
    <t>28&amp;29&amp;31&amp;32</t>
  </si>
  <si>
    <t>29&amp;30&amp;32&amp;33</t>
  </si>
  <si>
    <t>31&amp;32&amp;34&amp;35</t>
  </si>
  <si>
    <t>32&amp;33&amp;35&amp;36</t>
  </si>
  <si>
    <t>1&amp;2&amp;3&amp;4&amp;5&amp;6</t>
  </si>
  <si>
    <t>4&amp;5&amp;6&amp;7&amp;8&amp;9</t>
  </si>
  <si>
    <t>7&amp;8&amp;9&amp;10&amp;11&amp;12</t>
  </si>
  <si>
    <t>10&amp;11&amp;12&amp;13&amp;14&amp;15</t>
  </si>
  <si>
    <t>13&amp;14&amp;15&amp;16&amp;17&amp;18</t>
  </si>
  <si>
    <t>16&amp;17&amp;18&amp;19&amp;20&amp;21</t>
  </si>
  <si>
    <t>19&amp;20&amp;21&amp;22&amp;23&amp;24</t>
  </si>
  <si>
    <t>22&amp;23&amp;24&amp;25&amp;26&amp;27</t>
  </si>
  <si>
    <t>25&amp;26&amp;27&amp;28&amp;29&amp;30</t>
  </si>
  <si>
    <t>28&amp;29&amp;30&amp;31&amp;32&amp;33</t>
  </si>
  <si>
    <t>31&amp;32&amp;33&amp;34&amp;35&amp;36</t>
  </si>
  <si>
    <t>奇数赢</t>
  </si>
  <si>
    <t>偶数赢</t>
  </si>
  <si>
    <t>大赢</t>
  </si>
  <si>
    <t>小赢</t>
  </si>
  <si>
    <t>1至12</t>
  </si>
  <si>
    <t>13至24</t>
  </si>
  <si>
    <t>25至36</t>
  </si>
  <si>
    <t>1+3n（0≤n≤11的整数）</t>
  </si>
  <si>
    <t>2+3n（0≤n≤11的整数）</t>
  </si>
  <si>
    <t>3+3n（0≤n≤11的整数）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</si>
</sst>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7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</cellStyleXfs>
  <cellXfs count="19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50" applyFont="1" applyAlignment="1">
      <alignment horizontal="center" vertical="center"/>
    </xf>
    <xf numFmtId="0" fontId="2" fillId="0" borderId="0" xfId="0" applyFont="1" applyAlignment="1">
      <alignment horizontal="center"/>
    </xf>
    <xf numFmtId="176" fontId="2" fillId="0" borderId="0" xfId="50" applyNumberFormat="1" applyFont="1" applyAlignment="1">
      <alignment horizontal="center" vertical="center"/>
    </xf>
    <xf numFmtId="0" fontId="3" fillId="2" borderId="0" xfId="56" applyFont="1" applyFill="1" applyAlignment="1">
      <alignment horizontal="center" vertical="center"/>
    </xf>
    <xf numFmtId="0" fontId="1" fillId="3" borderId="0" xfId="56" applyFont="1" applyFill="1" applyAlignment="1">
      <alignment horizontal="center" vertical="center"/>
    </xf>
    <xf numFmtId="0" fontId="3" fillId="4" borderId="0" xfId="56" applyFont="1" applyFill="1" applyAlignment="1">
      <alignment horizontal="center" vertical="center"/>
    </xf>
    <xf numFmtId="176" fontId="1" fillId="5" borderId="0" xfId="56" applyNumberFormat="1" applyFont="1" applyFill="1" applyAlignment="1">
      <alignment horizontal="center" vertical="center"/>
    </xf>
    <xf numFmtId="0" fontId="1" fillId="4" borderId="0" xfId="56" applyFont="1" applyFill="1" applyAlignment="1">
      <alignment horizontal="center" vertical="center"/>
    </xf>
    <xf numFmtId="0" fontId="1" fillId="2" borderId="0" xfId="56" applyFont="1" applyFill="1" applyAlignment="1">
      <alignment horizontal="center" vertical="center"/>
    </xf>
    <xf numFmtId="0" fontId="2" fillId="0" borderId="0" xfId="52" applyFont="1" applyAlignment="1">
      <alignment horizontal="center" vertical="center"/>
    </xf>
    <xf numFmtId="0" fontId="2" fillId="0" borderId="0" xfId="50" applyNumberFormat="1" applyFont="1" applyAlignment="1">
      <alignment horizontal="left" vertical="center"/>
    </xf>
    <xf numFmtId="0" fontId="2" fillId="0" borderId="0" xfId="5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/>
    </xf>
    <xf numFmtId="49" fontId="2" fillId="0" borderId="0" xfId="50" applyNumberFormat="1" applyFont="1" applyAlignment="1">
      <alignment horizontal="left" vertical="center"/>
    </xf>
    <xf numFmtId="0" fontId="2" fillId="0" borderId="0" xfId="50" applyFont="1" applyFill="1" applyAlignment="1">
      <alignment horizontal="center" vertical="center"/>
    </xf>
    <xf numFmtId="176" fontId="2" fillId="0" borderId="0" xfId="50" applyNumberFormat="1" applyFont="1" applyFill="1" applyAlignment="1">
      <alignment horizontal="center" vertical="center"/>
    </xf>
    <xf numFmtId="58" fontId="2" fillId="0" borderId="0" xfId="50" applyNumberFormat="1" applyFont="1" applyAlignment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dxfs count="9"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numFmt numFmtId="176" formatCode="0_ "/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name val="微软雅黑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 vertical="center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表3" displayName="表3" ref="B1:O78" totalsRowShown="0">
  <autoFilter xmlns:etc="http://www.wps.cn/officeDocument/2017/etCustomData" ref="B1:O78" etc:filterBottomFollowUsedRange="0"/>
  <tableColumns count="14">
    <tableColumn id="1" name="游戏ID" dataDxfId="0"/>
    <tableColumn id="2" name="游戏名称" dataDxfId="1">
      <calculatedColumnFormula>IFERROR(IF(B:B=0,"公共",VLOOKUP(B:B,#REF!,2,0))&amp;"","游戏不存在")</calculatedColumnFormula>
    </tableColumn>
    <tableColumn id="3" name="下注区位置名称" dataDxfId="2"/>
    <tableColumn id="8" name="下注区位置"/>
    <tableColumn id="4" name="互斥组ID" dataDxfId="3"/>
    <tableColumn id="9" name="总下注上限倍数"/>
    <tableColumn id="10" name="总下注上限倍数-个人"/>
    <tableColumn id="13" name="基础赔付倍数"/>
    <tableColumn id="14" name="基础返还下注比例"/>
    <tableColumn id="5" name="对应开奖位置列表" dataDxfId="4"/>
    <tableColumn id="6" name="下注前置区域" dataDxfId="5"/>
    <tableColumn id="11" name="当前区域最大赔付倍数"/>
    <tableColumn id="7" name="描述" dataDxfId="6"/>
    <tableColumn id="12" name="列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7" tint="0.397839289529099"/>
  </sheetPr>
  <dimension ref="A1:O234"/>
  <sheetViews>
    <sheetView tabSelected="1" zoomScale="90" zoomScaleNormal="90" workbookViewId="0">
      <pane ySplit="4" topLeftCell="A175" activePane="bottomLeft" state="frozen"/>
      <selection/>
      <selection pane="bottomLeft" activeCell="I189" sqref="I189"/>
    </sheetView>
  </sheetViews>
  <sheetFormatPr defaultColWidth="9" defaultRowHeight="16.5"/>
  <cols>
    <col min="1" max="1" width="11.625" style="2"/>
    <col min="2" max="2" width="11.5" style="2" customWidth="1"/>
    <col min="3" max="3" width="20.625" style="3" customWidth="1"/>
    <col min="4" max="4" width="15" style="2" customWidth="1"/>
    <col min="5" max="5" width="10.875" style="2" customWidth="1"/>
    <col min="6" max="6" width="12" style="4" customWidth="1"/>
    <col min="7" max="7" width="17.25" style="4" customWidth="1"/>
    <col min="8" max="10" width="20" style="4" customWidth="1"/>
    <col min="11" max="11" width="23.05" style="2" customWidth="1"/>
    <col min="12" max="13" width="21.375" style="2" customWidth="1"/>
    <col min="14" max="14" width="17.875" style="2" customWidth="1"/>
    <col min="15" max="16384" width="9" style="2"/>
  </cols>
  <sheetData>
    <row r="1" s="1" customFormat="1" spans="1:15">
      <c r="A1" s="1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0" t="s">
        <v>10</v>
      </c>
      <c r="L1" s="6" t="s">
        <v>11</v>
      </c>
      <c r="M1" s="6" t="s">
        <v>12</v>
      </c>
      <c r="N1" s="1" t="s">
        <v>13</v>
      </c>
      <c r="O1" s="1" t="s">
        <v>14</v>
      </c>
    </row>
    <row r="2" s="1" customFormat="1" spans="1:15">
      <c r="A2" s="1" t="s">
        <v>15</v>
      </c>
      <c r="B2" s="2" t="s">
        <v>15</v>
      </c>
      <c r="C2" s="3"/>
      <c r="D2" s="2"/>
      <c r="E2" s="2" t="s">
        <v>15</v>
      </c>
      <c r="F2" s="4" t="s">
        <v>15</v>
      </c>
      <c r="G2" s="4" t="s">
        <v>15</v>
      </c>
      <c r="H2" s="4" t="s">
        <v>15</v>
      </c>
      <c r="I2" s="4" t="s">
        <v>15</v>
      </c>
      <c r="J2" s="11" t="s">
        <v>15</v>
      </c>
      <c r="K2" s="4" t="s">
        <v>16</v>
      </c>
      <c r="L2" s="4" t="s">
        <v>16</v>
      </c>
      <c r="M2" s="4" t="s">
        <v>15</v>
      </c>
    </row>
    <row r="3" s="1" customFormat="1" spans="1:15">
      <c r="A3" s="1" t="s">
        <v>17</v>
      </c>
      <c r="B3" s="2" t="s">
        <v>18</v>
      </c>
      <c r="C3" s="3"/>
      <c r="D3" s="2"/>
      <c r="E3" s="2" t="s">
        <v>19</v>
      </c>
      <c r="F3" s="4" t="s">
        <v>20</v>
      </c>
      <c r="G3" s="4" t="s">
        <v>21</v>
      </c>
      <c r="H3" s="4" t="s">
        <v>22</v>
      </c>
      <c r="I3" s="11" t="s">
        <v>23</v>
      </c>
      <c r="J3" s="11" t="s">
        <v>24</v>
      </c>
      <c r="K3" s="2" t="s">
        <v>25</v>
      </c>
      <c r="L3" s="2" t="s">
        <v>26</v>
      </c>
      <c r="M3" s="2" t="s">
        <v>27</v>
      </c>
    </row>
    <row r="4" s="1" customFormat="1" spans="1:15">
      <c r="B4" s="2"/>
      <c r="C4" s="3"/>
      <c r="D4" s="2"/>
      <c r="E4" s="2"/>
      <c r="F4" s="4"/>
      <c r="G4" s="4"/>
      <c r="H4" s="4"/>
      <c r="I4" s="4"/>
      <c r="J4" s="4"/>
      <c r="K4" s="2"/>
      <c r="L4" s="2"/>
      <c r="M4" s="2"/>
    </row>
    <row r="5" spans="1:15">
      <c r="A5" s="2">
        <f t="shared" ref="A5:A10" si="0">B5*100+E5</f>
        <v>20010001</v>
      </c>
      <c r="B5" s="3">
        <v>200100</v>
      </c>
      <c r="C5" s="3" t="s">
        <v>28</v>
      </c>
      <c r="D5" s="2" t="s">
        <v>29</v>
      </c>
      <c r="E5" s="2">
        <v>1</v>
      </c>
      <c r="F5" s="2">
        <v>20010002</v>
      </c>
      <c r="G5" s="4">
        <v>100</v>
      </c>
      <c r="H5" s="4">
        <v>20</v>
      </c>
      <c r="K5" s="12" t="s">
        <v>30</v>
      </c>
      <c r="M5" s="2">
        <v>100</v>
      </c>
      <c r="N5" s="2" t="s">
        <v>31</v>
      </c>
    </row>
    <row r="6" spans="1:15">
      <c r="A6" s="2">
        <f t="shared" si="0"/>
        <v>20010002</v>
      </c>
      <c r="B6" s="3">
        <v>200100</v>
      </c>
      <c r="C6" s="3" t="s">
        <v>28</v>
      </c>
      <c r="D6" s="2" t="s">
        <v>32</v>
      </c>
      <c r="E6" s="2">
        <v>2</v>
      </c>
      <c r="F6" s="13">
        <v>20010001</v>
      </c>
      <c r="G6" s="4">
        <v>100</v>
      </c>
      <c r="H6" s="4">
        <v>20</v>
      </c>
      <c r="K6" s="12" t="s">
        <v>33</v>
      </c>
      <c r="M6" s="2">
        <v>100</v>
      </c>
      <c r="N6" s="2" t="s">
        <v>31</v>
      </c>
    </row>
    <row r="7" spans="1:15">
      <c r="A7" s="2">
        <f t="shared" si="0"/>
        <v>20010003</v>
      </c>
      <c r="B7" s="3">
        <v>200100</v>
      </c>
      <c r="C7" s="3" t="s">
        <v>28</v>
      </c>
      <c r="D7" s="2" t="s">
        <v>34</v>
      </c>
      <c r="E7" s="2">
        <v>3</v>
      </c>
      <c r="G7" s="4">
        <v>100</v>
      </c>
      <c r="H7" s="4">
        <v>20</v>
      </c>
      <c r="K7" s="12" t="s">
        <v>35</v>
      </c>
      <c r="M7" s="2">
        <v>1000</v>
      </c>
      <c r="N7" s="2" t="s">
        <v>31</v>
      </c>
    </row>
    <row r="8" spans="1:15">
      <c r="A8" s="2">
        <f t="shared" si="0"/>
        <v>20010101</v>
      </c>
      <c r="B8" s="14">
        <v>200101</v>
      </c>
      <c r="C8" s="14" t="s">
        <v>36</v>
      </c>
      <c r="D8" s="2" t="s">
        <v>37</v>
      </c>
      <c r="E8" s="2">
        <v>1</v>
      </c>
      <c r="F8" s="13">
        <v>20010102</v>
      </c>
      <c r="G8" s="4">
        <v>100</v>
      </c>
      <c r="H8" s="4">
        <v>20</v>
      </c>
      <c r="K8" s="15" t="s">
        <v>38</v>
      </c>
      <c r="M8" s="2">
        <v>100</v>
      </c>
      <c r="N8" s="2" t="s">
        <v>31</v>
      </c>
    </row>
    <row r="9" spans="1:15">
      <c r="A9" s="2">
        <f t="shared" si="0"/>
        <v>20010102</v>
      </c>
      <c r="B9" s="14">
        <v>200101</v>
      </c>
      <c r="C9" s="14" t="s">
        <v>36</v>
      </c>
      <c r="D9" s="2" t="s">
        <v>39</v>
      </c>
      <c r="E9" s="2">
        <v>2</v>
      </c>
      <c r="F9" s="13">
        <v>20010101</v>
      </c>
      <c r="G9" s="4">
        <v>100</v>
      </c>
      <c r="H9" s="4">
        <v>20</v>
      </c>
      <c r="K9" s="15" t="s">
        <v>40</v>
      </c>
      <c r="M9" s="2">
        <v>100</v>
      </c>
      <c r="N9" s="2" t="s">
        <v>31</v>
      </c>
    </row>
    <row r="10" spans="1:15">
      <c r="A10" s="2">
        <f t="shared" si="0"/>
        <v>20010103</v>
      </c>
      <c r="B10" s="14">
        <v>200101</v>
      </c>
      <c r="C10" s="14" t="s">
        <v>36</v>
      </c>
      <c r="D10" s="2" t="s">
        <v>41</v>
      </c>
      <c r="E10" s="2">
        <v>3</v>
      </c>
      <c r="G10" s="4">
        <v>100</v>
      </c>
      <c r="H10" s="4">
        <v>20</v>
      </c>
      <c r="K10" s="15" t="s">
        <v>42</v>
      </c>
      <c r="M10" s="2">
        <v>800</v>
      </c>
      <c r="N10" s="2" t="s">
        <v>31</v>
      </c>
    </row>
    <row r="11" spans="1:15">
      <c r="A11" s="2">
        <f t="shared" ref="A11:A73" si="1">B11*100+E11</f>
        <v>20030001</v>
      </c>
      <c r="B11" s="3">
        <v>200300</v>
      </c>
      <c r="C11" s="3" t="s">
        <v>43</v>
      </c>
      <c r="D11" s="2" t="s">
        <v>44</v>
      </c>
      <c r="E11" s="2">
        <v>1</v>
      </c>
      <c r="G11" s="4">
        <v>100</v>
      </c>
      <c r="H11" s="4">
        <v>20</v>
      </c>
      <c r="I11" s="4">
        <v>600</v>
      </c>
      <c r="J11" s="4">
        <v>0</v>
      </c>
      <c r="K11" s="15" t="s">
        <v>45</v>
      </c>
      <c r="M11" s="2">
        <v>100</v>
      </c>
      <c r="N11" s="2" t="s">
        <v>31</v>
      </c>
    </row>
    <row r="12" spans="1:15">
      <c r="A12" s="2">
        <f t="shared" si="1"/>
        <v>20030002</v>
      </c>
      <c r="B12" s="3">
        <v>200300</v>
      </c>
      <c r="C12" s="3" t="s">
        <v>43</v>
      </c>
      <c r="D12" s="16" t="s">
        <v>46</v>
      </c>
      <c r="E12" s="2">
        <v>2</v>
      </c>
      <c r="G12" s="4">
        <v>100</v>
      </c>
      <c r="H12" s="4">
        <v>20</v>
      </c>
      <c r="I12" s="4">
        <v>800</v>
      </c>
      <c r="J12" s="4">
        <v>0</v>
      </c>
      <c r="K12" s="15" t="s">
        <v>47</v>
      </c>
      <c r="M12" s="2">
        <v>700</v>
      </c>
      <c r="N12" s="2" t="s">
        <v>31</v>
      </c>
    </row>
    <row r="13" spans="1:15">
      <c r="A13" s="2">
        <f t="shared" si="1"/>
        <v>20030003</v>
      </c>
      <c r="B13" s="3">
        <v>200300</v>
      </c>
      <c r="C13" s="3" t="s">
        <v>43</v>
      </c>
      <c r="D13" s="16" t="s">
        <v>48</v>
      </c>
      <c r="E13" s="2">
        <v>3</v>
      </c>
      <c r="F13" s="2">
        <v>20030004</v>
      </c>
      <c r="G13" s="4">
        <v>100</v>
      </c>
      <c r="H13" s="4">
        <v>20</v>
      </c>
      <c r="I13" s="4">
        <v>200</v>
      </c>
      <c r="J13" s="4">
        <v>0</v>
      </c>
      <c r="K13" s="15" t="s">
        <v>49</v>
      </c>
      <c r="M13" s="2">
        <v>100</v>
      </c>
      <c r="N13" s="2" t="s">
        <v>31</v>
      </c>
    </row>
    <row r="14" spans="1:15">
      <c r="A14" s="2">
        <f t="shared" si="1"/>
        <v>20030004</v>
      </c>
      <c r="B14" s="3">
        <v>200300</v>
      </c>
      <c r="C14" s="3" t="s">
        <v>43</v>
      </c>
      <c r="D14" s="16" t="s">
        <v>50</v>
      </c>
      <c r="E14" s="2">
        <v>4</v>
      </c>
      <c r="F14" s="13">
        <v>20030003</v>
      </c>
      <c r="G14" s="4">
        <v>100</v>
      </c>
      <c r="H14" s="4">
        <v>20</v>
      </c>
      <c r="I14" s="4">
        <v>200</v>
      </c>
      <c r="J14" s="4">
        <v>0</v>
      </c>
      <c r="K14" s="15" t="s">
        <v>51</v>
      </c>
      <c r="M14" s="2">
        <v>100</v>
      </c>
      <c r="N14" s="2" t="s">
        <v>31</v>
      </c>
    </row>
    <row r="15" spans="1:15">
      <c r="A15" s="2">
        <f t="shared" si="1"/>
        <v>20030005</v>
      </c>
      <c r="B15" s="3">
        <v>200300</v>
      </c>
      <c r="C15" s="3" t="s">
        <v>43</v>
      </c>
      <c r="D15" s="2" t="s">
        <v>52</v>
      </c>
      <c r="E15" s="2">
        <v>5</v>
      </c>
      <c r="G15" s="4">
        <v>100</v>
      </c>
      <c r="H15" s="4">
        <v>20</v>
      </c>
      <c r="I15" s="4">
        <v>800</v>
      </c>
      <c r="J15" s="4">
        <v>0</v>
      </c>
      <c r="K15" s="15" t="s">
        <v>53</v>
      </c>
      <c r="M15" s="2">
        <v>100</v>
      </c>
      <c r="N15" s="2" t="s">
        <v>31</v>
      </c>
    </row>
    <row r="16" spans="1:15">
      <c r="A16" s="2">
        <f t="shared" si="1"/>
        <v>20030006</v>
      </c>
      <c r="B16" s="3">
        <v>200300</v>
      </c>
      <c r="C16" s="3" t="s">
        <v>43</v>
      </c>
      <c r="D16" s="16" t="s">
        <v>54</v>
      </c>
      <c r="E16" s="2">
        <v>6</v>
      </c>
      <c r="G16" s="4">
        <v>100</v>
      </c>
      <c r="H16" s="4">
        <v>20</v>
      </c>
      <c r="I16" s="4">
        <v>600</v>
      </c>
      <c r="J16" s="4">
        <v>0</v>
      </c>
      <c r="K16" s="15" t="s">
        <v>55</v>
      </c>
      <c r="M16" s="2">
        <v>500</v>
      </c>
      <c r="N16" s="2" t="s">
        <v>31</v>
      </c>
    </row>
    <row r="17" spans="1:14">
      <c r="A17" s="2">
        <f t="shared" si="1"/>
        <v>20030007</v>
      </c>
      <c r="B17" s="3">
        <v>200300</v>
      </c>
      <c r="C17" s="3" t="s">
        <v>43</v>
      </c>
      <c r="D17" s="2" t="s">
        <v>56</v>
      </c>
      <c r="E17" s="2">
        <v>7</v>
      </c>
      <c r="G17" s="4">
        <v>100</v>
      </c>
      <c r="H17" s="4">
        <v>20</v>
      </c>
      <c r="I17" s="4">
        <v>800</v>
      </c>
      <c r="J17" s="4">
        <v>0</v>
      </c>
      <c r="K17" s="15" t="s">
        <v>57</v>
      </c>
      <c r="M17" s="2">
        <v>700</v>
      </c>
      <c r="N17" s="2" t="s">
        <v>31</v>
      </c>
    </row>
    <row r="18" spans="1:14">
      <c r="A18" s="2">
        <f t="shared" si="1"/>
        <v>20030008</v>
      </c>
      <c r="B18" s="3">
        <v>200300</v>
      </c>
      <c r="C18" s="3" t="s">
        <v>43</v>
      </c>
      <c r="D18" s="2" t="s">
        <v>58</v>
      </c>
      <c r="E18" s="2">
        <v>8</v>
      </c>
      <c r="G18" s="4">
        <v>100</v>
      </c>
      <c r="H18" s="4">
        <v>20</v>
      </c>
      <c r="I18" s="4">
        <v>1200</v>
      </c>
      <c r="J18" s="4">
        <v>0</v>
      </c>
      <c r="K18" s="15" t="s">
        <v>59</v>
      </c>
      <c r="M18" s="2">
        <v>1100</v>
      </c>
      <c r="N18" s="2" t="s">
        <v>31</v>
      </c>
    </row>
    <row r="19" spans="1:14">
      <c r="A19" s="2">
        <f t="shared" si="1"/>
        <v>20030009</v>
      </c>
      <c r="B19" s="3">
        <v>200300</v>
      </c>
      <c r="C19" s="3" t="s">
        <v>43</v>
      </c>
      <c r="D19" s="16" t="s">
        <v>60</v>
      </c>
      <c r="E19" s="2">
        <v>9</v>
      </c>
      <c r="G19" s="4">
        <v>100</v>
      </c>
      <c r="H19" s="4">
        <v>20</v>
      </c>
      <c r="I19" s="4">
        <v>10000</v>
      </c>
      <c r="J19" s="4">
        <v>0</v>
      </c>
      <c r="K19" s="15" t="s">
        <v>61</v>
      </c>
      <c r="M19" s="2">
        <v>9900</v>
      </c>
      <c r="N19" s="2" t="s">
        <v>31</v>
      </c>
    </row>
    <row r="20" spans="1:14">
      <c r="A20" s="2">
        <f t="shared" si="1"/>
        <v>20030010</v>
      </c>
      <c r="B20" s="3">
        <v>200300</v>
      </c>
      <c r="C20" s="3" t="s">
        <v>43</v>
      </c>
      <c r="D20" s="16" t="s">
        <v>62</v>
      </c>
      <c r="E20" s="2">
        <v>10</v>
      </c>
      <c r="G20" s="4">
        <v>100</v>
      </c>
      <c r="H20" s="4">
        <v>20</v>
      </c>
      <c r="I20" s="4">
        <v>2400</v>
      </c>
      <c r="J20" s="4">
        <v>0</v>
      </c>
      <c r="K20" s="15" t="s">
        <v>63</v>
      </c>
      <c r="M20" s="2">
        <v>2300</v>
      </c>
      <c r="N20" s="2" t="s">
        <v>31</v>
      </c>
    </row>
    <row r="21" spans="1:14">
      <c r="A21" s="2">
        <f t="shared" si="1"/>
        <v>20030011</v>
      </c>
      <c r="B21" s="3">
        <v>200300</v>
      </c>
      <c r="C21" s="3" t="s">
        <v>43</v>
      </c>
      <c r="D21" s="2" t="s">
        <v>64</v>
      </c>
      <c r="E21" s="2">
        <v>11</v>
      </c>
      <c r="G21" s="4">
        <v>100</v>
      </c>
      <c r="H21" s="4">
        <v>20</v>
      </c>
      <c r="I21" s="4">
        <v>1200</v>
      </c>
      <c r="J21" s="4">
        <v>0</v>
      </c>
      <c r="K21" s="15" t="s">
        <v>65</v>
      </c>
      <c r="M21" s="2">
        <v>1100</v>
      </c>
      <c r="N21" s="2" t="s">
        <v>31</v>
      </c>
    </row>
    <row r="22" spans="1:14">
      <c r="A22" s="2">
        <f t="shared" si="1"/>
        <v>20030012</v>
      </c>
      <c r="B22" s="3">
        <v>200300</v>
      </c>
      <c r="C22" s="3" t="s">
        <v>43</v>
      </c>
      <c r="D22" s="16" t="s">
        <v>66</v>
      </c>
      <c r="E22" s="2">
        <v>12</v>
      </c>
      <c r="G22" s="4">
        <v>100</v>
      </c>
      <c r="H22" s="4">
        <v>20</v>
      </c>
      <c r="I22" s="4">
        <v>800</v>
      </c>
      <c r="J22" s="4">
        <v>0</v>
      </c>
      <c r="K22" s="15" t="s">
        <v>67</v>
      </c>
      <c r="M22" s="2">
        <v>700</v>
      </c>
      <c r="N22" s="2" t="s">
        <v>31</v>
      </c>
    </row>
    <row r="23" spans="1:14">
      <c r="A23" s="2">
        <f t="shared" si="1"/>
        <v>20040001</v>
      </c>
      <c r="B23" s="3">
        <v>200400</v>
      </c>
      <c r="C23" s="3" t="s">
        <v>68</v>
      </c>
      <c r="D23" s="13" t="s">
        <v>69</v>
      </c>
      <c r="E23" s="2">
        <v>1</v>
      </c>
      <c r="G23" s="4">
        <v>100</v>
      </c>
      <c r="H23" s="4">
        <v>20</v>
      </c>
      <c r="K23" s="15" t="s">
        <v>70</v>
      </c>
      <c r="M23" s="2">
        <v>3900</v>
      </c>
      <c r="N23" s="2" t="s">
        <v>31</v>
      </c>
    </row>
    <row r="24" spans="1:14">
      <c r="A24" s="2">
        <f t="shared" si="1"/>
        <v>20040002</v>
      </c>
      <c r="B24" s="3">
        <v>200400</v>
      </c>
      <c r="C24" s="3" t="s">
        <v>68</v>
      </c>
      <c r="D24" s="13" t="s">
        <v>71</v>
      </c>
      <c r="E24" s="2">
        <v>2</v>
      </c>
      <c r="G24" s="4">
        <v>100</v>
      </c>
      <c r="H24" s="4">
        <v>20</v>
      </c>
      <c r="K24" s="15" t="s">
        <v>72</v>
      </c>
      <c r="M24" s="2">
        <v>2900</v>
      </c>
      <c r="N24" s="2" t="s">
        <v>31</v>
      </c>
    </row>
    <row r="25" spans="1:14">
      <c r="A25" s="2">
        <f t="shared" si="1"/>
        <v>20040003</v>
      </c>
      <c r="B25" s="3">
        <v>200400</v>
      </c>
      <c r="C25" s="3" t="s">
        <v>68</v>
      </c>
      <c r="D25" s="2" t="s">
        <v>73</v>
      </c>
      <c r="E25" s="2">
        <v>3</v>
      </c>
      <c r="G25" s="4">
        <v>100</v>
      </c>
      <c r="H25" s="4">
        <v>20</v>
      </c>
      <c r="K25" s="15" t="s">
        <v>74</v>
      </c>
      <c r="M25" s="2">
        <v>1900</v>
      </c>
      <c r="N25" s="2" t="s">
        <v>31</v>
      </c>
    </row>
    <row r="26" spans="1:14">
      <c r="A26" s="2">
        <f t="shared" si="1"/>
        <v>20040004</v>
      </c>
      <c r="B26" s="3">
        <v>200400</v>
      </c>
      <c r="C26" s="3" t="s">
        <v>68</v>
      </c>
      <c r="D26" s="13" t="s">
        <v>75</v>
      </c>
      <c r="E26" s="2">
        <v>4</v>
      </c>
      <c r="G26" s="4">
        <v>100</v>
      </c>
      <c r="H26" s="4">
        <v>20</v>
      </c>
      <c r="K26" s="15" t="s">
        <v>76</v>
      </c>
      <c r="M26" s="2">
        <v>900</v>
      </c>
      <c r="N26" s="2" t="s">
        <v>31</v>
      </c>
    </row>
    <row r="27" spans="1:14">
      <c r="A27" s="2">
        <f t="shared" si="1"/>
        <v>20040005</v>
      </c>
      <c r="B27" s="3">
        <v>200400</v>
      </c>
      <c r="C27" s="3" t="s">
        <v>68</v>
      </c>
      <c r="D27" s="13" t="s">
        <v>77</v>
      </c>
      <c r="E27" s="2">
        <v>5</v>
      </c>
      <c r="G27" s="4">
        <v>100</v>
      </c>
      <c r="H27" s="4">
        <v>20</v>
      </c>
      <c r="K27" s="15" t="s">
        <v>78</v>
      </c>
      <c r="M27" s="2">
        <v>400</v>
      </c>
      <c r="N27" s="2" t="s">
        <v>31</v>
      </c>
    </row>
    <row r="28" spans="1:14">
      <c r="A28" s="2">
        <f t="shared" si="1"/>
        <v>20040006</v>
      </c>
      <c r="B28" s="3">
        <v>200400</v>
      </c>
      <c r="C28" s="3" t="s">
        <v>68</v>
      </c>
      <c r="D28" s="13" t="s">
        <v>79</v>
      </c>
      <c r="E28" s="2">
        <v>6</v>
      </c>
      <c r="G28" s="4">
        <v>100</v>
      </c>
      <c r="H28" s="4">
        <v>20</v>
      </c>
      <c r="K28" s="15" t="s">
        <v>80</v>
      </c>
      <c r="M28" s="2">
        <v>400</v>
      </c>
      <c r="N28" s="2" t="s">
        <v>31</v>
      </c>
    </row>
    <row r="29" spans="1:14">
      <c r="A29" s="2">
        <f t="shared" si="1"/>
        <v>20040007</v>
      </c>
      <c r="B29" s="3">
        <v>200400</v>
      </c>
      <c r="C29" s="3" t="s">
        <v>68</v>
      </c>
      <c r="D29" s="2" t="s">
        <v>81</v>
      </c>
      <c r="E29" s="2">
        <v>7</v>
      </c>
      <c r="G29" s="4">
        <v>100</v>
      </c>
      <c r="H29" s="4">
        <v>20</v>
      </c>
      <c r="K29" s="15" t="s">
        <v>82</v>
      </c>
      <c r="M29" s="2">
        <v>400</v>
      </c>
      <c r="N29" s="2" t="s">
        <v>31</v>
      </c>
    </row>
    <row r="30" spans="1:14">
      <c r="A30" s="2">
        <f t="shared" si="1"/>
        <v>20040008</v>
      </c>
      <c r="B30" s="3">
        <v>200400</v>
      </c>
      <c r="C30" s="3" t="s">
        <v>68</v>
      </c>
      <c r="D30" s="2" t="s">
        <v>83</v>
      </c>
      <c r="E30" s="2">
        <v>8</v>
      </c>
      <c r="G30" s="4">
        <v>100</v>
      </c>
      <c r="H30" s="4">
        <v>20</v>
      </c>
      <c r="K30" s="15" t="s">
        <v>84</v>
      </c>
      <c r="M30" s="2">
        <v>400</v>
      </c>
      <c r="N30" s="2" t="s">
        <v>31</v>
      </c>
    </row>
    <row r="31" spans="1:14">
      <c r="A31" s="2">
        <f t="shared" si="1"/>
        <v>20050001</v>
      </c>
      <c r="B31" s="2">
        <v>200500</v>
      </c>
      <c r="C31" s="3" t="s">
        <v>85</v>
      </c>
      <c r="D31" s="2" t="s">
        <v>86</v>
      </c>
      <c r="E31" s="2">
        <v>1</v>
      </c>
      <c r="G31" s="4">
        <v>100</v>
      </c>
      <c r="H31" s="4">
        <v>20</v>
      </c>
      <c r="K31" s="15">
        <v>200500001</v>
      </c>
      <c r="M31" s="2">
        <v>1100</v>
      </c>
      <c r="N31" s="2" t="s">
        <v>31</v>
      </c>
    </row>
    <row r="32" spans="1:14">
      <c r="A32" s="2">
        <f t="shared" si="1"/>
        <v>20050002</v>
      </c>
      <c r="B32" s="2">
        <v>200500</v>
      </c>
      <c r="C32" s="3" t="s">
        <v>85</v>
      </c>
      <c r="D32" s="2" t="s">
        <v>87</v>
      </c>
      <c r="E32" s="2">
        <v>2</v>
      </c>
      <c r="G32" s="4">
        <v>100</v>
      </c>
      <c r="H32" s="4">
        <v>20</v>
      </c>
      <c r="K32" s="15">
        <v>200500002</v>
      </c>
      <c r="M32" s="2">
        <v>800</v>
      </c>
      <c r="N32" s="2" t="s">
        <v>31</v>
      </c>
    </row>
    <row r="33" spans="1:14">
      <c r="A33" s="2">
        <f t="shared" si="1"/>
        <v>20050003</v>
      </c>
      <c r="B33" s="2">
        <v>200500</v>
      </c>
      <c r="C33" s="3" t="s">
        <v>85</v>
      </c>
      <c r="D33" s="2" t="s">
        <v>88</v>
      </c>
      <c r="E33" s="2">
        <v>3</v>
      </c>
      <c r="G33" s="4">
        <v>100</v>
      </c>
      <c r="H33" s="4">
        <v>20</v>
      </c>
      <c r="K33" s="15">
        <v>200500003</v>
      </c>
      <c r="M33" s="2">
        <v>1100</v>
      </c>
      <c r="N33" s="2" t="s">
        <v>31</v>
      </c>
    </row>
    <row r="34" spans="1:14">
      <c r="A34" s="2">
        <f t="shared" si="1"/>
        <v>20050004</v>
      </c>
      <c r="B34" s="2">
        <v>200500</v>
      </c>
      <c r="C34" s="3" t="s">
        <v>85</v>
      </c>
      <c r="D34" s="2" t="s">
        <v>89</v>
      </c>
      <c r="E34" s="13">
        <v>4</v>
      </c>
      <c r="F34" s="13">
        <v>20050005</v>
      </c>
      <c r="G34" s="4">
        <v>100</v>
      </c>
      <c r="H34" s="4">
        <v>20</v>
      </c>
      <c r="K34" s="15">
        <v>200500004</v>
      </c>
      <c r="M34" s="2">
        <v>100</v>
      </c>
      <c r="N34" s="2" t="s">
        <v>31</v>
      </c>
    </row>
    <row r="35" spans="1:14">
      <c r="A35" s="2">
        <f t="shared" si="1"/>
        <v>20050005</v>
      </c>
      <c r="B35" s="2">
        <v>200500</v>
      </c>
      <c r="C35" s="3" t="s">
        <v>85</v>
      </c>
      <c r="D35" s="2" t="s">
        <v>90</v>
      </c>
      <c r="E35" s="2">
        <v>5</v>
      </c>
      <c r="F35" s="4">
        <f>A34</f>
        <v>20050004</v>
      </c>
      <c r="G35" s="4">
        <v>100</v>
      </c>
      <c r="H35" s="4">
        <v>20</v>
      </c>
      <c r="K35" s="15">
        <v>200500005</v>
      </c>
      <c r="M35" s="2">
        <v>100</v>
      </c>
      <c r="N35" s="2" t="s">
        <v>31</v>
      </c>
    </row>
    <row r="36" spans="1:14">
      <c r="A36" s="2">
        <f t="shared" si="1"/>
        <v>20060001</v>
      </c>
      <c r="B36" s="2">
        <v>200600</v>
      </c>
      <c r="C36" s="3" t="s">
        <v>91</v>
      </c>
      <c r="D36" s="16">
        <v>111</v>
      </c>
      <c r="E36" s="17">
        <v>1</v>
      </c>
      <c r="F36" s="16"/>
      <c r="G36" s="4">
        <v>100</v>
      </c>
      <c r="H36" s="4">
        <v>20</v>
      </c>
      <c r="K36" s="15" t="s">
        <v>92</v>
      </c>
      <c r="M36" s="2">
        <v>20000</v>
      </c>
      <c r="N36" s="2" t="s">
        <v>31</v>
      </c>
    </row>
    <row r="37" spans="1:14">
      <c r="A37" s="2">
        <f t="shared" si="1"/>
        <v>20060002</v>
      </c>
      <c r="B37" s="2">
        <v>200600</v>
      </c>
      <c r="C37" s="3" t="s">
        <v>91</v>
      </c>
      <c r="D37" s="16">
        <v>222</v>
      </c>
      <c r="E37" s="17">
        <v>2</v>
      </c>
      <c r="F37" s="16"/>
      <c r="G37" s="4">
        <v>100</v>
      </c>
      <c r="H37" s="4">
        <v>20</v>
      </c>
      <c r="K37" s="15" t="s">
        <v>93</v>
      </c>
      <c r="M37" s="2">
        <v>20000</v>
      </c>
      <c r="N37" s="2" t="s">
        <v>31</v>
      </c>
    </row>
    <row r="38" spans="1:14">
      <c r="A38" s="2">
        <f t="shared" si="1"/>
        <v>20060003</v>
      </c>
      <c r="B38" s="2">
        <v>200600</v>
      </c>
      <c r="C38" s="3" t="s">
        <v>91</v>
      </c>
      <c r="D38" s="16">
        <v>333</v>
      </c>
      <c r="E38" s="17">
        <v>3</v>
      </c>
      <c r="G38" s="4">
        <v>100</v>
      </c>
      <c r="H38" s="4">
        <v>20</v>
      </c>
      <c r="K38" s="15" t="s">
        <v>94</v>
      </c>
      <c r="M38" s="2">
        <v>3200</v>
      </c>
      <c r="N38" s="2" t="s">
        <v>31</v>
      </c>
    </row>
    <row r="39" spans="1:14">
      <c r="A39" s="2">
        <f t="shared" si="1"/>
        <v>20060004</v>
      </c>
      <c r="B39" s="2">
        <v>200600</v>
      </c>
      <c r="C39" s="3" t="s">
        <v>91</v>
      </c>
      <c r="D39" s="16" t="s">
        <v>95</v>
      </c>
      <c r="E39" s="17">
        <v>4</v>
      </c>
      <c r="G39" s="4">
        <v>100</v>
      </c>
      <c r="H39" s="4">
        <v>20</v>
      </c>
      <c r="K39" s="15" t="s">
        <v>96</v>
      </c>
      <c r="M39" s="2">
        <v>3200</v>
      </c>
      <c r="N39" s="2" t="s">
        <v>31</v>
      </c>
    </row>
    <row r="40" spans="1:14">
      <c r="A40" s="2">
        <f t="shared" si="1"/>
        <v>20060005</v>
      </c>
      <c r="B40" s="2">
        <v>200600</v>
      </c>
      <c r="C40" s="3" t="s">
        <v>91</v>
      </c>
      <c r="D40" s="2">
        <v>444</v>
      </c>
      <c r="E40" s="17">
        <v>5</v>
      </c>
      <c r="G40" s="4">
        <v>100</v>
      </c>
      <c r="H40" s="4">
        <v>20</v>
      </c>
      <c r="K40" s="15" t="s">
        <v>97</v>
      </c>
      <c r="M40" s="2">
        <v>20000</v>
      </c>
      <c r="N40" s="2" t="s">
        <v>31</v>
      </c>
    </row>
    <row r="41" spans="1:14">
      <c r="A41" s="2">
        <f t="shared" si="1"/>
        <v>20060006</v>
      </c>
      <c r="B41" s="2">
        <v>200600</v>
      </c>
      <c r="C41" s="3" t="s">
        <v>91</v>
      </c>
      <c r="D41" s="2">
        <v>555</v>
      </c>
      <c r="E41" s="17">
        <v>6</v>
      </c>
      <c r="G41" s="4">
        <v>100</v>
      </c>
      <c r="H41" s="4">
        <v>20</v>
      </c>
      <c r="K41" s="15" t="s">
        <v>98</v>
      </c>
      <c r="M41" s="2">
        <v>20000</v>
      </c>
      <c r="N41" s="2" t="s">
        <v>31</v>
      </c>
    </row>
    <row r="42" spans="1:14">
      <c r="A42" s="2">
        <f t="shared" si="1"/>
        <v>20060007</v>
      </c>
      <c r="B42" s="2">
        <v>200600</v>
      </c>
      <c r="C42" s="3" t="s">
        <v>91</v>
      </c>
      <c r="D42" s="2">
        <v>666</v>
      </c>
      <c r="E42" s="17">
        <v>7</v>
      </c>
      <c r="F42" s="16"/>
      <c r="G42" s="4">
        <v>100</v>
      </c>
      <c r="H42" s="4">
        <v>20</v>
      </c>
      <c r="K42" s="15" t="s">
        <v>99</v>
      </c>
      <c r="M42" s="2">
        <v>20000</v>
      </c>
      <c r="N42" s="2" t="s">
        <v>31</v>
      </c>
    </row>
    <row r="43" spans="1:14">
      <c r="A43" s="2">
        <f t="shared" si="1"/>
        <v>20060008</v>
      </c>
      <c r="B43" s="2">
        <v>200600</v>
      </c>
      <c r="C43" s="3" t="s">
        <v>91</v>
      </c>
      <c r="D43" s="2" t="s">
        <v>100</v>
      </c>
      <c r="E43" s="17">
        <v>8</v>
      </c>
      <c r="F43" s="16">
        <f>A64</f>
        <v>20060029</v>
      </c>
      <c r="G43" s="4">
        <v>100</v>
      </c>
      <c r="H43" s="4">
        <v>20</v>
      </c>
      <c r="K43" s="15" t="s">
        <v>101</v>
      </c>
      <c r="M43" s="2">
        <v>100</v>
      </c>
      <c r="N43" s="2" t="s">
        <v>31</v>
      </c>
    </row>
    <row r="44" spans="1:14">
      <c r="A44" s="2">
        <f t="shared" si="1"/>
        <v>20060009</v>
      </c>
      <c r="B44" s="2">
        <v>200600</v>
      </c>
      <c r="C44" s="3" t="s">
        <v>91</v>
      </c>
      <c r="D44" s="2" t="s">
        <v>102</v>
      </c>
      <c r="E44" s="17">
        <v>9</v>
      </c>
      <c r="F44" s="16"/>
      <c r="G44" s="4">
        <v>100</v>
      </c>
      <c r="H44" s="4">
        <v>20</v>
      </c>
      <c r="K44" s="15" t="s">
        <v>103</v>
      </c>
      <c r="M44" s="2">
        <v>6500</v>
      </c>
      <c r="N44" s="2" t="s">
        <v>31</v>
      </c>
    </row>
    <row r="45" spans="1:14">
      <c r="A45" s="2">
        <f t="shared" si="1"/>
        <v>20060010</v>
      </c>
      <c r="B45" s="2">
        <v>200600</v>
      </c>
      <c r="C45" s="3" t="s">
        <v>91</v>
      </c>
      <c r="D45" s="2" t="s">
        <v>104</v>
      </c>
      <c r="E45" s="17">
        <v>10</v>
      </c>
      <c r="F45" s="16"/>
      <c r="G45" s="4">
        <v>100</v>
      </c>
      <c r="H45" s="4">
        <v>20</v>
      </c>
      <c r="K45" s="15" t="s">
        <v>105</v>
      </c>
      <c r="M45" s="2">
        <v>3200</v>
      </c>
      <c r="N45" s="2" t="s">
        <v>31</v>
      </c>
    </row>
    <row r="46" spans="1:14">
      <c r="A46" s="2">
        <f t="shared" si="1"/>
        <v>20060011</v>
      </c>
      <c r="B46" s="2">
        <v>200600</v>
      </c>
      <c r="C46" s="3" t="s">
        <v>91</v>
      </c>
      <c r="D46" s="2" t="s">
        <v>106</v>
      </c>
      <c r="E46" s="17">
        <v>11</v>
      </c>
      <c r="F46" s="16"/>
      <c r="G46" s="4">
        <v>100</v>
      </c>
      <c r="H46" s="4">
        <v>20</v>
      </c>
      <c r="K46" s="15" t="s">
        <v>107</v>
      </c>
      <c r="M46" s="2">
        <v>1900</v>
      </c>
      <c r="N46" s="2" t="s">
        <v>31</v>
      </c>
    </row>
    <row r="47" spans="1:14">
      <c r="A47" s="2">
        <f t="shared" si="1"/>
        <v>20060012</v>
      </c>
      <c r="B47" s="2">
        <v>200600</v>
      </c>
      <c r="C47" s="3" t="s">
        <v>91</v>
      </c>
      <c r="D47" s="2" t="s">
        <v>108</v>
      </c>
      <c r="E47" s="17">
        <v>12</v>
      </c>
      <c r="F47" s="16"/>
      <c r="G47" s="4">
        <v>100</v>
      </c>
      <c r="H47" s="4">
        <v>20</v>
      </c>
      <c r="K47" s="15" t="s">
        <v>109</v>
      </c>
      <c r="M47" s="2">
        <v>1200</v>
      </c>
      <c r="N47" s="2" t="s">
        <v>31</v>
      </c>
    </row>
    <row r="48" spans="1:14">
      <c r="A48" s="2">
        <f t="shared" si="1"/>
        <v>20060013</v>
      </c>
      <c r="B48" s="2">
        <v>200600</v>
      </c>
      <c r="C48" s="3" t="s">
        <v>91</v>
      </c>
      <c r="D48" s="2" t="s">
        <v>110</v>
      </c>
      <c r="E48" s="17">
        <v>13</v>
      </c>
      <c r="F48" s="16"/>
      <c r="G48" s="4">
        <v>100</v>
      </c>
      <c r="H48" s="4">
        <v>20</v>
      </c>
      <c r="K48" s="15" t="s">
        <v>111</v>
      </c>
      <c r="M48" s="2">
        <v>800</v>
      </c>
      <c r="N48" s="2" t="s">
        <v>31</v>
      </c>
    </row>
    <row r="49" spans="1:14">
      <c r="A49" s="2">
        <f t="shared" si="1"/>
        <v>20060014</v>
      </c>
      <c r="B49" s="2">
        <v>200600</v>
      </c>
      <c r="C49" s="3" t="s">
        <v>91</v>
      </c>
      <c r="D49" s="2" t="s">
        <v>112</v>
      </c>
      <c r="E49" s="17">
        <v>14</v>
      </c>
      <c r="F49" s="16"/>
      <c r="G49" s="4">
        <v>100</v>
      </c>
      <c r="H49" s="4">
        <v>20</v>
      </c>
      <c r="K49" s="15" t="s">
        <v>113</v>
      </c>
      <c r="M49" s="2">
        <v>1900</v>
      </c>
      <c r="N49" s="2" t="s">
        <v>31</v>
      </c>
    </row>
    <row r="50" spans="1:14">
      <c r="A50" s="2">
        <f t="shared" si="1"/>
        <v>20060015</v>
      </c>
      <c r="B50" s="2">
        <v>200600</v>
      </c>
      <c r="C50" s="3" t="s">
        <v>91</v>
      </c>
      <c r="D50" s="2" t="s">
        <v>114</v>
      </c>
      <c r="E50" s="17">
        <v>15</v>
      </c>
      <c r="F50" s="16"/>
      <c r="G50" s="4">
        <v>100</v>
      </c>
      <c r="H50" s="4">
        <v>20</v>
      </c>
      <c r="K50" s="15" t="s">
        <v>115</v>
      </c>
      <c r="M50" s="2">
        <v>600</v>
      </c>
      <c r="N50" s="2" t="s">
        <v>31</v>
      </c>
    </row>
    <row r="51" spans="1:14">
      <c r="A51" s="2">
        <f t="shared" si="1"/>
        <v>20060016</v>
      </c>
      <c r="B51" s="2">
        <v>200600</v>
      </c>
      <c r="C51" s="3" t="s">
        <v>91</v>
      </c>
      <c r="D51" s="2" t="s">
        <v>116</v>
      </c>
      <c r="E51" s="17">
        <v>16</v>
      </c>
      <c r="F51" s="16"/>
      <c r="G51" s="4">
        <v>100</v>
      </c>
      <c r="H51" s="4">
        <v>20</v>
      </c>
      <c r="K51" s="15" t="s">
        <v>117</v>
      </c>
      <c r="M51" s="2">
        <v>600</v>
      </c>
      <c r="N51" s="2" t="s">
        <v>31</v>
      </c>
    </row>
    <row r="52" spans="1:14">
      <c r="A52" s="2">
        <f t="shared" si="1"/>
        <v>20060017</v>
      </c>
      <c r="B52" s="2">
        <v>200600</v>
      </c>
      <c r="C52" s="3" t="s">
        <v>91</v>
      </c>
      <c r="D52" s="2" t="s">
        <v>118</v>
      </c>
      <c r="E52" s="17">
        <v>17</v>
      </c>
      <c r="F52" s="16"/>
      <c r="G52" s="4">
        <v>100</v>
      </c>
      <c r="H52" s="4">
        <v>20</v>
      </c>
      <c r="K52" s="15" t="s">
        <v>119</v>
      </c>
      <c r="M52" s="2">
        <v>1900</v>
      </c>
      <c r="N52" s="2" t="s">
        <v>31</v>
      </c>
    </row>
    <row r="53" spans="1:14">
      <c r="A53" s="2">
        <f t="shared" si="1"/>
        <v>20060018</v>
      </c>
      <c r="B53" s="2">
        <v>200600</v>
      </c>
      <c r="C53" s="3" t="s">
        <v>91</v>
      </c>
      <c r="D53" s="2" t="s">
        <v>120</v>
      </c>
      <c r="E53" s="17">
        <v>18</v>
      </c>
      <c r="F53" s="16"/>
      <c r="G53" s="4">
        <v>100</v>
      </c>
      <c r="H53" s="4">
        <v>20</v>
      </c>
      <c r="K53" s="15" t="s">
        <v>121</v>
      </c>
      <c r="M53" s="2">
        <v>800</v>
      </c>
      <c r="N53" s="2" t="s">
        <v>31</v>
      </c>
    </row>
    <row r="54" spans="1:14">
      <c r="A54" s="2">
        <f t="shared" si="1"/>
        <v>20060019</v>
      </c>
      <c r="B54" s="2">
        <v>200600</v>
      </c>
      <c r="C54" s="3" t="s">
        <v>91</v>
      </c>
      <c r="D54" s="2" t="s">
        <v>122</v>
      </c>
      <c r="E54" s="17">
        <v>19</v>
      </c>
      <c r="F54" s="16"/>
      <c r="G54" s="4">
        <v>100</v>
      </c>
      <c r="H54" s="4">
        <v>20</v>
      </c>
      <c r="K54" s="15" t="s">
        <v>123</v>
      </c>
      <c r="M54" s="2">
        <v>1200</v>
      </c>
      <c r="N54" s="2" t="s">
        <v>31</v>
      </c>
    </row>
    <row r="55" spans="1:14">
      <c r="A55" s="2">
        <f t="shared" si="1"/>
        <v>20060020</v>
      </c>
      <c r="B55" s="2">
        <v>200600</v>
      </c>
      <c r="C55" s="3" t="s">
        <v>91</v>
      </c>
      <c r="D55" s="2" t="s">
        <v>124</v>
      </c>
      <c r="E55" s="17">
        <v>20</v>
      </c>
      <c r="F55" s="16"/>
      <c r="G55" s="4">
        <v>100</v>
      </c>
      <c r="H55" s="4">
        <v>20</v>
      </c>
      <c r="K55" s="15" t="s">
        <v>125</v>
      </c>
      <c r="M55" s="2">
        <v>1900</v>
      </c>
      <c r="N55" s="2" t="s">
        <v>31</v>
      </c>
    </row>
    <row r="56" spans="1:14">
      <c r="A56" s="2">
        <f t="shared" si="1"/>
        <v>20060021</v>
      </c>
      <c r="B56" s="2">
        <v>200600</v>
      </c>
      <c r="C56" s="3" t="s">
        <v>91</v>
      </c>
      <c r="D56" s="2" t="s">
        <v>126</v>
      </c>
      <c r="E56" s="17">
        <v>21</v>
      </c>
      <c r="F56" s="16"/>
      <c r="G56" s="4">
        <v>100</v>
      </c>
      <c r="H56" s="4">
        <v>20</v>
      </c>
      <c r="K56" s="15" t="s">
        <v>127</v>
      </c>
      <c r="M56" s="2">
        <v>3200</v>
      </c>
      <c r="N56" s="2" t="s">
        <v>31</v>
      </c>
    </row>
    <row r="57" spans="1:14">
      <c r="A57" s="2">
        <f t="shared" si="1"/>
        <v>20060022</v>
      </c>
      <c r="B57" s="2">
        <v>200600</v>
      </c>
      <c r="C57" s="3" t="s">
        <v>91</v>
      </c>
      <c r="D57" s="2" t="s">
        <v>128</v>
      </c>
      <c r="E57" s="17">
        <v>22</v>
      </c>
      <c r="F57" s="16"/>
      <c r="G57" s="4">
        <v>100</v>
      </c>
      <c r="H57" s="4">
        <v>20</v>
      </c>
      <c r="K57" s="15" t="s">
        <v>129</v>
      </c>
      <c r="M57" s="2">
        <v>6500</v>
      </c>
      <c r="N57" s="2" t="s">
        <v>31</v>
      </c>
    </row>
    <row r="58" spans="1:14">
      <c r="A58" s="2">
        <f t="shared" si="1"/>
        <v>20060023</v>
      </c>
      <c r="B58" s="2">
        <v>200600</v>
      </c>
      <c r="C58" s="3" t="s">
        <v>91</v>
      </c>
      <c r="D58" s="2" t="s">
        <v>130</v>
      </c>
      <c r="E58" s="17">
        <v>23</v>
      </c>
      <c r="F58" s="16"/>
      <c r="G58" s="4">
        <v>100</v>
      </c>
      <c r="H58" s="4">
        <v>20</v>
      </c>
      <c r="K58" s="15" t="s">
        <v>131</v>
      </c>
      <c r="M58" s="2">
        <v>600</v>
      </c>
      <c r="N58" s="2" t="s">
        <v>31</v>
      </c>
    </row>
    <row r="59" spans="1:14">
      <c r="A59" s="2">
        <f t="shared" si="1"/>
        <v>20060024</v>
      </c>
      <c r="B59" s="2">
        <v>200600</v>
      </c>
      <c r="C59" s="3" t="s">
        <v>91</v>
      </c>
      <c r="D59" s="2" t="s">
        <v>132</v>
      </c>
      <c r="E59" s="17">
        <v>24</v>
      </c>
      <c r="F59" s="16"/>
      <c r="G59" s="4">
        <v>100</v>
      </c>
      <c r="H59" s="4">
        <v>20</v>
      </c>
      <c r="K59" s="15" t="s">
        <v>133</v>
      </c>
      <c r="M59" s="2">
        <v>600</v>
      </c>
      <c r="N59" s="2" t="s">
        <v>31</v>
      </c>
    </row>
    <row r="60" spans="1:14">
      <c r="A60" s="2">
        <f t="shared" si="1"/>
        <v>20060025</v>
      </c>
      <c r="B60" s="2">
        <v>200600</v>
      </c>
      <c r="C60" s="3" t="s">
        <v>91</v>
      </c>
      <c r="D60" s="2" t="s">
        <v>134</v>
      </c>
      <c r="E60" s="17">
        <v>25</v>
      </c>
      <c r="F60" s="16"/>
      <c r="G60" s="4">
        <v>100</v>
      </c>
      <c r="H60" s="4">
        <v>20</v>
      </c>
      <c r="K60" s="15" t="s">
        <v>135</v>
      </c>
      <c r="M60" s="2">
        <v>600</v>
      </c>
      <c r="N60" s="2" t="s">
        <v>31</v>
      </c>
    </row>
    <row r="61" spans="1:14">
      <c r="A61" s="2">
        <f t="shared" si="1"/>
        <v>20060026</v>
      </c>
      <c r="B61" s="2">
        <v>200600</v>
      </c>
      <c r="C61" s="3" t="s">
        <v>91</v>
      </c>
      <c r="D61" s="2" t="s">
        <v>136</v>
      </c>
      <c r="E61" s="17">
        <v>26</v>
      </c>
      <c r="F61" s="16"/>
      <c r="G61" s="4">
        <v>100</v>
      </c>
      <c r="H61" s="4">
        <v>20</v>
      </c>
      <c r="K61" s="15" t="s">
        <v>137</v>
      </c>
      <c r="M61" s="2">
        <v>600</v>
      </c>
      <c r="N61" s="2" t="s">
        <v>31</v>
      </c>
    </row>
    <row r="62" spans="1:14">
      <c r="A62" s="2">
        <f t="shared" si="1"/>
        <v>20060027</v>
      </c>
      <c r="B62" s="2">
        <v>200600</v>
      </c>
      <c r="C62" s="3" t="s">
        <v>91</v>
      </c>
      <c r="D62" s="2" t="s">
        <v>138</v>
      </c>
      <c r="E62" s="17">
        <v>27</v>
      </c>
      <c r="F62" s="16"/>
      <c r="G62" s="4">
        <v>100</v>
      </c>
      <c r="H62" s="4">
        <v>20</v>
      </c>
      <c r="K62" s="15" t="s">
        <v>139</v>
      </c>
      <c r="M62" s="2">
        <v>600</v>
      </c>
      <c r="N62" s="2" t="s">
        <v>31</v>
      </c>
    </row>
    <row r="63" spans="1:14">
      <c r="A63" s="2">
        <f t="shared" si="1"/>
        <v>20060028</v>
      </c>
      <c r="B63" s="2">
        <v>200600</v>
      </c>
      <c r="C63" s="3" t="s">
        <v>91</v>
      </c>
      <c r="D63" s="2" t="s">
        <v>140</v>
      </c>
      <c r="E63" s="17">
        <v>28</v>
      </c>
      <c r="F63" s="16"/>
      <c r="G63" s="4">
        <v>100</v>
      </c>
      <c r="H63" s="4">
        <v>20</v>
      </c>
      <c r="K63" s="15" t="s">
        <v>141</v>
      </c>
      <c r="M63" s="2">
        <v>600</v>
      </c>
      <c r="N63" s="2" t="s">
        <v>31</v>
      </c>
    </row>
    <row r="64" spans="1:14">
      <c r="A64" s="2">
        <f t="shared" si="1"/>
        <v>20060029</v>
      </c>
      <c r="B64" s="2">
        <v>200600</v>
      </c>
      <c r="C64" s="3" t="s">
        <v>91</v>
      </c>
      <c r="D64" s="2" t="s">
        <v>142</v>
      </c>
      <c r="E64" s="17">
        <v>29</v>
      </c>
      <c r="F64" s="16">
        <f>A43</f>
        <v>20060008</v>
      </c>
      <c r="G64" s="4">
        <v>100</v>
      </c>
      <c r="H64" s="4">
        <v>20</v>
      </c>
      <c r="K64" s="15" t="s">
        <v>143</v>
      </c>
      <c r="M64" s="2">
        <v>100</v>
      </c>
      <c r="N64" s="2" t="s">
        <v>31</v>
      </c>
    </row>
    <row r="65" spans="1:14">
      <c r="A65" s="2">
        <f t="shared" si="1"/>
        <v>20070001</v>
      </c>
      <c r="B65" s="2">
        <v>200700</v>
      </c>
      <c r="C65" s="3" t="s">
        <v>144</v>
      </c>
      <c r="D65" s="2" t="s">
        <v>145</v>
      </c>
      <c r="E65" s="2">
        <v>1</v>
      </c>
      <c r="G65" s="4">
        <v>100</v>
      </c>
      <c r="H65" s="4">
        <v>20</v>
      </c>
      <c r="K65" s="15">
        <v>200700005</v>
      </c>
      <c r="M65" s="2">
        <v>1600</v>
      </c>
      <c r="N65" s="2" t="s">
        <v>31</v>
      </c>
    </row>
    <row r="66" spans="1:14">
      <c r="A66" s="2">
        <f t="shared" si="1"/>
        <v>20070002</v>
      </c>
      <c r="B66" s="2">
        <v>200700</v>
      </c>
      <c r="C66" s="3" t="s">
        <v>144</v>
      </c>
      <c r="D66" s="2" t="s">
        <v>146</v>
      </c>
      <c r="E66" s="2">
        <v>2</v>
      </c>
      <c r="G66" s="4">
        <v>100</v>
      </c>
      <c r="H66" s="4">
        <v>20</v>
      </c>
      <c r="K66" s="15" t="s">
        <v>147</v>
      </c>
      <c r="M66" s="2">
        <v>1600</v>
      </c>
      <c r="N66" s="2" t="s">
        <v>31</v>
      </c>
    </row>
    <row r="67" spans="1:14">
      <c r="A67" s="2">
        <f t="shared" si="1"/>
        <v>20070003</v>
      </c>
      <c r="B67" s="2">
        <v>200700</v>
      </c>
      <c r="C67" s="3" t="s">
        <v>144</v>
      </c>
      <c r="D67" s="2" t="s">
        <v>148</v>
      </c>
      <c r="E67" s="2">
        <v>3</v>
      </c>
      <c r="F67" s="4">
        <f>A68</f>
        <v>20070004</v>
      </c>
      <c r="G67" s="4">
        <v>100</v>
      </c>
      <c r="H67" s="4">
        <v>20</v>
      </c>
      <c r="K67" s="15" t="s">
        <v>149</v>
      </c>
      <c r="M67" s="2">
        <v>200</v>
      </c>
      <c r="N67" s="2" t="s">
        <v>31</v>
      </c>
    </row>
    <row r="68" spans="1:14">
      <c r="A68" s="2">
        <f t="shared" si="1"/>
        <v>20070004</v>
      </c>
      <c r="B68" s="2">
        <v>200700</v>
      </c>
      <c r="C68" s="3" t="s">
        <v>144</v>
      </c>
      <c r="D68" s="2" t="s">
        <v>150</v>
      </c>
      <c r="E68" s="2">
        <v>4</v>
      </c>
      <c r="F68" s="4">
        <f>A67</f>
        <v>20070003</v>
      </c>
      <c r="G68" s="4">
        <v>100</v>
      </c>
      <c r="H68" s="4">
        <v>20</v>
      </c>
      <c r="K68" s="15" t="s">
        <v>151</v>
      </c>
      <c r="M68" s="2">
        <v>200</v>
      </c>
      <c r="N68" s="2" t="s">
        <v>31</v>
      </c>
    </row>
    <row r="69" spans="1:14">
      <c r="A69" s="2">
        <f t="shared" si="1"/>
        <v>20070005</v>
      </c>
      <c r="B69" s="2">
        <v>200700</v>
      </c>
      <c r="C69" s="3" t="s">
        <v>144</v>
      </c>
      <c r="D69" s="2" t="s">
        <v>152</v>
      </c>
      <c r="E69" s="2">
        <v>5</v>
      </c>
      <c r="G69" s="4">
        <v>100</v>
      </c>
      <c r="H69" s="4">
        <v>20</v>
      </c>
      <c r="K69" s="15" t="s">
        <v>153</v>
      </c>
      <c r="M69" s="2">
        <v>400</v>
      </c>
      <c r="N69" s="2" t="s">
        <v>31</v>
      </c>
    </row>
    <row r="70" spans="1:14">
      <c r="A70" s="2">
        <f t="shared" si="1"/>
        <v>20070006</v>
      </c>
      <c r="B70" s="2">
        <v>200700</v>
      </c>
      <c r="C70" s="3" t="s">
        <v>144</v>
      </c>
      <c r="D70" s="2" t="s">
        <v>154</v>
      </c>
      <c r="E70" s="2">
        <v>6</v>
      </c>
      <c r="G70" s="4">
        <v>100</v>
      </c>
      <c r="H70" s="4">
        <v>20</v>
      </c>
      <c r="K70" s="15" t="s">
        <v>155</v>
      </c>
      <c r="M70" s="2">
        <v>400</v>
      </c>
      <c r="N70" s="2" t="s">
        <v>31</v>
      </c>
    </row>
    <row r="71" spans="1:14">
      <c r="A71" s="2">
        <f t="shared" si="1"/>
        <v>20080001</v>
      </c>
      <c r="B71" s="2">
        <v>200800</v>
      </c>
      <c r="C71" s="3" t="s">
        <v>156</v>
      </c>
      <c r="D71" s="2" t="s">
        <v>100</v>
      </c>
      <c r="E71" s="17">
        <v>1</v>
      </c>
      <c r="F71" s="4">
        <f>A72</f>
        <v>20080002</v>
      </c>
      <c r="G71" s="4">
        <v>100</v>
      </c>
      <c r="H71" s="4">
        <v>20</v>
      </c>
      <c r="K71" s="15" t="s">
        <v>157</v>
      </c>
      <c r="M71" s="2">
        <v>100</v>
      </c>
      <c r="N71" s="2" t="s">
        <v>31</v>
      </c>
    </row>
    <row r="72" spans="1:14">
      <c r="A72" s="2">
        <f t="shared" si="1"/>
        <v>20080002</v>
      </c>
      <c r="B72" s="2">
        <v>200800</v>
      </c>
      <c r="C72" s="3" t="s">
        <v>156</v>
      </c>
      <c r="D72" s="2" t="s">
        <v>142</v>
      </c>
      <c r="E72" s="17">
        <v>2</v>
      </c>
      <c r="F72" s="4">
        <f>A71</f>
        <v>20080001</v>
      </c>
      <c r="G72" s="4">
        <v>100</v>
      </c>
      <c r="H72" s="4">
        <v>20</v>
      </c>
      <c r="K72" s="15" t="s">
        <v>158</v>
      </c>
      <c r="M72" s="2">
        <v>100</v>
      </c>
      <c r="N72" s="2" t="s">
        <v>31</v>
      </c>
    </row>
    <row r="73" spans="1:14">
      <c r="A73" s="2">
        <f t="shared" si="1"/>
        <v>20090001</v>
      </c>
      <c r="B73" s="2">
        <v>200900</v>
      </c>
      <c r="C73" s="3" t="s">
        <v>159</v>
      </c>
      <c r="D73" s="2" t="s">
        <v>160</v>
      </c>
      <c r="E73" s="2">
        <v>1</v>
      </c>
      <c r="G73" s="4">
        <v>100</v>
      </c>
      <c r="H73" s="4">
        <v>20</v>
      </c>
      <c r="K73" s="15" t="s">
        <v>161</v>
      </c>
      <c r="M73" s="2">
        <v>300</v>
      </c>
      <c r="N73" s="2" t="s">
        <v>31</v>
      </c>
    </row>
    <row r="74" spans="1:14">
      <c r="A74" s="2">
        <f t="shared" ref="A74:A137" si="2">B74*100+E74</f>
        <v>20090002</v>
      </c>
      <c r="B74" s="2">
        <v>200900</v>
      </c>
      <c r="C74" s="3" t="s">
        <v>159</v>
      </c>
      <c r="D74" s="2" t="s">
        <v>162</v>
      </c>
      <c r="E74" s="2">
        <v>2</v>
      </c>
      <c r="G74" s="4">
        <v>100</v>
      </c>
      <c r="H74" s="4">
        <v>20</v>
      </c>
      <c r="K74" s="15" t="s">
        <v>163</v>
      </c>
      <c r="M74" s="2">
        <v>300</v>
      </c>
      <c r="N74" s="2" t="s">
        <v>31</v>
      </c>
    </row>
    <row r="75" spans="1:14">
      <c r="A75" s="2">
        <f t="shared" si="2"/>
        <v>20090003</v>
      </c>
      <c r="B75" s="2">
        <v>200900</v>
      </c>
      <c r="C75" s="3" t="s">
        <v>159</v>
      </c>
      <c r="D75" s="2" t="s">
        <v>164</v>
      </c>
      <c r="E75" s="2">
        <v>3</v>
      </c>
      <c r="G75" s="4">
        <v>100</v>
      </c>
      <c r="H75" s="4">
        <v>20</v>
      </c>
      <c r="K75" s="15" t="s">
        <v>165</v>
      </c>
      <c r="M75" s="2">
        <v>300</v>
      </c>
      <c r="N75" s="2" t="s">
        <v>31</v>
      </c>
    </row>
    <row r="76" spans="1:14">
      <c r="A76" s="2">
        <f t="shared" si="2"/>
        <v>20090004</v>
      </c>
      <c r="B76" s="2">
        <v>200900</v>
      </c>
      <c r="C76" s="3" t="s">
        <v>159</v>
      </c>
      <c r="D76" s="2" t="s">
        <v>166</v>
      </c>
      <c r="E76" s="2">
        <v>4</v>
      </c>
      <c r="G76" s="4">
        <v>100</v>
      </c>
      <c r="H76" s="4">
        <v>20</v>
      </c>
      <c r="K76" s="15" t="s">
        <v>167</v>
      </c>
      <c r="M76" s="2">
        <v>300</v>
      </c>
      <c r="N76" s="2" t="s">
        <v>31</v>
      </c>
    </row>
    <row r="77" spans="1:14">
      <c r="A77" s="2">
        <f t="shared" si="2"/>
        <v>20090005</v>
      </c>
      <c r="B77" s="2">
        <v>200900</v>
      </c>
      <c r="C77" s="3" t="s">
        <v>159</v>
      </c>
      <c r="D77" s="2" t="s">
        <v>168</v>
      </c>
      <c r="E77" s="2">
        <v>5</v>
      </c>
      <c r="G77" s="4">
        <v>100</v>
      </c>
      <c r="H77" s="4">
        <v>20</v>
      </c>
      <c r="K77" s="15" t="s">
        <v>169</v>
      </c>
      <c r="M77" s="2">
        <v>300</v>
      </c>
      <c r="N77" s="2" t="s">
        <v>31</v>
      </c>
    </row>
    <row r="78" spans="1:14">
      <c r="A78" s="2">
        <f t="shared" si="2"/>
        <v>20090006</v>
      </c>
      <c r="B78" s="2">
        <v>200900</v>
      </c>
      <c r="C78" s="3" t="s">
        <v>159</v>
      </c>
      <c r="D78" s="2" t="s">
        <v>170</v>
      </c>
      <c r="E78" s="2">
        <v>6</v>
      </c>
      <c r="G78" s="4">
        <v>100</v>
      </c>
      <c r="H78" s="4">
        <v>20</v>
      </c>
      <c r="K78" s="15" t="s">
        <v>171</v>
      </c>
      <c r="M78" s="2">
        <v>300</v>
      </c>
      <c r="N78" s="2" t="s">
        <v>31</v>
      </c>
    </row>
    <row r="79" s="2" customFormat="1" spans="1:14">
      <c r="A79" s="2">
        <f t="shared" si="2"/>
        <v>20120001</v>
      </c>
      <c r="B79" s="2">
        <v>201200</v>
      </c>
      <c r="C79" s="3" t="s">
        <v>172</v>
      </c>
      <c r="D79" s="2" t="s">
        <v>130</v>
      </c>
      <c r="E79" s="2">
        <v>1</v>
      </c>
      <c r="F79" s="4"/>
      <c r="G79" s="4">
        <v>100</v>
      </c>
      <c r="H79" s="4">
        <v>20</v>
      </c>
      <c r="I79" s="4"/>
      <c r="J79" s="4"/>
      <c r="M79" s="2">
        <v>3500</v>
      </c>
      <c r="N79" s="2" t="s">
        <v>31</v>
      </c>
    </row>
    <row r="80" s="2" customFormat="1" spans="1:14">
      <c r="A80" s="2">
        <f t="shared" si="2"/>
        <v>20120002</v>
      </c>
      <c r="B80" s="2">
        <v>201200</v>
      </c>
      <c r="C80" s="3" t="s">
        <v>172</v>
      </c>
      <c r="D80" s="2" t="s">
        <v>132</v>
      </c>
      <c r="E80" s="2">
        <v>2</v>
      </c>
      <c r="F80" s="4"/>
      <c r="G80" s="4">
        <v>100</v>
      </c>
      <c r="H80" s="4">
        <v>20</v>
      </c>
      <c r="I80" s="4"/>
      <c r="J80" s="4"/>
      <c r="M80" s="2">
        <v>3500</v>
      </c>
      <c r="N80" s="2" t="s">
        <v>31</v>
      </c>
    </row>
    <row r="81" s="2" customFormat="1" spans="1:14">
      <c r="A81" s="2">
        <f t="shared" si="2"/>
        <v>20120003</v>
      </c>
      <c r="B81" s="2">
        <v>201200</v>
      </c>
      <c r="C81" s="3" t="s">
        <v>172</v>
      </c>
      <c r="D81" s="2" t="s">
        <v>134</v>
      </c>
      <c r="E81" s="2">
        <v>3</v>
      </c>
      <c r="F81" s="4"/>
      <c r="G81" s="4">
        <v>100</v>
      </c>
      <c r="H81" s="4">
        <v>20</v>
      </c>
      <c r="I81" s="4"/>
      <c r="J81" s="4"/>
      <c r="M81" s="2">
        <v>3500</v>
      </c>
      <c r="N81" s="2" t="s">
        <v>31</v>
      </c>
    </row>
    <row r="82" s="2" customFormat="1" spans="1:14">
      <c r="A82" s="2">
        <f t="shared" si="2"/>
        <v>20120004</v>
      </c>
      <c r="B82" s="2">
        <v>201200</v>
      </c>
      <c r="C82" s="3" t="s">
        <v>172</v>
      </c>
      <c r="D82" s="2" t="s">
        <v>136</v>
      </c>
      <c r="E82" s="2">
        <v>4</v>
      </c>
      <c r="F82" s="4"/>
      <c r="G82" s="4">
        <v>100</v>
      </c>
      <c r="H82" s="4">
        <v>20</v>
      </c>
      <c r="I82" s="4"/>
      <c r="J82" s="4"/>
      <c r="M82" s="2">
        <v>3500</v>
      </c>
      <c r="N82" s="2" t="s">
        <v>31</v>
      </c>
    </row>
    <row r="83" s="2" customFormat="1" spans="1:14">
      <c r="A83" s="2">
        <f t="shared" si="2"/>
        <v>20120005</v>
      </c>
      <c r="B83" s="2">
        <v>201200</v>
      </c>
      <c r="C83" s="3" t="s">
        <v>172</v>
      </c>
      <c r="D83" s="2" t="s">
        <v>138</v>
      </c>
      <c r="E83" s="2">
        <v>5</v>
      </c>
      <c r="F83" s="4"/>
      <c r="G83" s="4">
        <v>100</v>
      </c>
      <c r="H83" s="4">
        <v>20</v>
      </c>
      <c r="I83" s="4"/>
      <c r="J83" s="4"/>
      <c r="M83" s="2">
        <v>3500</v>
      </c>
      <c r="N83" s="2" t="s">
        <v>31</v>
      </c>
    </row>
    <row r="84" s="2" customFormat="1" spans="1:14">
      <c r="A84" s="2">
        <f t="shared" si="2"/>
        <v>20120006</v>
      </c>
      <c r="B84" s="2">
        <v>201200</v>
      </c>
      <c r="C84" s="3" t="s">
        <v>172</v>
      </c>
      <c r="D84" s="2" t="s">
        <v>140</v>
      </c>
      <c r="E84" s="2">
        <v>6</v>
      </c>
      <c r="F84" s="4"/>
      <c r="G84" s="4">
        <v>100</v>
      </c>
      <c r="H84" s="4">
        <v>20</v>
      </c>
      <c r="I84" s="4"/>
      <c r="J84" s="4"/>
      <c r="M84" s="2">
        <v>3500</v>
      </c>
      <c r="N84" s="2" t="s">
        <v>31</v>
      </c>
    </row>
    <row r="85" s="2" customFormat="1" spans="1:14">
      <c r="A85" s="2">
        <f t="shared" si="2"/>
        <v>20120007</v>
      </c>
      <c r="B85" s="2">
        <v>201200</v>
      </c>
      <c r="C85" s="3" t="s">
        <v>172</v>
      </c>
      <c r="D85" s="2" t="s">
        <v>173</v>
      </c>
      <c r="E85" s="2">
        <v>7</v>
      </c>
      <c r="F85" s="4"/>
      <c r="G85" s="4">
        <v>100</v>
      </c>
      <c r="H85" s="4">
        <v>20</v>
      </c>
      <c r="I85" s="4"/>
      <c r="J85" s="4"/>
      <c r="M85" s="2">
        <v>3500</v>
      </c>
      <c r="N85" s="2" t="s">
        <v>31</v>
      </c>
    </row>
    <row r="86" s="2" customFormat="1" spans="1:14">
      <c r="A86" s="2">
        <f t="shared" si="2"/>
        <v>20120008</v>
      </c>
      <c r="B86" s="2">
        <v>201200</v>
      </c>
      <c r="C86" s="3" t="s">
        <v>172</v>
      </c>
      <c r="D86" s="2" t="s">
        <v>174</v>
      </c>
      <c r="E86" s="2">
        <v>8</v>
      </c>
      <c r="F86" s="4"/>
      <c r="G86" s="4">
        <v>100</v>
      </c>
      <c r="H86" s="4">
        <v>20</v>
      </c>
      <c r="I86" s="4"/>
      <c r="J86" s="4"/>
      <c r="M86" s="2">
        <v>3500</v>
      </c>
      <c r="N86" s="2" t="s">
        <v>31</v>
      </c>
    </row>
    <row r="87" s="2" customFormat="1" spans="1:14">
      <c r="A87" s="2">
        <f t="shared" si="2"/>
        <v>20120009</v>
      </c>
      <c r="B87" s="2">
        <v>201200</v>
      </c>
      <c r="C87" s="3" t="s">
        <v>172</v>
      </c>
      <c r="D87" s="2" t="s">
        <v>175</v>
      </c>
      <c r="E87" s="2">
        <v>9</v>
      </c>
      <c r="F87" s="4"/>
      <c r="G87" s="4">
        <v>100</v>
      </c>
      <c r="H87" s="4">
        <v>20</v>
      </c>
      <c r="I87" s="4"/>
      <c r="J87" s="4"/>
      <c r="M87" s="2">
        <v>3500</v>
      </c>
      <c r="N87" s="2" t="s">
        <v>31</v>
      </c>
    </row>
    <row r="88" s="2" customFormat="1" spans="1:14">
      <c r="A88" s="2">
        <f t="shared" si="2"/>
        <v>20120010</v>
      </c>
      <c r="B88" s="2">
        <v>201200</v>
      </c>
      <c r="C88" s="3" t="s">
        <v>172</v>
      </c>
      <c r="D88" s="2" t="s">
        <v>176</v>
      </c>
      <c r="E88" s="2">
        <v>10</v>
      </c>
      <c r="F88" s="4"/>
      <c r="G88" s="4">
        <v>100</v>
      </c>
      <c r="H88" s="4">
        <v>20</v>
      </c>
      <c r="I88" s="4"/>
      <c r="J88" s="4"/>
      <c r="M88" s="2">
        <v>3500</v>
      </c>
      <c r="N88" s="2" t="s">
        <v>31</v>
      </c>
    </row>
    <row r="89" s="2" customFormat="1" spans="1:14">
      <c r="A89" s="2">
        <f t="shared" si="2"/>
        <v>20120011</v>
      </c>
      <c r="B89" s="2">
        <v>201200</v>
      </c>
      <c r="C89" s="3" t="s">
        <v>172</v>
      </c>
      <c r="D89" s="2" t="s">
        <v>177</v>
      </c>
      <c r="E89" s="2">
        <v>11</v>
      </c>
      <c r="F89" s="4"/>
      <c r="G89" s="4">
        <v>100</v>
      </c>
      <c r="H89" s="4">
        <v>20</v>
      </c>
      <c r="I89" s="4"/>
      <c r="J89" s="4"/>
      <c r="M89" s="2">
        <v>3500</v>
      </c>
      <c r="N89" s="2" t="s">
        <v>31</v>
      </c>
    </row>
    <row r="90" s="2" customFormat="1" spans="1:14">
      <c r="A90" s="2">
        <f t="shared" si="2"/>
        <v>20120012</v>
      </c>
      <c r="B90" s="2">
        <v>201200</v>
      </c>
      <c r="C90" s="3" t="s">
        <v>172</v>
      </c>
      <c r="D90" s="2" t="s">
        <v>178</v>
      </c>
      <c r="E90" s="2">
        <v>12</v>
      </c>
      <c r="F90" s="4"/>
      <c r="G90" s="4">
        <v>100</v>
      </c>
      <c r="H90" s="4">
        <v>20</v>
      </c>
      <c r="I90" s="4"/>
      <c r="J90" s="4"/>
      <c r="M90" s="2">
        <v>3500</v>
      </c>
      <c r="N90" s="2" t="s">
        <v>31</v>
      </c>
    </row>
    <row r="91" s="2" customFormat="1" spans="1:14">
      <c r="A91" s="2">
        <f t="shared" si="2"/>
        <v>20120013</v>
      </c>
      <c r="B91" s="2">
        <v>201200</v>
      </c>
      <c r="C91" s="3" t="s">
        <v>172</v>
      </c>
      <c r="D91" s="2" t="s">
        <v>179</v>
      </c>
      <c r="E91" s="2">
        <v>13</v>
      </c>
      <c r="F91" s="4"/>
      <c r="G91" s="4">
        <v>100</v>
      </c>
      <c r="H91" s="4">
        <v>20</v>
      </c>
      <c r="I91" s="4"/>
      <c r="J91" s="4"/>
      <c r="M91" s="2">
        <v>3500</v>
      </c>
      <c r="N91" s="2" t="s">
        <v>31</v>
      </c>
    </row>
    <row r="92" s="2" customFormat="1" spans="1:14">
      <c r="A92" s="2">
        <f t="shared" si="2"/>
        <v>20120014</v>
      </c>
      <c r="B92" s="2">
        <v>201200</v>
      </c>
      <c r="C92" s="3" t="s">
        <v>172</v>
      </c>
      <c r="D92" s="2" t="s">
        <v>180</v>
      </c>
      <c r="E92" s="2">
        <v>14</v>
      </c>
      <c r="F92" s="4"/>
      <c r="G92" s="4">
        <v>100</v>
      </c>
      <c r="H92" s="4">
        <v>20</v>
      </c>
      <c r="I92" s="4"/>
      <c r="J92" s="4"/>
      <c r="M92" s="2">
        <v>3500</v>
      </c>
      <c r="N92" s="2" t="s">
        <v>31</v>
      </c>
    </row>
    <row r="93" s="2" customFormat="1" spans="1:14">
      <c r="A93" s="2">
        <f t="shared" si="2"/>
        <v>20120015</v>
      </c>
      <c r="B93" s="2">
        <v>201200</v>
      </c>
      <c r="C93" s="3" t="s">
        <v>172</v>
      </c>
      <c r="D93" s="2" t="s">
        <v>181</v>
      </c>
      <c r="E93" s="2">
        <v>15</v>
      </c>
      <c r="F93" s="4"/>
      <c r="G93" s="4">
        <v>100</v>
      </c>
      <c r="H93" s="4">
        <v>20</v>
      </c>
      <c r="I93" s="4"/>
      <c r="J93" s="4"/>
      <c r="M93" s="2">
        <v>3500</v>
      </c>
      <c r="N93" s="2" t="s">
        <v>31</v>
      </c>
    </row>
    <row r="94" s="2" customFormat="1" spans="1:14">
      <c r="A94" s="2">
        <f t="shared" si="2"/>
        <v>20120016</v>
      </c>
      <c r="B94" s="2">
        <v>201200</v>
      </c>
      <c r="C94" s="3" t="s">
        <v>172</v>
      </c>
      <c r="D94" s="2" t="s">
        <v>182</v>
      </c>
      <c r="E94" s="2">
        <v>16</v>
      </c>
      <c r="F94" s="4"/>
      <c r="G94" s="4">
        <v>100</v>
      </c>
      <c r="H94" s="4">
        <v>20</v>
      </c>
      <c r="I94" s="4"/>
      <c r="J94" s="4"/>
      <c r="M94" s="2">
        <v>3500</v>
      </c>
      <c r="N94" s="2" t="s">
        <v>31</v>
      </c>
    </row>
    <row r="95" s="2" customFormat="1" spans="1:14">
      <c r="A95" s="2">
        <f t="shared" si="2"/>
        <v>20120017</v>
      </c>
      <c r="B95" s="2">
        <v>201200</v>
      </c>
      <c r="C95" s="3" t="s">
        <v>172</v>
      </c>
      <c r="D95" s="2" t="s">
        <v>183</v>
      </c>
      <c r="E95" s="2">
        <v>17</v>
      </c>
      <c r="F95" s="4"/>
      <c r="G95" s="4">
        <v>100</v>
      </c>
      <c r="H95" s="4">
        <v>20</v>
      </c>
      <c r="I95" s="4"/>
      <c r="J95" s="4"/>
      <c r="M95" s="2">
        <v>3500</v>
      </c>
      <c r="N95" s="2" t="s">
        <v>31</v>
      </c>
    </row>
    <row r="96" s="2" customFormat="1" spans="1:14">
      <c r="A96" s="2">
        <f t="shared" si="2"/>
        <v>20120018</v>
      </c>
      <c r="B96" s="2">
        <v>201200</v>
      </c>
      <c r="C96" s="3" t="s">
        <v>172</v>
      </c>
      <c r="D96" s="2" t="s">
        <v>184</v>
      </c>
      <c r="E96" s="2">
        <v>18</v>
      </c>
      <c r="F96" s="4"/>
      <c r="G96" s="4">
        <v>100</v>
      </c>
      <c r="H96" s="4">
        <v>20</v>
      </c>
      <c r="I96" s="4"/>
      <c r="J96" s="4"/>
      <c r="M96" s="2">
        <v>3500</v>
      </c>
      <c r="N96" s="2" t="s">
        <v>31</v>
      </c>
    </row>
    <row r="97" s="2" customFormat="1" spans="1:14">
      <c r="A97" s="2">
        <f t="shared" si="2"/>
        <v>20120019</v>
      </c>
      <c r="B97" s="2">
        <v>201200</v>
      </c>
      <c r="C97" s="3" t="s">
        <v>172</v>
      </c>
      <c r="D97" s="2" t="s">
        <v>185</v>
      </c>
      <c r="E97" s="2">
        <v>19</v>
      </c>
      <c r="F97" s="4"/>
      <c r="G97" s="4">
        <v>100</v>
      </c>
      <c r="H97" s="4">
        <v>20</v>
      </c>
      <c r="I97" s="4"/>
      <c r="J97" s="4"/>
      <c r="M97" s="2">
        <v>3500</v>
      </c>
      <c r="N97" s="2" t="s">
        <v>31</v>
      </c>
    </row>
    <row r="98" s="2" customFormat="1" spans="1:14">
      <c r="A98" s="2">
        <f t="shared" si="2"/>
        <v>20120020</v>
      </c>
      <c r="B98" s="2">
        <v>201200</v>
      </c>
      <c r="C98" s="3" t="s">
        <v>172</v>
      </c>
      <c r="D98" s="2" t="s">
        <v>186</v>
      </c>
      <c r="E98" s="2">
        <v>20</v>
      </c>
      <c r="F98" s="4"/>
      <c r="G98" s="4">
        <v>100</v>
      </c>
      <c r="H98" s="4">
        <v>20</v>
      </c>
      <c r="I98" s="4"/>
      <c r="J98" s="4"/>
      <c r="M98" s="2">
        <v>3500</v>
      </c>
      <c r="N98" s="2" t="s">
        <v>31</v>
      </c>
    </row>
    <row r="99" s="2" customFormat="1" spans="1:14">
      <c r="A99" s="2">
        <f t="shared" si="2"/>
        <v>20120021</v>
      </c>
      <c r="B99" s="2">
        <v>201200</v>
      </c>
      <c r="C99" s="3" t="s">
        <v>172</v>
      </c>
      <c r="D99" s="2" t="s">
        <v>187</v>
      </c>
      <c r="E99" s="2">
        <v>21</v>
      </c>
      <c r="F99" s="4"/>
      <c r="G99" s="4">
        <v>100</v>
      </c>
      <c r="H99" s="4">
        <v>20</v>
      </c>
      <c r="I99" s="4"/>
      <c r="J99" s="4"/>
      <c r="M99" s="2">
        <v>3500</v>
      </c>
      <c r="N99" s="2" t="s">
        <v>31</v>
      </c>
    </row>
    <row r="100" s="2" customFormat="1" spans="1:14">
      <c r="A100" s="2">
        <f t="shared" si="2"/>
        <v>20120022</v>
      </c>
      <c r="B100" s="2">
        <v>201200</v>
      </c>
      <c r="C100" s="3" t="s">
        <v>172</v>
      </c>
      <c r="D100" s="2" t="s">
        <v>188</v>
      </c>
      <c r="E100" s="2">
        <v>22</v>
      </c>
      <c r="F100" s="4"/>
      <c r="G100" s="4">
        <v>100</v>
      </c>
      <c r="H100" s="4">
        <v>20</v>
      </c>
      <c r="I100" s="4"/>
      <c r="J100" s="4"/>
      <c r="M100" s="2">
        <v>3500</v>
      </c>
      <c r="N100" s="2" t="s">
        <v>31</v>
      </c>
    </row>
    <row r="101" s="2" customFormat="1" spans="1:14">
      <c r="A101" s="2">
        <f t="shared" si="2"/>
        <v>20120023</v>
      </c>
      <c r="B101" s="2">
        <v>201200</v>
      </c>
      <c r="C101" s="3" t="s">
        <v>172</v>
      </c>
      <c r="D101" s="2" t="s">
        <v>189</v>
      </c>
      <c r="E101" s="2">
        <v>23</v>
      </c>
      <c r="F101" s="4"/>
      <c r="G101" s="4">
        <v>100</v>
      </c>
      <c r="H101" s="4">
        <v>20</v>
      </c>
      <c r="I101" s="4"/>
      <c r="J101" s="4"/>
      <c r="M101" s="2">
        <v>3500</v>
      </c>
      <c r="N101" s="2" t="s">
        <v>31</v>
      </c>
    </row>
    <row r="102" s="2" customFormat="1" spans="1:14">
      <c r="A102" s="2">
        <f t="shared" si="2"/>
        <v>20120024</v>
      </c>
      <c r="B102" s="2">
        <v>201200</v>
      </c>
      <c r="C102" s="3" t="s">
        <v>172</v>
      </c>
      <c r="D102" s="2" t="s">
        <v>190</v>
      </c>
      <c r="E102" s="2">
        <v>24</v>
      </c>
      <c r="F102" s="4"/>
      <c r="G102" s="4">
        <v>100</v>
      </c>
      <c r="H102" s="4">
        <v>20</v>
      </c>
      <c r="I102" s="4"/>
      <c r="J102" s="4"/>
      <c r="M102" s="2">
        <v>3500</v>
      </c>
      <c r="N102" s="2" t="s">
        <v>31</v>
      </c>
    </row>
    <row r="103" s="2" customFormat="1" spans="1:14">
      <c r="A103" s="2">
        <f t="shared" si="2"/>
        <v>20120025</v>
      </c>
      <c r="B103" s="2">
        <v>201200</v>
      </c>
      <c r="C103" s="3" t="s">
        <v>172</v>
      </c>
      <c r="D103" s="2" t="s">
        <v>191</v>
      </c>
      <c r="E103" s="2">
        <v>25</v>
      </c>
      <c r="F103" s="4"/>
      <c r="G103" s="4">
        <v>100</v>
      </c>
      <c r="H103" s="4">
        <v>20</v>
      </c>
      <c r="I103" s="4"/>
      <c r="J103" s="4"/>
      <c r="M103" s="2">
        <v>3500</v>
      </c>
      <c r="N103" s="2" t="s">
        <v>31</v>
      </c>
    </row>
    <row r="104" s="2" customFormat="1" spans="1:14">
      <c r="A104" s="2">
        <f t="shared" si="2"/>
        <v>20120026</v>
      </c>
      <c r="B104" s="2">
        <v>201200</v>
      </c>
      <c r="C104" s="3" t="s">
        <v>172</v>
      </c>
      <c r="D104" s="2" t="s">
        <v>192</v>
      </c>
      <c r="E104" s="2">
        <v>26</v>
      </c>
      <c r="F104" s="4"/>
      <c r="G104" s="4">
        <v>100</v>
      </c>
      <c r="H104" s="4">
        <v>20</v>
      </c>
      <c r="I104" s="4"/>
      <c r="J104" s="4"/>
      <c r="M104" s="2">
        <v>3500</v>
      </c>
      <c r="N104" s="2" t="s">
        <v>31</v>
      </c>
    </row>
    <row r="105" s="2" customFormat="1" spans="1:14">
      <c r="A105" s="2">
        <f t="shared" si="2"/>
        <v>20120027</v>
      </c>
      <c r="B105" s="2">
        <v>201200</v>
      </c>
      <c r="C105" s="3" t="s">
        <v>172</v>
      </c>
      <c r="D105" s="2" t="s">
        <v>193</v>
      </c>
      <c r="E105" s="2">
        <v>27</v>
      </c>
      <c r="F105" s="4"/>
      <c r="G105" s="4">
        <v>100</v>
      </c>
      <c r="H105" s="4">
        <v>20</v>
      </c>
      <c r="I105" s="4"/>
      <c r="J105" s="4"/>
      <c r="M105" s="2">
        <v>3500</v>
      </c>
      <c r="N105" s="2" t="s">
        <v>31</v>
      </c>
    </row>
    <row r="106" s="2" customFormat="1" spans="1:14">
      <c r="A106" s="2">
        <f t="shared" si="2"/>
        <v>20120028</v>
      </c>
      <c r="B106" s="2">
        <v>201200</v>
      </c>
      <c r="C106" s="3" t="s">
        <v>172</v>
      </c>
      <c r="D106" s="2" t="s">
        <v>194</v>
      </c>
      <c r="E106" s="2">
        <v>28</v>
      </c>
      <c r="F106" s="4"/>
      <c r="G106" s="4">
        <v>100</v>
      </c>
      <c r="H106" s="4">
        <v>20</v>
      </c>
      <c r="I106" s="4"/>
      <c r="J106" s="4"/>
      <c r="M106" s="2">
        <v>3500</v>
      </c>
      <c r="N106" s="2" t="s">
        <v>31</v>
      </c>
    </row>
    <row r="107" s="2" customFormat="1" spans="1:14">
      <c r="A107" s="2">
        <f t="shared" si="2"/>
        <v>20120029</v>
      </c>
      <c r="B107" s="2">
        <v>201200</v>
      </c>
      <c r="C107" s="3" t="s">
        <v>172</v>
      </c>
      <c r="D107" s="2" t="s">
        <v>195</v>
      </c>
      <c r="E107" s="2">
        <v>29</v>
      </c>
      <c r="F107" s="4"/>
      <c r="G107" s="4">
        <v>100</v>
      </c>
      <c r="H107" s="4">
        <v>20</v>
      </c>
      <c r="I107" s="4"/>
      <c r="J107" s="4"/>
      <c r="M107" s="2">
        <v>3500</v>
      </c>
      <c r="N107" s="2" t="s">
        <v>31</v>
      </c>
    </row>
    <row r="108" s="2" customFormat="1" spans="1:14">
      <c r="A108" s="2">
        <f t="shared" si="2"/>
        <v>20120030</v>
      </c>
      <c r="B108" s="2">
        <v>201200</v>
      </c>
      <c r="C108" s="3" t="s">
        <v>172</v>
      </c>
      <c r="D108" s="2" t="s">
        <v>196</v>
      </c>
      <c r="E108" s="2">
        <v>30</v>
      </c>
      <c r="F108" s="4"/>
      <c r="G108" s="4">
        <v>100</v>
      </c>
      <c r="H108" s="4">
        <v>20</v>
      </c>
      <c r="I108" s="4"/>
      <c r="J108" s="4"/>
      <c r="M108" s="2">
        <v>3500</v>
      </c>
      <c r="N108" s="2" t="s">
        <v>31</v>
      </c>
    </row>
    <row r="109" s="2" customFormat="1" spans="1:14">
      <c r="A109" s="2">
        <f t="shared" si="2"/>
        <v>20120031</v>
      </c>
      <c r="B109" s="2">
        <v>201200</v>
      </c>
      <c r="C109" s="3" t="s">
        <v>172</v>
      </c>
      <c r="D109" s="2" t="s">
        <v>197</v>
      </c>
      <c r="E109" s="2">
        <v>31</v>
      </c>
      <c r="F109" s="4"/>
      <c r="G109" s="4">
        <v>100</v>
      </c>
      <c r="H109" s="4">
        <v>20</v>
      </c>
      <c r="I109" s="4"/>
      <c r="J109" s="4"/>
      <c r="M109" s="2">
        <v>3500</v>
      </c>
      <c r="N109" s="2" t="s">
        <v>31</v>
      </c>
    </row>
    <row r="110" s="2" customFormat="1" spans="1:14">
      <c r="A110" s="2">
        <f t="shared" si="2"/>
        <v>20120032</v>
      </c>
      <c r="B110" s="2">
        <v>201200</v>
      </c>
      <c r="C110" s="3" t="s">
        <v>172</v>
      </c>
      <c r="D110" s="2" t="s">
        <v>198</v>
      </c>
      <c r="E110" s="2">
        <v>32</v>
      </c>
      <c r="F110" s="4"/>
      <c r="G110" s="4">
        <v>100</v>
      </c>
      <c r="H110" s="4">
        <v>20</v>
      </c>
      <c r="I110" s="4"/>
      <c r="J110" s="4"/>
      <c r="M110" s="2">
        <v>3500</v>
      </c>
      <c r="N110" s="2" t="s">
        <v>31</v>
      </c>
    </row>
    <row r="111" s="2" customFormat="1" spans="1:14">
      <c r="A111" s="2">
        <f t="shared" si="2"/>
        <v>20120033</v>
      </c>
      <c r="B111" s="2">
        <v>201200</v>
      </c>
      <c r="C111" s="3" t="s">
        <v>172</v>
      </c>
      <c r="D111" s="2" t="s">
        <v>199</v>
      </c>
      <c r="E111" s="2">
        <v>33</v>
      </c>
      <c r="F111" s="4"/>
      <c r="G111" s="4">
        <v>100</v>
      </c>
      <c r="H111" s="4">
        <v>20</v>
      </c>
      <c r="I111" s="4"/>
      <c r="J111" s="4"/>
      <c r="M111" s="2">
        <v>3500</v>
      </c>
      <c r="N111" s="2" t="s">
        <v>31</v>
      </c>
    </row>
    <row r="112" s="2" customFormat="1" spans="1:14">
      <c r="A112" s="2">
        <f t="shared" si="2"/>
        <v>20120034</v>
      </c>
      <c r="B112" s="2">
        <v>201200</v>
      </c>
      <c r="C112" s="3" t="s">
        <v>172</v>
      </c>
      <c r="D112" s="2" t="s">
        <v>200</v>
      </c>
      <c r="E112" s="2">
        <v>34</v>
      </c>
      <c r="F112" s="4"/>
      <c r="G112" s="4">
        <v>100</v>
      </c>
      <c r="H112" s="4">
        <v>20</v>
      </c>
      <c r="I112" s="4"/>
      <c r="J112" s="4"/>
      <c r="M112" s="2">
        <v>3500</v>
      </c>
      <c r="N112" s="2" t="s">
        <v>31</v>
      </c>
    </row>
    <row r="113" s="2" customFormat="1" spans="1:14">
      <c r="A113" s="2">
        <f t="shared" si="2"/>
        <v>20120035</v>
      </c>
      <c r="B113" s="2">
        <v>201200</v>
      </c>
      <c r="C113" s="3" t="s">
        <v>172</v>
      </c>
      <c r="D113" s="2" t="s">
        <v>201</v>
      </c>
      <c r="E113" s="2">
        <v>35</v>
      </c>
      <c r="F113" s="4"/>
      <c r="G113" s="4">
        <v>100</v>
      </c>
      <c r="H113" s="4">
        <v>20</v>
      </c>
      <c r="I113" s="4"/>
      <c r="J113" s="4"/>
      <c r="M113" s="2">
        <v>3500</v>
      </c>
      <c r="N113" s="2" t="s">
        <v>31</v>
      </c>
    </row>
    <row r="114" s="2" customFormat="1" spans="1:14">
      <c r="A114" s="2">
        <f t="shared" si="2"/>
        <v>20120036</v>
      </c>
      <c r="B114" s="2">
        <v>201200</v>
      </c>
      <c r="C114" s="3" t="s">
        <v>172</v>
      </c>
      <c r="D114" s="2" t="s">
        <v>202</v>
      </c>
      <c r="E114" s="2">
        <v>36</v>
      </c>
      <c r="F114" s="4"/>
      <c r="G114" s="4">
        <v>100</v>
      </c>
      <c r="H114" s="4">
        <v>20</v>
      </c>
      <c r="I114" s="4"/>
      <c r="J114" s="4"/>
      <c r="M114" s="2">
        <v>3500</v>
      </c>
      <c r="N114" s="2" t="s">
        <v>31</v>
      </c>
    </row>
    <row r="115" s="2" customFormat="1" spans="1:14">
      <c r="A115" s="2">
        <f t="shared" si="2"/>
        <v>20120037</v>
      </c>
      <c r="B115" s="2">
        <v>201200</v>
      </c>
      <c r="C115" s="3" t="s">
        <v>172</v>
      </c>
      <c r="D115" s="2" t="s">
        <v>203</v>
      </c>
      <c r="E115" s="2">
        <v>37</v>
      </c>
      <c r="F115" s="4"/>
      <c r="G115" s="4">
        <v>100</v>
      </c>
      <c r="H115" s="4">
        <v>20</v>
      </c>
      <c r="I115" s="4"/>
      <c r="J115" s="4"/>
      <c r="M115" s="2">
        <v>3500</v>
      </c>
      <c r="N115" s="2" t="s">
        <v>31</v>
      </c>
    </row>
    <row r="116" s="2" customFormat="1" spans="1:14">
      <c r="A116" s="2">
        <f t="shared" si="2"/>
        <v>20120038</v>
      </c>
      <c r="B116" s="2">
        <v>201200</v>
      </c>
      <c r="C116" s="3" t="s">
        <v>172</v>
      </c>
      <c r="D116" s="2" t="s">
        <v>204</v>
      </c>
      <c r="E116" s="2">
        <v>38</v>
      </c>
      <c r="F116" s="4"/>
      <c r="G116" s="4">
        <v>100</v>
      </c>
      <c r="H116" s="4">
        <v>20</v>
      </c>
      <c r="I116" s="4"/>
      <c r="J116" s="4"/>
      <c r="M116" s="2">
        <v>1700</v>
      </c>
      <c r="N116" s="2" t="s">
        <v>31</v>
      </c>
    </row>
    <row r="117" s="2" customFormat="1" spans="1:14">
      <c r="A117" s="2">
        <f t="shared" si="2"/>
        <v>20120039</v>
      </c>
      <c r="B117" s="2">
        <v>201200</v>
      </c>
      <c r="C117" s="3" t="s">
        <v>172</v>
      </c>
      <c r="D117" s="2" t="s">
        <v>205</v>
      </c>
      <c r="E117" s="2">
        <v>39</v>
      </c>
      <c r="F117" s="4"/>
      <c r="G117" s="4">
        <v>100</v>
      </c>
      <c r="H117" s="4">
        <v>20</v>
      </c>
      <c r="I117" s="4"/>
      <c r="J117" s="4"/>
      <c r="M117" s="2">
        <v>1700</v>
      </c>
      <c r="N117" s="2" t="s">
        <v>31</v>
      </c>
    </row>
    <row r="118" s="2" customFormat="1" spans="1:14">
      <c r="A118" s="2">
        <f t="shared" si="2"/>
        <v>20120040</v>
      </c>
      <c r="B118" s="2">
        <v>201200</v>
      </c>
      <c r="C118" s="3" t="s">
        <v>172</v>
      </c>
      <c r="D118" s="2" t="s">
        <v>206</v>
      </c>
      <c r="E118" s="2">
        <v>40</v>
      </c>
      <c r="F118" s="4"/>
      <c r="G118" s="4">
        <v>100</v>
      </c>
      <c r="H118" s="4">
        <v>20</v>
      </c>
      <c r="I118" s="4"/>
      <c r="J118" s="4"/>
      <c r="M118" s="2">
        <v>1700</v>
      </c>
      <c r="N118" s="2" t="s">
        <v>31</v>
      </c>
    </row>
    <row r="119" s="2" customFormat="1" spans="1:14">
      <c r="A119" s="2">
        <f t="shared" si="2"/>
        <v>20120041</v>
      </c>
      <c r="B119" s="2">
        <v>201200</v>
      </c>
      <c r="C119" s="3" t="s">
        <v>172</v>
      </c>
      <c r="D119" s="2" t="s">
        <v>207</v>
      </c>
      <c r="E119" s="2">
        <v>41</v>
      </c>
      <c r="F119" s="4"/>
      <c r="G119" s="4">
        <v>100</v>
      </c>
      <c r="H119" s="4">
        <v>20</v>
      </c>
      <c r="I119" s="4"/>
      <c r="J119" s="4"/>
      <c r="M119" s="2">
        <v>1700</v>
      </c>
      <c r="N119" s="2" t="s">
        <v>31</v>
      </c>
    </row>
    <row r="120" s="2" customFormat="1" spans="1:14">
      <c r="A120" s="2">
        <f t="shared" si="2"/>
        <v>20120042</v>
      </c>
      <c r="B120" s="2">
        <v>201200</v>
      </c>
      <c r="C120" s="3" t="s">
        <v>172</v>
      </c>
      <c r="D120" s="2" t="s">
        <v>208</v>
      </c>
      <c r="E120" s="2">
        <v>42</v>
      </c>
      <c r="F120" s="4"/>
      <c r="G120" s="4">
        <v>100</v>
      </c>
      <c r="H120" s="4">
        <v>20</v>
      </c>
      <c r="I120" s="4"/>
      <c r="J120" s="4"/>
      <c r="M120" s="2">
        <v>1700</v>
      </c>
      <c r="N120" s="2" t="s">
        <v>31</v>
      </c>
    </row>
    <row r="121" s="2" customFormat="1" spans="1:14">
      <c r="A121" s="2">
        <f t="shared" si="2"/>
        <v>20120043</v>
      </c>
      <c r="B121" s="2">
        <v>201200</v>
      </c>
      <c r="C121" s="3" t="s">
        <v>172</v>
      </c>
      <c r="D121" s="2" t="s">
        <v>209</v>
      </c>
      <c r="E121" s="2">
        <v>43</v>
      </c>
      <c r="F121" s="4"/>
      <c r="G121" s="4">
        <v>100</v>
      </c>
      <c r="H121" s="4">
        <v>20</v>
      </c>
      <c r="I121" s="4"/>
      <c r="J121" s="4"/>
      <c r="M121" s="2">
        <v>1700</v>
      </c>
      <c r="N121" s="2" t="s">
        <v>31</v>
      </c>
    </row>
    <row r="122" s="2" customFormat="1" spans="1:14">
      <c r="A122" s="2">
        <f t="shared" si="2"/>
        <v>20120044</v>
      </c>
      <c r="B122" s="2">
        <v>201200</v>
      </c>
      <c r="C122" s="3" t="s">
        <v>172</v>
      </c>
      <c r="D122" s="2" t="s">
        <v>210</v>
      </c>
      <c r="E122" s="2">
        <v>44</v>
      </c>
      <c r="F122" s="4"/>
      <c r="G122" s="4">
        <v>100</v>
      </c>
      <c r="H122" s="4">
        <v>20</v>
      </c>
      <c r="I122" s="4"/>
      <c r="J122" s="4"/>
      <c r="M122" s="2">
        <v>1700</v>
      </c>
      <c r="N122" s="2" t="s">
        <v>31</v>
      </c>
    </row>
    <row r="123" s="2" customFormat="1" spans="1:14">
      <c r="A123" s="2">
        <f t="shared" si="2"/>
        <v>20120045</v>
      </c>
      <c r="B123" s="2">
        <v>201200</v>
      </c>
      <c r="C123" s="3" t="s">
        <v>172</v>
      </c>
      <c r="D123" s="2" t="s">
        <v>211</v>
      </c>
      <c r="E123" s="2">
        <v>45</v>
      </c>
      <c r="F123" s="4"/>
      <c r="G123" s="4">
        <v>100</v>
      </c>
      <c r="H123" s="4">
        <v>20</v>
      </c>
      <c r="I123" s="4"/>
      <c r="J123" s="4"/>
      <c r="M123" s="2">
        <v>1700</v>
      </c>
      <c r="N123" s="2" t="s">
        <v>31</v>
      </c>
    </row>
    <row r="124" s="2" customFormat="1" spans="1:14">
      <c r="A124" s="2">
        <f t="shared" si="2"/>
        <v>20120046</v>
      </c>
      <c r="B124" s="2">
        <v>201200</v>
      </c>
      <c r="C124" s="3" t="s">
        <v>172</v>
      </c>
      <c r="D124" s="2" t="s">
        <v>212</v>
      </c>
      <c r="E124" s="2">
        <v>46</v>
      </c>
      <c r="F124" s="4"/>
      <c r="G124" s="4">
        <v>100</v>
      </c>
      <c r="H124" s="4">
        <v>20</v>
      </c>
      <c r="I124" s="4"/>
      <c r="J124" s="4"/>
      <c r="M124" s="2">
        <v>1700</v>
      </c>
      <c r="N124" s="2" t="s">
        <v>31</v>
      </c>
    </row>
    <row r="125" s="2" customFormat="1" spans="1:14">
      <c r="A125" s="2">
        <f t="shared" si="2"/>
        <v>20120047</v>
      </c>
      <c r="B125" s="2">
        <v>201200</v>
      </c>
      <c r="C125" s="3" t="s">
        <v>172</v>
      </c>
      <c r="D125" s="2" t="s">
        <v>213</v>
      </c>
      <c r="E125" s="2">
        <v>47</v>
      </c>
      <c r="F125" s="4"/>
      <c r="G125" s="4">
        <v>100</v>
      </c>
      <c r="H125" s="4">
        <v>20</v>
      </c>
      <c r="I125" s="4"/>
      <c r="J125" s="4"/>
      <c r="M125" s="2">
        <v>1700</v>
      </c>
      <c r="N125" s="2" t="s">
        <v>31</v>
      </c>
    </row>
    <row r="126" s="2" customFormat="1" spans="1:14">
      <c r="A126" s="2">
        <f t="shared" si="2"/>
        <v>20120048</v>
      </c>
      <c r="B126" s="2">
        <v>201200</v>
      </c>
      <c r="C126" s="3" t="s">
        <v>172</v>
      </c>
      <c r="D126" s="2" t="s">
        <v>214</v>
      </c>
      <c r="E126" s="2">
        <v>48</v>
      </c>
      <c r="F126" s="4"/>
      <c r="G126" s="4">
        <v>100</v>
      </c>
      <c r="H126" s="4">
        <v>20</v>
      </c>
      <c r="I126" s="4"/>
      <c r="J126" s="4"/>
      <c r="M126" s="2">
        <v>1700</v>
      </c>
      <c r="N126" s="2" t="s">
        <v>31</v>
      </c>
    </row>
    <row r="127" s="2" customFormat="1" spans="1:14">
      <c r="A127" s="2">
        <f t="shared" si="2"/>
        <v>20120049</v>
      </c>
      <c r="B127" s="2">
        <v>201200</v>
      </c>
      <c r="C127" s="3" t="s">
        <v>172</v>
      </c>
      <c r="D127" s="2" t="s">
        <v>215</v>
      </c>
      <c r="E127" s="2">
        <v>49</v>
      </c>
      <c r="F127" s="4"/>
      <c r="G127" s="4">
        <v>100</v>
      </c>
      <c r="H127" s="4">
        <v>20</v>
      </c>
      <c r="I127" s="4"/>
      <c r="J127" s="4"/>
      <c r="M127" s="2">
        <v>1700</v>
      </c>
      <c r="N127" s="2" t="s">
        <v>31</v>
      </c>
    </row>
    <row r="128" s="2" customFormat="1" spans="1:14">
      <c r="A128" s="2">
        <f t="shared" si="2"/>
        <v>20120050</v>
      </c>
      <c r="B128" s="2">
        <v>201200</v>
      </c>
      <c r="C128" s="3" t="s">
        <v>172</v>
      </c>
      <c r="D128" s="2" t="s">
        <v>216</v>
      </c>
      <c r="E128" s="2">
        <v>50</v>
      </c>
      <c r="F128" s="4"/>
      <c r="G128" s="4">
        <v>100</v>
      </c>
      <c r="H128" s="4">
        <v>20</v>
      </c>
      <c r="I128" s="4"/>
      <c r="J128" s="4"/>
      <c r="M128" s="2">
        <v>1700</v>
      </c>
      <c r="N128" s="2" t="s">
        <v>31</v>
      </c>
    </row>
    <row r="129" s="2" customFormat="1" spans="1:14">
      <c r="A129" s="2">
        <f t="shared" si="2"/>
        <v>20120051</v>
      </c>
      <c r="B129" s="2">
        <v>201200</v>
      </c>
      <c r="C129" s="3" t="s">
        <v>172</v>
      </c>
      <c r="D129" s="2" t="s">
        <v>217</v>
      </c>
      <c r="E129" s="2">
        <v>51</v>
      </c>
      <c r="F129" s="4"/>
      <c r="G129" s="4">
        <v>100</v>
      </c>
      <c r="H129" s="4">
        <v>20</v>
      </c>
      <c r="I129" s="4"/>
      <c r="J129" s="4"/>
      <c r="M129" s="2">
        <v>1700</v>
      </c>
      <c r="N129" s="2" t="s">
        <v>31</v>
      </c>
    </row>
    <row r="130" s="2" customFormat="1" spans="1:14">
      <c r="A130" s="2">
        <f t="shared" si="2"/>
        <v>20120052</v>
      </c>
      <c r="B130" s="2">
        <v>201200</v>
      </c>
      <c r="C130" s="3" t="s">
        <v>172</v>
      </c>
      <c r="D130" s="2" t="s">
        <v>218</v>
      </c>
      <c r="E130" s="2">
        <v>52</v>
      </c>
      <c r="F130" s="4"/>
      <c r="G130" s="4">
        <v>100</v>
      </c>
      <c r="H130" s="4">
        <v>20</v>
      </c>
      <c r="I130" s="4"/>
      <c r="J130" s="4"/>
      <c r="M130" s="2">
        <v>1700</v>
      </c>
      <c r="N130" s="2" t="s">
        <v>31</v>
      </c>
    </row>
    <row r="131" s="2" customFormat="1" spans="1:14">
      <c r="A131" s="2">
        <f t="shared" si="2"/>
        <v>20120053</v>
      </c>
      <c r="B131" s="2">
        <v>201200</v>
      </c>
      <c r="C131" s="3" t="s">
        <v>172</v>
      </c>
      <c r="D131" s="2" t="s">
        <v>219</v>
      </c>
      <c r="E131" s="2">
        <v>53</v>
      </c>
      <c r="F131" s="4"/>
      <c r="G131" s="4">
        <v>100</v>
      </c>
      <c r="H131" s="4">
        <v>20</v>
      </c>
      <c r="I131" s="4"/>
      <c r="J131" s="4"/>
      <c r="M131" s="2">
        <v>1700</v>
      </c>
      <c r="N131" s="2" t="s">
        <v>31</v>
      </c>
    </row>
    <row r="132" s="2" customFormat="1" spans="1:14">
      <c r="A132" s="2">
        <f t="shared" si="2"/>
        <v>20120054</v>
      </c>
      <c r="B132" s="2">
        <v>201200</v>
      </c>
      <c r="C132" s="3" t="s">
        <v>172</v>
      </c>
      <c r="D132" s="2" t="s">
        <v>220</v>
      </c>
      <c r="E132" s="2">
        <v>54</v>
      </c>
      <c r="F132" s="4"/>
      <c r="G132" s="4">
        <v>100</v>
      </c>
      <c r="H132" s="4">
        <v>20</v>
      </c>
      <c r="I132" s="4"/>
      <c r="J132" s="4"/>
      <c r="M132" s="2">
        <v>1700</v>
      </c>
      <c r="N132" s="2" t="s">
        <v>31</v>
      </c>
    </row>
    <row r="133" s="2" customFormat="1" spans="1:14">
      <c r="A133" s="2">
        <f t="shared" si="2"/>
        <v>20120055</v>
      </c>
      <c r="B133" s="2">
        <v>201200</v>
      </c>
      <c r="C133" s="3" t="s">
        <v>172</v>
      </c>
      <c r="D133" s="2" t="s">
        <v>221</v>
      </c>
      <c r="E133" s="2">
        <v>55</v>
      </c>
      <c r="F133" s="4"/>
      <c r="G133" s="4">
        <v>100</v>
      </c>
      <c r="H133" s="4">
        <v>20</v>
      </c>
      <c r="I133" s="4"/>
      <c r="J133" s="4"/>
      <c r="M133" s="2">
        <v>1700</v>
      </c>
      <c r="N133" s="2" t="s">
        <v>31</v>
      </c>
    </row>
    <row r="134" s="2" customFormat="1" spans="1:14">
      <c r="A134" s="2">
        <f t="shared" si="2"/>
        <v>20120056</v>
      </c>
      <c r="B134" s="2">
        <v>201200</v>
      </c>
      <c r="C134" s="3" t="s">
        <v>172</v>
      </c>
      <c r="D134" s="2" t="s">
        <v>222</v>
      </c>
      <c r="E134" s="2">
        <v>56</v>
      </c>
      <c r="F134" s="4"/>
      <c r="G134" s="4">
        <v>100</v>
      </c>
      <c r="H134" s="4">
        <v>20</v>
      </c>
      <c r="I134" s="4"/>
      <c r="J134" s="4"/>
      <c r="M134" s="2">
        <v>1700</v>
      </c>
      <c r="N134" s="2" t="s">
        <v>31</v>
      </c>
    </row>
    <row r="135" s="2" customFormat="1" spans="1:14">
      <c r="A135" s="2">
        <f t="shared" si="2"/>
        <v>20120057</v>
      </c>
      <c r="B135" s="2">
        <v>201200</v>
      </c>
      <c r="C135" s="3" t="s">
        <v>172</v>
      </c>
      <c r="D135" s="2" t="s">
        <v>223</v>
      </c>
      <c r="E135" s="2">
        <v>57</v>
      </c>
      <c r="F135" s="4"/>
      <c r="G135" s="4">
        <v>100</v>
      </c>
      <c r="H135" s="4">
        <v>20</v>
      </c>
      <c r="I135" s="4"/>
      <c r="J135" s="4"/>
      <c r="M135" s="2">
        <v>1700</v>
      </c>
      <c r="N135" s="2" t="s">
        <v>31</v>
      </c>
    </row>
    <row r="136" s="2" customFormat="1" spans="1:14">
      <c r="A136" s="2">
        <f t="shared" si="2"/>
        <v>20120058</v>
      </c>
      <c r="B136" s="2">
        <v>201200</v>
      </c>
      <c r="C136" s="3" t="s">
        <v>172</v>
      </c>
      <c r="D136" s="2" t="s">
        <v>224</v>
      </c>
      <c r="E136" s="2">
        <v>58</v>
      </c>
      <c r="F136" s="4"/>
      <c r="G136" s="4">
        <v>100</v>
      </c>
      <c r="H136" s="4">
        <v>20</v>
      </c>
      <c r="I136" s="4"/>
      <c r="J136" s="4"/>
      <c r="M136" s="2">
        <v>1700</v>
      </c>
      <c r="N136" s="2" t="s">
        <v>31</v>
      </c>
    </row>
    <row r="137" s="2" customFormat="1" spans="1:14">
      <c r="A137" s="2">
        <f t="shared" si="2"/>
        <v>20120059</v>
      </c>
      <c r="B137" s="2">
        <v>201200</v>
      </c>
      <c r="C137" s="3" t="s">
        <v>172</v>
      </c>
      <c r="D137" s="2" t="s">
        <v>225</v>
      </c>
      <c r="E137" s="2">
        <v>59</v>
      </c>
      <c r="F137" s="4"/>
      <c r="G137" s="4">
        <v>100</v>
      </c>
      <c r="H137" s="4">
        <v>20</v>
      </c>
      <c r="I137" s="4"/>
      <c r="J137" s="4"/>
      <c r="M137" s="2">
        <v>1700</v>
      </c>
      <c r="N137" s="2" t="s">
        <v>31</v>
      </c>
    </row>
    <row r="138" s="2" customFormat="1" spans="1:14">
      <c r="A138" s="2">
        <f t="shared" ref="A138:A201" si="3">B138*100+E138</f>
        <v>20120060</v>
      </c>
      <c r="B138" s="2">
        <v>201200</v>
      </c>
      <c r="C138" s="3" t="s">
        <v>172</v>
      </c>
      <c r="D138" s="2" t="s">
        <v>226</v>
      </c>
      <c r="E138" s="2">
        <v>60</v>
      </c>
      <c r="F138" s="4"/>
      <c r="G138" s="4">
        <v>100</v>
      </c>
      <c r="H138" s="4">
        <v>20</v>
      </c>
      <c r="I138" s="4"/>
      <c r="J138" s="4"/>
      <c r="M138" s="2">
        <v>1700</v>
      </c>
      <c r="N138" s="2" t="s">
        <v>31</v>
      </c>
    </row>
    <row r="139" s="2" customFormat="1" spans="1:14">
      <c r="A139" s="2">
        <f t="shared" si="3"/>
        <v>20120061</v>
      </c>
      <c r="B139" s="2">
        <v>201200</v>
      </c>
      <c r="C139" s="3" t="s">
        <v>172</v>
      </c>
      <c r="D139" s="2" t="s">
        <v>227</v>
      </c>
      <c r="E139" s="2">
        <v>61</v>
      </c>
      <c r="F139" s="4"/>
      <c r="G139" s="4">
        <v>100</v>
      </c>
      <c r="H139" s="4">
        <v>20</v>
      </c>
      <c r="I139" s="4"/>
      <c r="J139" s="4"/>
      <c r="M139" s="2">
        <v>1700</v>
      </c>
      <c r="N139" s="2" t="s">
        <v>31</v>
      </c>
    </row>
    <row r="140" s="2" customFormat="1" spans="1:14">
      <c r="A140" s="2">
        <f t="shared" si="3"/>
        <v>20120062</v>
      </c>
      <c r="B140" s="2">
        <v>201200</v>
      </c>
      <c r="C140" s="3" t="s">
        <v>172</v>
      </c>
      <c r="D140" s="2" t="s">
        <v>228</v>
      </c>
      <c r="E140" s="2">
        <v>62</v>
      </c>
      <c r="F140" s="4"/>
      <c r="G140" s="4">
        <v>100</v>
      </c>
      <c r="H140" s="4">
        <v>20</v>
      </c>
      <c r="I140" s="4"/>
      <c r="J140" s="4"/>
      <c r="M140" s="2">
        <v>1700</v>
      </c>
      <c r="N140" s="2" t="s">
        <v>31</v>
      </c>
    </row>
    <row r="141" s="2" customFormat="1" spans="1:14">
      <c r="A141" s="2">
        <f t="shared" si="3"/>
        <v>20120063</v>
      </c>
      <c r="B141" s="2">
        <v>201200</v>
      </c>
      <c r="C141" s="3" t="s">
        <v>172</v>
      </c>
      <c r="D141" s="2" t="s">
        <v>229</v>
      </c>
      <c r="E141" s="2">
        <v>63</v>
      </c>
      <c r="F141" s="4"/>
      <c r="G141" s="4">
        <v>100</v>
      </c>
      <c r="H141" s="4">
        <v>20</v>
      </c>
      <c r="I141" s="4"/>
      <c r="J141" s="4"/>
      <c r="M141" s="2">
        <v>1700</v>
      </c>
      <c r="N141" s="2" t="s">
        <v>31</v>
      </c>
    </row>
    <row r="142" s="2" customFormat="1" spans="1:14">
      <c r="A142" s="2">
        <f t="shared" si="3"/>
        <v>20120064</v>
      </c>
      <c r="B142" s="2">
        <v>201200</v>
      </c>
      <c r="C142" s="3" t="s">
        <v>172</v>
      </c>
      <c r="D142" s="2" t="s">
        <v>230</v>
      </c>
      <c r="E142" s="2">
        <v>64</v>
      </c>
      <c r="F142" s="4"/>
      <c r="G142" s="4">
        <v>100</v>
      </c>
      <c r="H142" s="4">
        <v>20</v>
      </c>
      <c r="I142" s="4"/>
      <c r="J142" s="4"/>
      <c r="M142" s="2">
        <v>1700</v>
      </c>
      <c r="N142" s="2" t="s">
        <v>31</v>
      </c>
    </row>
    <row r="143" s="2" customFormat="1" spans="1:14">
      <c r="A143" s="2">
        <f t="shared" si="3"/>
        <v>20120065</v>
      </c>
      <c r="B143" s="2">
        <v>201200</v>
      </c>
      <c r="C143" s="3" t="s">
        <v>172</v>
      </c>
      <c r="D143" s="2" t="s">
        <v>231</v>
      </c>
      <c r="E143" s="2">
        <v>65</v>
      </c>
      <c r="F143" s="4"/>
      <c r="G143" s="4">
        <v>100</v>
      </c>
      <c r="H143" s="4">
        <v>20</v>
      </c>
      <c r="I143" s="4"/>
      <c r="J143" s="4"/>
      <c r="M143" s="2">
        <v>1700</v>
      </c>
      <c r="N143" s="2" t="s">
        <v>31</v>
      </c>
    </row>
    <row r="144" s="2" customFormat="1" spans="1:14">
      <c r="A144" s="2">
        <f t="shared" si="3"/>
        <v>20120066</v>
      </c>
      <c r="B144" s="2">
        <v>201200</v>
      </c>
      <c r="C144" s="3" t="s">
        <v>172</v>
      </c>
      <c r="D144" s="2" t="s">
        <v>232</v>
      </c>
      <c r="E144" s="2">
        <v>66</v>
      </c>
      <c r="F144" s="4"/>
      <c r="G144" s="4">
        <v>100</v>
      </c>
      <c r="H144" s="4">
        <v>20</v>
      </c>
      <c r="I144" s="4"/>
      <c r="J144" s="4"/>
      <c r="M144" s="2">
        <v>1700</v>
      </c>
      <c r="N144" s="2" t="s">
        <v>31</v>
      </c>
    </row>
    <row r="145" s="2" customFormat="1" spans="1:14">
      <c r="A145" s="2">
        <f t="shared" si="3"/>
        <v>20120067</v>
      </c>
      <c r="B145" s="2">
        <v>201200</v>
      </c>
      <c r="C145" s="3" t="s">
        <v>172</v>
      </c>
      <c r="D145" s="2" t="s">
        <v>233</v>
      </c>
      <c r="E145" s="2">
        <v>67</v>
      </c>
      <c r="F145" s="4"/>
      <c r="G145" s="4">
        <v>100</v>
      </c>
      <c r="H145" s="4">
        <v>20</v>
      </c>
      <c r="I145" s="4"/>
      <c r="J145" s="4"/>
      <c r="M145" s="2">
        <v>1700</v>
      </c>
      <c r="N145" s="2" t="s">
        <v>31</v>
      </c>
    </row>
    <row r="146" s="2" customFormat="1" spans="1:14">
      <c r="A146" s="2">
        <f t="shared" si="3"/>
        <v>20120068</v>
      </c>
      <c r="B146" s="2">
        <v>201200</v>
      </c>
      <c r="C146" s="3" t="s">
        <v>172</v>
      </c>
      <c r="D146" s="2" t="s">
        <v>234</v>
      </c>
      <c r="E146" s="2">
        <v>68</v>
      </c>
      <c r="F146" s="4"/>
      <c r="G146" s="4">
        <v>100</v>
      </c>
      <c r="H146" s="4">
        <v>20</v>
      </c>
      <c r="I146" s="4"/>
      <c r="J146" s="4"/>
      <c r="M146" s="2">
        <v>1700</v>
      </c>
      <c r="N146" s="2" t="s">
        <v>31</v>
      </c>
    </row>
    <row r="147" s="2" customFormat="1" spans="1:14">
      <c r="A147" s="2">
        <f t="shared" si="3"/>
        <v>20120069</v>
      </c>
      <c r="B147" s="2">
        <v>201200</v>
      </c>
      <c r="C147" s="3" t="s">
        <v>172</v>
      </c>
      <c r="D147" s="2" t="s">
        <v>235</v>
      </c>
      <c r="E147" s="2">
        <v>69</v>
      </c>
      <c r="F147" s="4"/>
      <c r="G147" s="4">
        <v>100</v>
      </c>
      <c r="H147" s="4">
        <v>20</v>
      </c>
      <c r="I147" s="4"/>
      <c r="J147" s="4"/>
      <c r="M147" s="2">
        <v>1700</v>
      </c>
      <c r="N147" s="2" t="s">
        <v>31</v>
      </c>
    </row>
    <row r="148" s="2" customFormat="1" spans="1:14">
      <c r="A148" s="2">
        <f t="shared" si="3"/>
        <v>20120070</v>
      </c>
      <c r="B148" s="2">
        <v>201200</v>
      </c>
      <c r="C148" s="3" t="s">
        <v>172</v>
      </c>
      <c r="D148" s="2" t="s">
        <v>236</v>
      </c>
      <c r="E148" s="2">
        <v>70</v>
      </c>
      <c r="F148" s="4"/>
      <c r="G148" s="4">
        <v>100</v>
      </c>
      <c r="H148" s="4">
        <v>20</v>
      </c>
      <c r="I148" s="4"/>
      <c r="J148" s="4"/>
      <c r="M148" s="2">
        <v>1700</v>
      </c>
      <c r="N148" s="2" t="s">
        <v>31</v>
      </c>
    </row>
    <row r="149" s="2" customFormat="1" spans="1:14">
      <c r="A149" s="2">
        <f t="shared" si="3"/>
        <v>20120071</v>
      </c>
      <c r="B149" s="2">
        <v>201200</v>
      </c>
      <c r="C149" s="3" t="s">
        <v>172</v>
      </c>
      <c r="D149" s="2" t="s">
        <v>237</v>
      </c>
      <c r="E149" s="2">
        <v>71</v>
      </c>
      <c r="F149" s="4"/>
      <c r="G149" s="4">
        <v>100</v>
      </c>
      <c r="H149" s="4">
        <v>20</v>
      </c>
      <c r="I149" s="4"/>
      <c r="J149" s="4"/>
      <c r="M149" s="2">
        <v>1700</v>
      </c>
      <c r="N149" s="2" t="s">
        <v>31</v>
      </c>
    </row>
    <row r="150" s="2" customFormat="1" spans="1:14">
      <c r="A150" s="2">
        <f t="shared" si="3"/>
        <v>20120072</v>
      </c>
      <c r="B150" s="2">
        <v>201200</v>
      </c>
      <c r="C150" s="3" t="s">
        <v>172</v>
      </c>
      <c r="D150" s="2" t="s">
        <v>238</v>
      </c>
      <c r="E150" s="2">
        <v>72</v>
      </c>
      <c r="F150" s="4"/>
      <c r="G150" s="4">
        <v>100</v>
      </c>
      <c r="H150" s="4">
        <v>20</v>
      </c>
      <c r="I150" s="4"/>
      <c r="J150" s="4"/>
      <c r="M150" s="2">
        <v>1700</v>
      </c>
      <c r="N150" s="2" t="s">
        <v>31</v>
      </c>
    </row>
    <row r="151" s="2" customFormat="1" spans="1:14">
      <c r="A151" s="2">
        <f t="shared" si="3"/>
        <v>20120073</v>
      </c>
      <c r="B151" s="2">
        <v>201200</v>
      </c>
      <c r="C151" s="3" t="s">
        <v>172</v>
      </c>
      <c r="D151" s="2" t="s">
        <v>239</v>
      </c>
      <c r="E151" s="2">
        <v>73</v>
      </c>
      <c r="F151" s="4"/>
      <c r="G151" s="4">
        <v>100</v>
      </c>
      <c r="H151" s="4">
        <v>20</v>
      </c>
      <c r="I151" s="4"/>
      <c r="J151" s="4"/>
      <c r="M151" s="2">
        <v>1700</v>
      </c>
      <c r="N151" s="2" t="s">
        <v>31</v>
      </c>
    </row>
    <row r="152" s="2" customFormat="1" spans="1:14">
      <c r="A152" s="2">
        <f t="shared" si="3"/>
        <v>20120074</v>
      </c>
      <c r="B152" s="2">
        <v>201200</v>
      </c>
      <c r="C152" s="3" t="s">
        <v>172</v>
      </c>
      <c r="D152" s="2" t="s">
        <v>240</v>
      </c>
      <c r="E152" s="2">
        <v>74</v>
      </c>
      <c r="F152" s="4"/>
      <c r="G152" s="4">
        <v>100</v>
      </c>
      <c r="H152" s="4">
        <v>20</v>
      </c>
      <c r="I152" s="4"/>
      <c r="J152" s="4"/>
      <c r="M152" s="2">
        <v>1700</v>
      </c>
      <c r="N152" s="2" t="s">
        <v>31</v>
      </c>
    </row>
    <row r="153" s="2" customFormat="1" spans="1:14">
      <c r="A153" s="2">
        <f t="shared" si="3"/>
        <v>20120075</v>
      </c>
      <c r="B153" s="2">
        <v>201200</v>
      </c>
      <c r="C153" s="3" t="s">
        <v>172</v>
      </c>
      <c r="D153" s="2" t="s">
        <v>241</v>
      </c>
      <c r="E153" s="2">
        <v>75</v>
      </c>
      <c r="F153" s="4"/>
      <c r="G153" s="4">
        <v>100</v>
      </c>
      <c r="H153" s="4">
        <v>20</v>
      </c>
      <c r="I153" s="4"/>
      <c r="J153" s="4"/>
      <c r="M153" s="2">
        <v>1700</v>
      </c>
      <c r="N153" s="2" t="s">
        <v>31</v>
      </c>
    </row>
    <row r="154" s="2" customFormat="1" spans="1:14">
      <c r="A154" s="2">
        <f t="shared" si="3"/>
        <v>20120076</v>
      </c>
      <c r="B154" s="2">
        <v>201200</v>
      </c>
      <c r="C154" s="3" t="s">
        <v>172</v>
      </c>
      <c r="D154" s="2" t="s">
        <v>242</v>
      </c>
      <c r="E154" s="2">
        <v>76</v>
      </c>
      <c r="F154" s="4"/>
      <c r="G154" s="4">
        <v>100</v>
      </c>
      <c r="H154" s="4">
        <v>20</v>
      </c>
      <c r="I154" s="4"/>
      <c r="J154" s="4"/>
      <c r="M154" s="2">
        <v>1700</v>
      </c>
      <c r="N154" s="2" t="s">
        <v>31</v>
      </c>
    </row>
    <row r="155" s="2" customFormat="1" spans="1:14">
      <c r="A155" s="2">
        <f t="shared" si="3"/>
        <v>20120077</v>
      </c>
      <c r="B155" s="2">
        <v>201200</v>
      </c>
      <c r="C155" s="3" t="s">
        <v>172</v>
      </c>
      <c r="D155" s="2" t="s">
        <v>243</v>
      </c>
      <c r="E155" s="2">
        <v>77</v>
      </c>
      <c r="F155" s="4"/>
      <c r="G155" s="4">
        <v>100</v>
      </c>
      <c r="H155" s="4">
        <v>20</v>
      </c>
      <c r="I155" s="4"/>
      <c r="J155" s="4"/>
      <c r="M155" s="2">
        <v>1700</v>
      </c>
      <c r="N155" s="2" t="s">
        <v>31</v>
      </c>
    </row>
    <row r="156" s="2" customFormat="1" spans="1:14">
      <c r="A156" s="2">
        <f t="shared" si="3"/>
        <v>20120078</v>
      </c>
      <c r="B156" s="2">
        <v>201200</v>
      </c>
      <c r="C156" s="3" t="s">
        <v>172</v>
      </c>
      <c r="D156" s="2" t="s">
        <v>244</v>
      </c>
      <c r="E156" s="2">
        <v>78</v>
      </c>
      <c r="F156" s="4"/>
      <c r="G156" s="4">
        <v>100</v>
      </c>
      <c r="H156" s="4">
        <v>20</v>
      </c>
      <c r="I156" s="4"/>
      <c r="J156" s="4"/>
      <c r="M156" s="2">
        <v>1700</v>
      </c>
      <c r="N156" s="2" t="s">
        <v>31</v>
      </c>
    </row>
    <row r="157" s="2" customFormat="1" spans="1:14">
      <c r="A157" s="2">
        <f t="shared" si="3"/>
        <v>20120079</v>
      </c>
      <c r="B157" s="2">
        <v>201200</v>
      </c>
      <c r="C157" s="3" t="s">
        <v>172</v>
      </c>
      <c r="D157" s="2" t="s">
        <v>245</v>
      </c>
      <c r="E157" s="2">
        <v>79</v>
      </c>
      <c r="F157" s="4"/>
      <c r="G157" s="4">
        <v>100</v>
      </c>
      <c r="H157" s="4">
        <v>20</v>
      </c>
      <c r="I157" s="4"/>
      <c r="J157" s="4"/>
      <c r="M157" s="2">
        <v>1700</v>
      </c>
      <c r="N157" s="2" t="s">
        <v>31</v>
      </c>
    </row>
    <row r="158" s="2" customFormat="1" spans="1:14">
      <c r="A158" s="2">
        <f t="shared" si="3"/>
        <v>20120080</v>
      </c>
      <c r="B158" s="2">
        <v>201200</v>
      </c>
      <c r="C158" s="3" t="s">
        <v>172</v>
      </c>
      <c r="D158" s="2" t="s">
        <v>246</v>
      </c>
      <c r="E158" s="2">
        <v>80</v>
      </c>
      <c r="F158" s="4"/>
      <c r="G158" s="4">
        <v>100</v>
      </c>
      <c r="H158" s="4">
        <v>20</v>
      </c>
      <c r="I158" s="4"/>
      <c r="J158" s="4"/>
      <c r="M158" s="2">
        <v>1700</v>
      </c>
      <c r="N158" s="2" t="s">
        <v>31</v>
      </c>
    </row>
    <row r="159" s="2" customFormat="1" spans="1:14">
      <c r="A159" s="2">
        <f t="shared" si="3"/>
        <v>20120081</v>
      </c>
      <c r="B159" s="2">
        <v>201200</v>
      </c>
      <c r="C159" s="3" t="s">
        <v>172</v>
      </c>
      <c r="D159" s="2" t="s">
        <v>247</v>
      </c>
      <c r="E159" s="2">
        <v>81</v>
      </c>
      <c r="F159" s="4"/>
      <c r="G159" s="4">
        <v>100</v>
      </c>
      <c r="H159" s="4">
        <v>20</v>
      </c>
      <c r="I159" s="4"/>
      <c r="J159" s="4"/>
      <c r="M159" s="2">
        <v>1700</v>
      </c>
      <c r="N159" s="2" t="s">
        <v>31</v>
      </c>
    </row>
    <row r="160" s="2" customFormat="1" spans="1:14">
      <c r="A160" s="2">
        <f t="shared" si="3"/>
        <v>20120082</v>
      </c>
      <c r="B160" s="2">
        <v>201200</v>
      </c>
      <c r="C160" s="3" t="s">
        <v>172</v>
      </c>
      <c r="D160" s="2" t="s">
        <v>248</v>
      </c>
      <c r="E160" s="2">
        <v>82</v>
      </c>
      <c r="F160" s="4"/>
      <c r="G160" s="4">
        <v>100</v>
      </c>
      <c r="H160" s="4">
        <v>20</v>
      </c>
      <c r="I160" s="4"/>
      <c r="J160" s="4"/>
      <c r="M160" s="2">
        <v>1700</v>
      </c>
      <c r="N160" s="2" t="s">
        <v>31</v>
      </c>
    </row>
    <row r="161" s="2" customFormat="1" spans="1:14">
      <c r="A161" s="2">
        <f t="shared" si="3"/>
        <v>20120083</v>
      </c>
      <c r="B161" s="2">
        <v>201200</v>
      </c>
      <c r="C161" s="3" t="s">
        <v>172</v>
      </c>
      <c r="D161" s="2" t="s">
        <v>249</v>
      </c>
      <c r="E161" s="2">
        <v>83</v>
      </c>
      <c r="F161" s="4"/>
      <c r="G161" s="4">
        <v>100</v>
      </c>
      <c r="H161" s="4">
        <v>20</v>
      </c>
      <c r="I161" s="4"/>
      <c r="J161" s="4"/>
      <c r="M161" s="2">
        <v>1700</v>
      </c>
      <c r="N161" s="2" t="s">
        <v>31</v>
      </c>
    </row>
    <row r="162" s="2" customFormat="1" spans="1:14">
      <c r="A162" s="2">
        <f t="shared" si="3"/>
        <v>20120084</v>
      </c>
      <c r="B162" s="2">
        <v>201200</v>
      </c>
      <c r="C162" s="3" t="s">
        <v>172</v>
      </c>
      <c r="D162" s="2" t="s">
        <v>250</v>
      </c>
      <c r="E162" s="2">
        <v>84</v>
      </c>
      <c r="F162" s="4"/>
      <c r="G162" s="4">
        <v>100</v>
      </c>
      <c r="H162" s="4">
        <v>20</v>
      </c>
      <c r="I162" s="4"/>
      <c r="J162" s="4"/>
      <c r="M162" s="2">
        <v>1700</v>
      </c>
      <c r="N162" s="2" t="s">
        <v>31</v>
      </c>
    </row>
    <row r="163" s="2" customFormat="1" spans="1:14">
      <c r="A163" s="2">
        <f t="shared" si="3"/>
        <v>20120085</v>
      </c>
      <c r="B163" s="2">
        <v>201200</v>
      </c>
      <c r="C163" s="3" t="s">
        <v>172</v>
      </c>
      <c r="D163" s="2" t="s">
        <v>251</v>
      </c>
      <c r="E163" s="2">
        <v>85</v>
      </c>
      <c r="F163" s="4"/>
      <c r="G163" s="4">
        <v>100</v>
      </c>
      <c r="H163" s="4">
        <v>20</v>
      </c>
      <c r="I163" s="4"/>
      <c r="J163" s="4"/>
      <c r="M163" s="2">
        <v>1700</v>
      </c>
      <c r="N163" s="2" t="s">
        <v>31</v>
      </c>
    </row>
    <row r="164" s="2" customFormat="1" spans="1:14">
      <c r="A164" s="2">
        <f t="shared" si="3"/>
        <v>20120086</v>
      </c>
      <c r="B164" s="2">
        <v>201200</v>
      </c>
      <c r="C164" s="3" t="s">
        <v>172</v>
      </c>
      <c r="D164" s="2" t="s">
        <v>252</v>
      </c>
      <c r="E164" s="2">
        <v>86</v>
      </c>
      <c r="F164" s="4"/>
      <c r="G164" s="4">
        <v>100</v>
      </c>
      <c r="H164" s="4">
        <v>20</v>
      </c>
      <c r="I164" s="4"/>
      <c r="J164" s="4"/>
      <c r="M164" s="2">
        <v>1700</v>
      </c>
      <c r="N164" s="2" t="s">
        <v>31</v>
      </c>
    </row>
    <row r="165" s="2" customFormat="1" spans="1:14">
      <c r="A165" s="2">
        <f t="shared" si="3"/>
        <v>20120087</v>
      </c>
      <c r="B165" s="2">
        <v>201200</v>
      </c>
      <c r="C165" s="3" t="s">
        <v>172</v>
      </c>
      <c r="D165" s="2" t="s">
        <v>253</v>
      </c>
      <c r="E165" s="2">
        <v>87</v>
      </c>
      <c r="F165" s="4"/>
      <c r="G165" s="4">
        <v>100</v>
      </c>
      <c r="H165" s="4">
        <v>20</v>
      </c>
      <c r="I165" s="4"/>
      <c r="J165" s="4"/>
      <c r="M165" s="2">
        <v>1700</v>
      </c>
      <c r="N165" s="2" t="s">
        <v>31</v>
      </c>
    </row>
    <row r="166" s="2" customFormat="1" spans="1:14">
      <c r="A166" s="2">
        <f t="shared" si="3"/>
        <v>20120088</v>
      </c>
      <c r="B166" s="2">
        <v>201200</v>
      </c>
      <c r="C166" s="3" t="s">
        <v>172</v>
      </c>
      <c r="D166" s="2" t="s">
        <v>254</v>
      </c>
      <c r="E166" s="2">
        <v>88</v>
      </c>
      <c r="F166" s="4"/>
      <c r="G166" s="4">
        <v>100</v>
      </c>
      <c r="H166" s="4">
        <v>20</v>
      </c>
      <c r="I166" s="4"/>
      <c r="J166" s="4"/>
      <c r="M166" s="2">
        <v>1700</v>
      </c>
      <c r="N166" s="2" t="s">
        <v>31</v>
      </c>
    </row>
    <row r="167" s="2" customFormat="1" spans="1:14">
      <c r="A167" s="2">
        <f t="shared" si="3"/>
        <v>20120089</v>
      </c>
      <c r="B167" s="2">
        <v>201200</v>
      </c>
      <c r="C167" s="3" t="s">
        <v>172</v>
      </c>
      <c r="D167" s="2" t="s">
        <v>255</v>
      </c>
      <c r="E167" s="2">
        <v>89</v>
      </c>
      <c r="F167" s="4"/>
      <c r="G167" s="4">
        <v>100</v>
      </c>
      <c r="H167" s="4">
        <v>20</v>
      </c>
      <c r="I167" s="4"/>
      <c r="J167" s="4"/>
      <c r="M167" s="2">
        <v>1700</v>
      </c>
      <c r="N167" s="2" t="s">
        <v>31</v>
      </c>
    </row>
    <row r="168" s="2" customFormat="1" spans="1:14">
      <c r="A168" s="2">
        <f t="shared" si="3"/>
        <v>20120090</v>
      </c>
      <c r="B168" s="2">
        <v>201200</v>
      </c>
      <c r="C168" s="3" t="s">
        <v>172</v>
      </c>
      <c r="D168" s="2" t="s">
        <v>256</v>
      </c>
      <c r="E168" s="2">
        <v>90</v>
      </c>
      <c r="F168" s="4"/>
      <c r="G168" s="4">
        <v>100</v>
      </c>
      <c r="H168" s="4">
        <v>20</v>
      </c>
      <c r="I168" s="4"/>
      <c r="J168" s="4"/>
      <c r="M168" s="2">
        <v>1700</v>
      </c>
      <c r="N168" s="2" t="s">
        <v>31</v>
      </c>
    </row>
    <row r="169" s="2" customFormat="1" spans="1:14">
      <c r="A169" s="2">
        <f t="shared" si="3"/>
        <v>20120091</v>
      </c>
      <c r="B169" s="2">
        <v>201200</v>
      </c>
      <c r="C169" s="3" t="s">
        <v>172</v>
      </c>
      <c r="D169" s="2" t="s">
        <v>257</v>
      </c>
      <c r="E169" s="2">
        <v>91</v>
      </c>
      <c r="F169" s="4"/>
      <c r="G169" s="4">
        <v>100</v>
      </c>
      <c r="H169" s="4">
        <v>20</v>
      </c>
      <c r="I169" s="4"/>
      <c r="J169" s="4"/>
      <c r="M169" s="2">
        <v>1700</v>
      </c>
      <c r="N169" s="2" t="s">
        <v>31</v>
      </c>
    </row>
    <row r="170" s="2" customFormat="1" spans="1:14">
      <c r="A170" s="2">
        <f t="shared" si="3"/>
        <v>20120092</v>
      </c>
      <c r="B170" s="2">
        <v>201200</v>
      </c>
      <c r="C170" s="3" t="s">
        <v>172</v>
      </c>
      <c r="D170" s="2" t="s">
        <v>258</v>
      </c>
      <c r="E170" s="2">
        <v>92</v>
      </c>
      <c r="F170" s="4"/>
      <c r="G170" s="4">
        <v>100</v>
      </c>
      <c r="H170" s="4">
        <v>20</v>
      </c>
      <c r="I170" s="4"/>
      <c r="J170" s="4"/>
      <c r="M170" s="2">
        <v>1700</v>
      </c>
      <c r="N170" s="2" t="s">
        <v>31</v>
      </c>
    </row>
    <row r="171" s="2" customFormat="1" spans="1:14">
      <c r="A171" s="2">
        <f t="shared" si="3"/>
        <v>20120093</v>
      </c>
      <c r="B171" s="2">
        <v>201200</v>
      </c>
      <c r="C171" s="3" t="s">
        <v>172</v>
      </c>
      <c r="D171" s="2" t="s">
        <v>259</v>
      </c>
      <c r="E171" s="2">
        <v>93</v>
      </c>
      <c r="F171" s="4"/>
      <c r="G171" s="4">
        <v>100</v>
      </c>
      <c r="H171" s="4">
        <v>20</v>
      </c>
      <c r="I171" s="4"/>
      <c r="J171" s="4"/>
      <c r="M171" s="2">
        <v>1700</v>
      </c>
      <c r="N171" s="2" t="s">
        <v>31</v>
      </c>
    </row>
    <row r="172" s="2" customFormat="1" spans="1:14">
      <c r="A172" s="2">
        <f t="shared" si="3"/>
        <v>20120094</v>
      </c>
      <c r="B172" s="2">
        <v>201200</v>
      </c>
      <c r="C172" s="3" t="s">
        <v>172</v>
      </c>
      <c r="D172" s="2" t="s">
        <v>260</v>
      </c>
      <c r="E172" s="2">
        <v>94</v>
      </c>
      <c r="F172" s="4"/>
      <c r="G172" s="4">
        <v>100</v>
      </c>
      <c r="H172" s="4">
        <v>20</v>
      </c>
      <c r="I172" s="4"/>
      <c r="J172" s="4"/>
      <c r="M172" s="2">
        <v>1700</v>
      </c>
      <c r="N172" s="2" t="s">
        <v>31</v>
      </c>
    </row>
    <row r="173" s="2" customFormat="1" spans="1:14">
      <c r="A173" s="2">
        <f t="shared" si="3"/>
        <v>20120095</v>
      </c>
      <c r="B173" s="2">
        <v>201200</v>
      </c>
      <c r="C173" s="3" t="s">
        <v>172</v>
      </c>
      <c r="D173" s="2" t="s">
        <v>261</v>
      </c>
      <c r="E173" s="2">
        <v>95</v>
      </c>
      <c r="F173" s="4"/>
      <c r="G173" s="4">
        <v>100</v>
      </c>
      <c r="H173" s="4">
        <v>20</v>
      </c>
      <c r="I173" s="4"/>
      <c r="J173" s="4"/>
      <c r="M173" s="2">
        <v>1700</v>
      </c>
      <c r="N173" s="2" t="s">
        <v>31</v>
      </c>
    </row>
    <row r="174" s="2" customFormat="1" spans="1:14">
      <c r="A174" s="2">
        <f t="shared" si="3"/>
        <v>20120096</v>
      </c>
      <c r="B174" s="2">
        <v>201200</v>
      </c>
      <c r="C174" s="3" t="s">
        <v>172</v>
      </c>
      <c r="D174" s="2" t="s">
        <v>262</v>
      </c>
      <c r="E174" s="2">
        <v>96</v>
      </c>
      <c r="F174" s="4"/>
      <c r="G174" s="4">
        <v>100</v>
      </c>
      <c r="H174" s="4">
        <v>20</v>
      </c>
      <c r="I174" s="4"/>
      <c r="J174" s="4"/>
      <c r="M174" s="2">
        <v>1700</v>
      </c>
      <c r="N174" s="2" t="s">
        <v>31</v>
      </c>
    </row>
    <row r="175" s="2" customFormat="1" spans="1:14">
      <c r="A175" s="2">
        <f t="shared" si="3"/>
        <v>20120097</v>
      </c>
      <c r="B175" s="2">
        <v>201200</v>
      </c>
      <c r="C175" s="3" t="s">
        <v>172</v>
      </c>
      <c r="D175" s="2" t="s">
        <v>263</v>
      </c>
      <c r="E175" s="2">
        <v>97</v>
      </c>
      <c r="F175" s="4"/>
      <c r="G175" s="4">
        <v>100</v>
      </c>
      <c r="H175" s="4">
        <v>20</v>
      </c>
      <c r="I175" s="4"/>
      <c r="J175" s="4"/>
      <c r="M175" s="2">
        <v>1700</v>
      </c>
      <c r="N175" s="2" t="s">
        <v>31</v>
      </c>
    </row>
    <row r="176" s="2" customFormat="1" spans="1:14">
      <c r="A176" s="2">
        <f t="shared" si="3"/>
        <v>20120098</v>
      </c>
      <c r="B176" s="2">
        <v>201200</v>
      </c>
      <c r="C176" s="3" t="s">
        <v>172</v>
      </c>
      <c r="D176" s="2" t="s">
        <v>264</v>
      </c>
      <c r="E176" s="2">
        <v>98</v>
      </c>
      <c r="F176" s="4"/>
      <c r="G176" s="4">
        <v>100</v>
      </c>
      <c r="H176" s="4">
        <v>20</v>
      </c>
      <c r="I176" s="4"/>
      <c r="J176" s="4"/>
      <c r="M176" s="2">
        <v>1100</v>
      </c>
      <c r="N176" s="2" t="s">
        <v>31</v>
      </c>
    </row>
    <row r="177" s="2" customFormat="1" spans="1:14">
      <c r="A177" s="2">
        <f t="shared" si="3"/>
        <v>20120099</v>
      </c>
      <c r="B177" s="2">
        <v>201200</v>
      </c>
      <c r="C177" s="3" t="s">
        <v>172</v>
      </c>
      <c r="D177" s="2" t="s">
        <v>265</v>
      </c>
      <c r="E177" s="2">
        <v>99</v>
      </c>
      <c r="F177" s="4"/>
      <c r="G177" s="4">
        <v>100</v>
      </c>
      <c r="H177" s="4">
        <v>20</v>
      </c>
      <c r="I177" s="4"/>
      <c r="J177" s="4"/>
      <c r="M177" s="2">
        <v>1100</v>
      </c>
      <c r="N177" s="2" t="s">
        <v>31</v>
      </c>
    </row>
    <row r="178" s="2" customFormat="1" spans="1:14">
      <c r="A178" s="2">
        <f>B178*1000+E178</f>
        <v>201200100</v>
      </c>
      <c r="B178" s="2">
        <v>201200</v>
      </c>
      <c r="C178" s="3" t="s">
        <v>172</v>
      </c>
      <c r="D178" s="2" t="s">
        <v>266</v>
      </c>
      <c r="E178" s="2">
        <v>100</v>
      </c>
      <c r="F178" s="4"/>
      <c r="G178" s="4">
        <v>100</v>
      </c>
      <c r="H178" s="4">
        <v>20</v>
      </c>
      <c r="I178" s="4"/>
      <c r="J178" s="4"/>
      <c r="M178" s="2">
        <v>1100</v>
      </c>
      <c r="N178" s="2" t="s">
        <v>31</v>
      </c>
    </row>
    <row r="179" s="2" customFormat="1" spans="1:14">
      <c r="A179" s="2">
        <f t="shared" ref="A179:A210" si="4">B179*1000+E179</f>
        <v>201200101</v>
      </c>
      <c r="B179" s="2">
        <v>201200</v>
      </c>
      <c r="C179" s="3" t="s">
        <v>172</v>
      </c>
      <c r="D179" s="2" t="s">
        <v>267</v>
      </c>
      <c r="E179" s="2">
        <v>101</v>
      </c>
      <c r="F179" s="4"/>
      <c r="G179" s="4">
        <v>100</v>
      </c>
      <c r="H179" s="4">
        <v>20</v>
      </c>
      <c r="I179" s="4"/>
      <c r="J179" s="4"/>
      <c r="M179" s="2">
        <v>1100</v>
      </c>
      <c r="N179" s="2" t="s">
        <v>31</v>
      </c>
    </row>
    <row r="180" s="2" customFormat="1" spans="1:14">
      <c r="A180" s="2">
        <f t="shared" si="4"/>
        <v>201200102</v>
      </c>
      <c r="B180" s="2">
        <v>201200</v>
      </c>
      <c r="C180" s="3" t="s">
        <v>172</v>
      </c>
      <c r="D180" s="2" t="s">
        <v>268</v>
      </c>
      <c r="E180" s="2">
        <v>102</v>
      </c>
      <c r="F180" s="4"/>
      <c r="G180" s="4">
        <v>100</v>
      </c>
      <c r="H180" s="4">
        <v>20</v>
      </c>
      <c r="I180" s="4"/>
      <c r="J180" s="4"/>
      <c r="M180" s="2">
        <v>1100</v>
      </c>
      <c r="N180" s="2" t="s">
        <v>31</v>
      </c>
    </row>
    <row r="181" s="2" customFormat="1" spans="1:14">
      <c r="A181" s="2">
        <f t="shared" si="4"/>
        <v>201200103</v>
      </c>
      <c r="B181" s="2">
        <v>201200</v>
      </c>
      <c r="C181" s="3" t="s">
        <v>172</v>
      </c>
      <c r="D181" s="2" t="s">
        <v>269</v>
      </c>
      <c r="E181" s="2">
        <v>103</v>
      </c>
      <c r="F181" s="4"/>
      <c r="G181" s="4">
        <v>100</v>
      </c>
      <c r="H181" s="4">
        <v>20</v>
      </c>
      <c r="I181" s="4"/>
      <c r="J181" s="4"/>
      <c r="M181" s="2">
        <v>1100</v>
      </c>
      <c r="N181" s="2" t="s">
        <v>31</v>
      </c>
    </row>
    <row r="182" s="2" customFormat="1" spans="1:14">
      <c r="A182" s="2">
        <f t="shared" si="4"/>
        <v>201200104</v>
      </c>
      <c r="B182" s="2">
        <v>201200</v>
      </c>
      <c r="C182" s="3" t="s">
        <v>172</v>
      </c>
      <c r="D182" s="2" t="s">
        <v>270</v>
      </c>
      <c r="E182" s="2">
        <v>104</v>
      </c>
      <c r="F182" s="4"/>
      <c r="G182" s="4">
        <v>100</v>
      </c>
      <c r="H182" s="4">
        <v>20</v>
      </c>
      <c r="I182" s="4"/>
      <c r="J182" s="4"/>
      <c r="M182" s="2">
        <v>1100</v>
      </c>
      <c r="N182" s="2" t="s">
        <v>31</v>
      </c>
    </row>
    <row r="183" s="2" customFormat="1" spans="1:14">
      <c r="A183" s="2">
        <f t="shared" si="4"/>
        <v>201200105</v>
      </c>
      <c r="B183" s="2">
        <v>201200</v>
      </c>
      <c r="C183" s="3" t="s">
        <v>172</v>
      </c>
      <c r="D183" s="2" t="s">
        <v>271</v>
      </c>
      <c r="E183" s="2">
        <v>105</v>
      </c>
      <c r="F183" s="4"/>
      <c r="G183" s="4">
        <v>100</v>
      </c>
      <c r="H183" s="4">
        <v>20</v>
      </c>
      <c r="I183" s="4"/>
      <c r="J183" s="4"/>
      <c r="M183" s="2">
        <v>1100</v>
      </c>
      <c r="N183" s="2" t="s">
        <v>31</v>
      </c>
    </row>
    <row r="184" s="2" customFormat="1" spans="1:14">
      <c r="A184" s="2">
        <f t="shared" si="4"/>
        <v>201200106</v>
      </c>
      <c r="B184" s="2">
        <v>201200</v>
      </c>
      <c r="C184" s="3" t="s">
        <v>172</v>
      </c>
      <c r="D184" s="2" t="s">
        <v>272</v>
      </c>
      <c r="E184" s="2">
        <v>106</v>
      </c>
      <c r="F184" s="4"/>
      <c r="G184" s="4">
        <v>100</v>
      </c>
      <c r="H184" s="4">
        <v>20</v>
      </c>
      <c r="I184" s="4"/>
      <c r="J184" s="4"/>
      <c r="M184" s="2">
        <v>1100</v>
      </c>
      <c r="N184" s="2" t="s">
        <v>31</v>
      </c>
    </row>
    <row r="185" s="2" customFormat="1" spans="1:14">
      <c r="A185" s="2">
        <f t="shared" si="4"/>
        <v>201200107</v>
      </c>
      <c r="B185" s="2">
        <v>201200</v>
      </c>
      <c r="C185" s="3" t="s">
        <v>172</v>
      </c>
      <c r="D185" s="2" t="s">
        <v>273</v>
      </c>
      <c r="E185" s="2">
        <v>107</v>
      </c>
      <c r="F185" s="4"/>
      <c r="G185" s="4">
        <v>100</v>
      </c>
      <c r="H185" s="4">
        <v>20</v>
      </c>
      <c r="I185" s="4"/>
      <c r="J185" s="4"/>
      <c r="M185" s="2">
        <v>1100</v>
      </c>
      <c r="N185" s="2" t="s">
        <v>31</v>
      </c>
    </row>
    <row r="186" s="2" customFormat="1" spans="1:14">
      <c r="A186" s="2">
        <f t="shared" si="4"/>
        <v>201200108</v>
      </c>
      <c r="B186" s="2">
        <v>201200</v>
      </c>
      <c r="C186" s="3" t="s">
        <v>172</v>
      </c>
      <c r="D186" s="2" t="s">
        <v>274</v>
      </c>
      <c r="E186" s="2">
        <v>108</v>
      </c>
      <c r="F186" s="4"/>
      <c r="G186" s="4">
        <v>100</v>
      </c>
      <c r="H186" s="4">
        <v>20</v>
      </c>
      <c r="I186" s="4"/>
      <c r="J186" s="4"/>
      <c r="M186" s="2">
        <v>1100</v>
      </c>
      <c r="N186" s="2" t="s">
        <v>31</v>
      </c>
    </row>
    <row r="187" s="2" customFormat="1" spans="1:14">
      <c r="A187" s="2">
        <f t="shared" si="4"/>
        <v>201200109</v>
      </c>
      <c r="B187" s="2">
        <v>201200</v>
      </c>
      <c r="C187" s="3" t="s">
        <v>172</v>
      </c>
      <c r="D187" s="2" t="s">
        <v>275</v>
      </c>
      <c r="E187" s="2">
        <v>109</v>
      </c>
      <c r="F187" s="4"/>
      <c r="G187" s="4">
        <v>100</v>
      </c>
      <c r="H187" s="4">
        <v>20</v>
      </c>
      <c r="I187" s="4"/>
      <c r="J187" s="4"/>
      <c r="M187" s="2">
        <v>1100</v>
      </c>
      <c r="N187" s="2" t="s">
        <v>31</v>
      </c>
    </row>
    <row r="188" s="2" customFormat="1" spans="1:14">
      <c r="A188" s="2">
        <f t="shared" si="4"/>
        <v>201200110</v>
      </c>
      <c r="B188" s="2">
        <v>201200</v>
      </c>
      <c r="C188" s="3" t="s">
        <v>172</v>
      </c>
      <c r="D188" s="2" t="s">
        <v>276</v>
      </c>
      <c r="E188" s="2">
        <v>110</v>
      </c>
      <c r="F188" s="4"/>
      <c r="G188" s="4">
        <v>100</v>
      </c>
      <c r="H188" s="4">
        <v>20</v>
      </c>
      <c r="I188" s="4"/>
      <c r="J188" s="4"/>
      <c r="M188" s="2">
        <v>1100</v>
      </c>
      <c r="N188" s="2" t="s">
        <v>31</v>
      </c>
    </row>
    <row r="189" s="2" customFormat="1" spans="1:14">
      <c r="A189" s="2">
        <f t="shared" si="4"/>
        <v>201200111</v>
      </c>
      <c r="B189" s="2">
        <v>201200</v>
      </c>
      <c r="C189" s="3" t="s">
        <v>172</v>
      </c>
      <c r="D189" s="2" t="s">
        <v>277</v>
      </c>
      <c r="E189" s="2">
        <v>111</v>
      </c>
      <c r="F189" s="4"/>
      <c r="G189" s="4">
        <v>100</v>
      </c>
      <c r="H189" s="4">
        <v>20</v>
      </c>
      <c r="I189" s="4"/>
      <c r="J189" s="4"/>
      <c r="M189" s="2">
        <v>1100</v>
      </c>
      <c r="N189" s="2" t="s">
        <v>31</v>
      </c>
    </row>
    <row r="190" s="2" customFormat="1" spans="1:14">
      <c r="A190" s="2">
        <f t="shared" si="4"/>
        <v>201200112</v>
      </c>
      <c r="B190" s="2">
        <v>201200</v>
      </c>
      <c r="C190" s="3" t="s">
        <v>172</v>
      </c>
      <c r="D190" s="2" t="s">
        <v>278</v>
      </c>
      <c r="E190" s="2">
        <v>112</v>
      </c>
      <c r="F190" s="4"/>
      <c r="G190" s="4">
        <v>100</v>
      </c>
      <c r="H190" s="4">
        <v>20</v>
      </c>
      <c r="I190" s="4"/>
      <c r="J190" s="4"/>
      <c r="M190" s="2">
        <v>800</v>
      </c>
      <c r="N190" s="2" t="s">
        <v>31</v>
      </c>
    </row>
    <row r="191" s="2" customFormat="1" spans="1:14">
      <c r="A191" s="2">
        <f t="shared" si="4"/>
        <v>201200113</v>
      </c>
      <c r="B191" s="2">
        <v>201200</v>
      </c>
      <c r="C191" s="3" t="s">
        <v>172</v>
      </c>
      <c r="D191" s="2" t="s">
        <v>279</v>
      </c>
      <c r="E191" s="2">
        <v>113</v>
      </c>
      <c r="F191" s="4"/>
      <c r="G191" s="4">
        <v>100</v>
      </c>
      <c r="H191" s="4">
        <v>20</v>
      </c>
      <c r="I191" s="4"/>
      <c r="J191" s="4"/>
      <c r="M191" s="2">
        <v>800</v>
      </c>
      <c r="N191" s="2" t="s">
        <v>31</v>
      </c>
    </row>
    <row r="192" s="2" customFormat="1" spans="1:14">
      <c r="A192" s="2">
        <f t="shared" si="4"/>
        <v>201200114</v>
      </c>
      <c r="B192" s="2">
        <v>201200</v>
      </c>
      <c r="C192" s="3" t="s">
        <v>172</v>
      </c>
      <c r="D192" s="2" t="s">
        <v>280</v>
      </c>
      <c r="E192" s="2">
        <v>114</v>
      </c>
      <c r="F192" s="4"/>
      <c r="G192" s="4">
        <v>100</v>
      </c>
      <c r="H192" s="4">
        <v>20</v>
      </c>
      <c r="I192" s="4"/>
      <c r="J192" s="4"/>
      <c r="M192" s="2">
        <v>800</v>
      </c>
      <c r="N192" s="2" t="s">
        <v>31</v>
      </c>
    </row>
    <row r="193" s="2" customFormat="1" spans="1:14">
      <c r="A193" s="2">
        <f t="shared" si="4"/>
        <v>201200115</v>
      </c>
      <c r="B193" s="2">
        <v>201200</v>
      </c>
      <c r="C193" s="3" t="s">
        <v>172</v>
      </c>
      <c r="D193" s="2" t="s">
        <v>281</v>
      </c>
      <c r="E193" s="2">
        <v>115</v>
      </c>
      <c r="F193" s="4"/>
      <c r="G193" s="4">
        <v>100</v>
      </c>
      <c r="H193" s="4">
        <v>20</v>
      </c>
      <c r="I193" s="4"/>
      <c r="J193" s="4"/>
      <c r="M193" s="2">
        <v>800</v>
      </c>
      <c r="N193" s="2" t="s">
        <v>31</v>
      </c>
    </row>
    <row r="194" s="2" customFormat="1" spans="1:14">
      <c r="A194" s="2">
        <f t="shared" si="4"/>
        <v>201200116</v>
      </c>
      <c r="B194" s="2">
        <v>201200</v>
      </c>
      <c r="C194" s="3" t="s">
        <v>172</v>
      </c>
      <c r="D194" s="2" t="s">
        <v>282</v>
      </c>
      <c r="E194" s="2">
        <v>116</v>
      </c>
      <c r="F194" s="4"/>
      <c r="G194" s="4">
        <v>100</v>
      </c>
      <c r="H194" s="4">
        <v>20</v>
      </c>
      <c r="I194" s="4"/>
      <c r="J194" s="4"/>
      <c r="M194" s="2">
        <v>800</v>
      </c>
      <c r="N194" s="2" t="s">
        <v>31</v>
      </c>
    </row>
    <row r="195" s="2" customFormat="1" spans="1:14">
      <c r="A195" s="2">
        <f t="shared" si="4"/>
        <v>201200117</v>
      </c>
      <c r="B195" s="2">
        <v>201200</v>
      </c>
      <c r="C195" s="3" t="s">
        <v>172</v>
      </c>
      <c r="D195" s="2" t="s">
        <v>283</v>
      </c>
      <c r="E195" s="2">
        <v>117</v>
      </c>
      <c r="F195" s="4"/>
      <c r="G195" s="4">
        <v>100</v>
      </c>
      <c r="H195" s="4">
        <v>20</v>
      </c>
      <c r="I195" s="4"/>
      <c r="J195" s="4"/>
      <c r="M195" s="2">
        <v>800</v>
      </c>
      <c r="N195" s="2" t="s">
        <v>31</v>
      </c>
    </row>
    <row r="196" s="2" customFormat="1" spans="1:14">
      <c r="A196" s="2">
        <f t="shared" si="4"/>
        <v>201200118</v>
      </c>
      <c r="B196" s="2">
        <v>201200</v>
      </c>
      <c r="C196" s="3" t="s">
        <v>172</v>
      </c>
      <c r="D196" s="2" t="s">
        <v>284</v>
      </c>
      <c r="E196" s="2">
        <v>118</v>
      </c>
      <c r="F196" s="4"/>
      <c r="G196" s="4">
        <v>100</v>
      </c>
      <c r="H196" s="4">
        <v>20</v>
      </c>
      <c r="I196" s="4"/>
      <c r="J196" s="4"/>
      <c r="M196" s="2">
        <v>800</v>
      </c>
      <c r="N196" s="2" t="s">
        <v>31</v>
      </c>
    </row>
    <row r="197" s="2" customFormat="1" spans="1:14">
      <c r="A197" s="2">
        <f t="shared" si="4"/>
        <v>201200119</v>
      </c>
      <c r="B197" s="2">
        <v>201200</v>
      </c>
      <c r="C197" s="3" t="s">
        <v>172</v>
      </c>
      <c r="D197" s="2" t="s">
        <v>285</v>
      </c>
      <c r="E197" s="2">
        <v>119</v>
      </c>
      <c r="F197" s="4"/>
      <c r="G197" s="4">
        <v>100</v>
      </c>
      <c r="H197" s="4">
        <v>20</v>
      </c>
      <c r="I197" s="4"/>
      <c r="J197" s="4"/>
      <c r="M197" s="2">
        <v>800</v>
      </c>
      <c r="N197" s="2" t="s">
        <v>31</v>
      </c>
    </row>
    <row r="198" s="2" customFormat="1" spans="1:14">
      <c r="A198" s="2">
        <f t="shared" si="4"/>
        <v>201200120</v>
      </c>
      <c r="B198" s="2">
        <v>201200</v>
      </c>
      <c r="C198" s="3" t="s">
        <v>172</v>
      </c>
      <c r="D198" s="2" t="s">
        <v>286</v>
      </c>
      <c r="E198" s="2">
        <v>120</v>
      </c>
      <c r="F198" s="4"/>
      <c r="G198" s="4">
        <v>100</v>
      </c>
      <c r="H198" s="4">
        <v>20</v>
      </c>
      <c r="I198" s="4"/>
      <c r="J198" s="4"/>
      <c r="M198" s="2">
        <v>800</v>
      </c>
      <c r="N198" s="2" t="s">
        <v>31</v>
      </c>
    </row>
    <row r="199" s="2" customFormat="1" spans="1:14">
      <c r="A199" s="2">
        <f t="shared" si="4"/>
        <v>201200121</v>
      </c>
      <c r="B199" s="2">
        <v>201200</v>
      </c>
      <c r="C199" s="3" t="s">
        <v>172</v>
      </c>
      <c r="D199" s="2" t="s">
        <v>287</v>
      </c>
      <c r="E199" s="2">
        <v>121</v>
      </c>
      <c r="F199" s="4"/>
      <c r="G199" s="4">
        <v>100</v>
      </c>
      <c r="H199" s="4">
        <v>20</v>
      </c>
      <c r="I199" s="4"/>
      <c r="J199" s="4"/>
      <c r="M199" s="2">
        <v>800</v>
      </c>
      <c r="N199" s="2" t="s">
        <v>31</v>
      </c>
    </row>
    <row r="200" s="2" customFormat="1" spans="1:14">
      <c r="A200" s="2">
        <f t="shared" si="4"/>
        <v>201200122</v>
      </c>
      <c r="B200" s="2">
        <v>201200</v>
      </c>
      <c r="C200" s="3" t="s">
        <v>172</v>
      </c>
      <c r="D200" s="2" t="s">
        <v>288</v>
      </c>
      <c r="E200" s="2">
        <v>122</v>
      </c>
      <c r="F200" s="4"/>
      <c r="G200" s="4">
        <v>100</v>
      </c>
      <c r="H200" s="4">
        <v>20</v>
      </c>
      <c r="I200" s="4"/>
      <c r="J200" s="4"/>
      <c r="M200" s="2">
        <v>800</v>
      </c>
      <c r="N200" s="2" t="s">
        <v>31</v>
      </c>
    </row>
    <row r="201" s="2" customFormat="1" spans="1:14">
      <c r="A201" s="2">
        <f t="shared" si="4"/>
        <v>201200123</v>
      </c>
      <c r="B201" s="2">
        <v>201200</v>
      </c>
      <c r="C201" s="3" t="s">
        <v>172</v>
      </c>
      <c r="D201" s="2" t="s">
        <v>289</v>
      </c>
      <c r="E201" s="2">
        <v>123</v>
      </c>
      <c r="F201" s="4"/>
      <c r="G201" s="4">
        <v>100</v>
      </c>
      <c r="H201" s="4">
        <v>20</v>
      </c>
      <c r="I201" s="4"/>
      <c r="J201" s="4"/>
      <c r="M201" s="2">
        <v>800</v>
      </c>
      <c r="N201" s="2" t="s">
        <v>31</v>
      </c>
    </row>
    <row r="202" s="2" customFormat="1" spans="1:14">
      <c r="A202" s="2">
        <f t="shared" si="4"/>
        <v>201200124</v>
      </c>
      <c r="B202" s="2">
        <v>201200</v>
      </c>
      <c r="C202" s="3" t="s">
        <v>172</v>
      </c>
      <c r="D202" s="2" t="s">
        <v>290</v>
      </c>
      <c r="E202" s="2">
        <v>124</v>
      </c>
      <c r="F202" s="4"/>
      <c r="G202" s="4">
        <v>100</v>
      </c>
      <c r="H202" s="4">
        <v>20</v>
      </c>
      <c r="I202" s="4"/>
      <c r="J202" s="4"/>
      <c r="M202" s="2">
        <v>800</v>
      </c>
      <c r="N202" s="2" t="s">
        <v>31</v>
      </c>
    </row>
    <row r="203" s="2" customFormat="1" spans="1:14">
      <c r="A203" s="2">
        <f t="shared" si="4"/>
        <v>201200125</v>
      </c>
      <c r="B203" s="2">
        <v>201200</v>
      </c>
      <c r="C203" s="3" t="s">
        <v>172</v>
      </c>
      <c r="D203" s="2" t="s">
        <v>291</v>
      </c>
      <c r="E203" s="2">
        <v>125</v>
      </c>
      <c r="F203" s="4"/>
      <c r="G203" s="4">
        <v>100</v>
      </c>
      <c r="H203" s="4">
        <v>20</v>
      </c>
      <c r="I203" s="4"/>
      <c r="J203" s="4"/>
      <c r="M203" s="2">
        <v>800</v>
      </c>
      <c r="N203" s="2" t="s">
        <v>31</v>
      </c>
    </row>
    <row r="204" s="2" customFormat="1" spans="1:14">
      <c r="A204" s="2">
        <f t="shared" si="4"/>
        <v>201200126</v>
      </c>
      <c r="B204" s="2">
        <v>201200</v>
      </c>
      <c r="C204" s="3" t="s">
        <v>172</v>
      </c>
      <c r="D204" s="2" t="s">
        <v>292</v>
      </c>
      <c r="E204" s="2">
        <v>126</v>
      </c>
      <c r="F204" s="4"/>
      <c r="G204" s="4">
        <v>100</v>
      </c>
      <c r="H204" s="4">
        <v>20</v>
      </c>
      <c r="I204" s="4"/>
      <c r="J204" s="4"/>
      <c r="M204" s="2">
        <v>800</v>
      </c>
      <c r="N204" s="2" t="s">
        <v>31</v>
      </c>
    </row>
    <row r="205" s="2" customFormat="1" spans="1:14">
      <c r="A205" s="2">
        <f t="shared" si="4"/>
        <v>201200127</v>
      </c>
      <c r="B205" s="2">
        <v>201200</v>
      </c>
      <c r="C205" s="3" t="s">
        <v>172</v>
      </c>
      <c r="D205" s="2" t="s">
        <v>293</v>
      </c>
      <c r="E205" s="2">
        <v>127</v>
      </c>
      <c r="F205" s="4"/>
      <c r="G205" s="4">
        <v>100</v>
      </c>
      <c r="H205" s="4">
        <v>20</v>
      </c>
      <c r="I205" s="4"/>
      <c r="J205" s="4"/>
      <c r="M205" s="2">
        <v>800</v>
      </c>
      <c r="N205" s="2" t="s">
        <v>31</v>
      </c>
    </row>
    <row r="206" s="2" customFormat="1" spans="1:14">
      <c r="A206" s="2">
        <f t="shared" si="4"/>
        <v>201200128</v>
      </c>
      <c r="B206" s="2">
        <v>201200</v>
      </c>
      <c r="C206" s="3" t="s">
        <v>172</v>
      </c>
      <c r="D206" s="2" t="s">
        <v>294</v>
      </c>
      <c r="E206" s="2">
        <v>128</v>
      </c>
      <c r="F206" s="4"/>
      <c r="G206" s="4">
        <v>100</v>
      </c>
      <c r="H206" s="4">
        <v>20</v>
      </c>
      <c r="I206" s="4"/>
      <c r="J206" s="4"/>
      <c r="M206" s="2">
        <v>800</v>
      </c>
      <c r="N206" s="2" t="s">
        <v>31</v>
      </c>
    </row>
    <row r="207" s="2" customFormat="1" spans="1:14">
      <c r="A207" s="2">
        <f t="shared" si="4"/>
        <v>201200129</v>
      </c>
      <c r="B207" s="2">
        <v>201200</v>
      </c>
      <c r="C207" s="3" t="s">
        <v>172</v>
      </c>
      <c r="D207" s="2" t="s">
        <v>295</v>
      </c>
      <c r="E207" s="2">
        <v>129</v>
      </c>
      <c r="F207" s="4"/>
      <c r="G207" s="4">
        <v>100</v>
      </c>
      <c r="H207" s="4">
        <v>20</v>
      </c>
      <c r="I207" s="4"/>
      <c r="J207" s="4"/>
      <c r="M207" s="2">
        <v>800</v>
      </c>
      <c r="N207" s="2" t="s">
        <v>31</v>
      </c>
    </row>
    <row r="208" s="2" customFormat="1" spans="1:14">
      <c r="A208" s="2">
        <f t="shared" si="4"/>
        <v>201200130</v>
      </c>
      <c r="B208" s="2">
        <v>201200</v>
      </c>
      <c r="C208" s="3" t="s">
        <v>172</v>
      </c>
      <c r="D208" s="2" t="s">
        <v>296</v>
      </c>
      <c r="E208" s="2">
        <v>130</v>
      </c>
      <c r="F208" s="4"/>
      <c r="G208" s="4">
        <v>100</v>
      </c>
      <c r="H208" s="4">
        <v>20</v>
      </c>
      <c r="I208" s="4"/>
      <c r="J208" s="4"/>
      <c r="M208" s="2">
        <v>800</v>
      </c>
      <c r="N208" s="2" t="s">
        <v>31</v>
      </c>
    </row>
    <row r="209" s="2" customFormat="1" spans="1:14">
      <c r="A209" s="2">
        <f t="shared" si="4"/>
        <v>201200131</v>
      </c>
      <c r="B209" s="2">
        <v>201200</v>
      </c>
      <c r="C209" s="3" t="s">
        <v>172</v>
      </c>
      <c r="D209" s="2" t="s">
        <v>297</v>
      </c>
      <c r="E209" s="2">
        <v>131</v>
      </c>
      <c r="F209" s="4"/>
      <c r="G209" s="4">
        <v>100</v>
      </c>
      <c r="H209" s="4">
        <v>20</v>
      </c>
      <c r="I209" s="4"/>
      <c r="J209" s="4"/>
      <c r="M209" s="2">
        <v>800</v>
      </c>
      <c r="N209" s="2" t="s">
        <v>31</v>
      </c>
    </row>
    <row r="210" s="2" customFormat="1" spans="1:14">
      <c r="A210" s="2">
        <f t="shared" si="4"/>
        <v>201200132</v>
      </c>
      <c r="B210" s="2">
        <v>201200</v>
      </c>
      <c r="C210" s="3" t="s">
        <v>172</v>
      </c>
      <c r="D210" s="2" t="s">
        <v>298</v>
      </c>
      <c r="E210" s="2">
        <v>132</v>
      </c>
      <c r="F210" s="4"/>
      <c r="G210" s="4">
        <v>100</v>
      </c>
      <c r="H210" s="4">
        <v>20</v>
      </c>
      <c r="I210" s="4"/>
      <c r="J210" s="4"/>
      <c r="M210" s="2">
        <v>800</v>
      </c>
      <c r="N210" s="2" t="s">
        <v>31</v>
      </c>
    </row>
    <row r="211" s="2" customFormat="1" spans="1:14">
      <c r="A211" s="2">
        <f t="shared" ref="A211:A234" si="5">B211*1000+E211</f>
        <v>201200133</v>
      </c>
      <c r="B211" s="2">
        <v>201200</v>
      </c>
      <c r="C211" s="3" t="s">
        <v>172</v>
      </c>
      <c r="D211" s="2" t="s">
        <v>299</v>
      </c>
      <c r="E211" s="2">
        <v>133</v>
      </c>
      <c r="F211" s="4"/>
      <c r="G211" s="4">
        <v>100</v>
      </c>
      <c r="H211" s="4">
        <v>20</v>
      </c>
      <c r="I211" s="4"/>
      <c r="J211" s="4"/>
      <c r="M211" s="2">
        <v>800</v>
      </c>
      <c r="N211" s="2" t="s">
        <v>31</v>
      </c>
    </row>
    <row r="212" s="2" customFormat="1" spans="1:14">
      <c r="A212" s="2">
        <f t="shared" si="5"/>
        <v>201200134</v>
      </c>
      <c r="B212" s="2">
        <v>201200</v>
      </c>
      <c r="C212" s="3" t="s">
        <v>172</v>
      </c>
      <c r="D212" s="2" t="s">
        <v>300</v>
      </c>
      <c r="E212" s="2">
        <v>134</v>
      </c>
      <c r="F212" s="4"/>
      <c r="G212" s="4">
        <v>100</v>
      </c>
      <c r="H212" s="4">
        <v>20</v>
      </c>
      <c r="I212" s="4"/>
      <c r="J212" s="4"/>
      <c r="M212" s="2">
        <v>500</v>
      </c>
      <c r="N212" s="2" t="s">
        <v>31</v>
      </c>
    </row>
    <row r="213" s="2" customFormat="1" spans="1:14">
      <c r="A213" s="2">
        <f t="shared" si="5"/>
        <v>201200135</v>
      </c>
      <c r="B213" s="2">
        <v>201200</v>
      </c>
      <c r="C213" s="3" t="s">
        <v>172</v>
      </c>
      <c r="D213" s="2" t="s">
        <v>301</v>
      </c>
      <c r="E213" s="2">
        <v>135</v>
      </c>
      <c r="F213" s="4"/>
      <c r="G213" s="4">
        <v>100</v>
      </c>
      <c r="H213" s="4">
        <v>20</v>
      </c>
      <c r="I213" s="4"/>
      <c r="J213" s="4"/>
      <c r="M213" s="2">
        <v>500</v>
      </c>
      <c r="N213" s="2" t="s">
        <v>31</v>
      </c>
    </row>
    <row r="214" s="2" customFormat="1" spans="1:14">
      <c r="A214" s="2">
        <f t="shared" si="5"/>
        <v>201200136</v>
      </c>
      <c r="B214" s="2">
        <v>201200</v>
      </c>
      <c r="C214" s="3" t="s">
        <v>172</v>
      </c>
      <c r="D214" s="2" t="s">
        <v>302</v>
      </c>
      <c r="E214" s="2">
        <v>136</v>
      </c>
      <c r="F214" s="4"/>
      <c r="G214" s="4">
        <v>100</v>
      </c>
      <c r="H214" s="4">
        <v>20</v>
      </c>
      <c r="I214" s="4"/>
      <c r="J214" s="4"/>
      <c r="M214" s="2">
        <v>500</v>
      </c>
      <c r="N214" s="2" t="s">
        <v>31</v>
      </c>
    </row>
    <row r="215" s="2" customFormat="1" spans="1:14">
      <c r="A215" s="2">
        <f t="shared" si="5"/>
        <v>201200137</v>
      </c>
      <c r="B215" s="2">
        <v>201200</v>
      </c>
      <c r="C215" s="3" t="s">
        <v>172</v>
      </c>
      <c r="D215" s="2" t="s">
        <v>303</v>
      </c>
      <c r="E215" s="2">
        <v>137</v>
      </c>
      <c r="F215" s="4"/>
      <c r="G215" s="4">
        <v>100</v>
      </c>
      <c r="H215" s="4">
        <v>20</v>
      </c>
      <c r="I215" s="4"/>
      <c r="J215" s="4"/>
      <c r="M215" s="2">
        <v>500</v>
      </c>
      <c r="N215" s="2" t="s">
        <v>31</v>
      </c>
    </row>
    <row r="216" s="2" customFormat="1" spans="1:14">
      <c r="A216" s="2">
        <f t="shared" si="5"/>
        <v>201200138</v>
      </c>
      <c r="B216" s="2">
        <v>201200</v>
      </c>
      <c r="C216" s="3" t="s">
        <v>172</v>
      </c>
      <c r="D216" s="2" t="s">
        <v>304</v>
      </c>
      <c r="E216" s="2">
        <v>138</v>
      </c>
      <c r="F216" s="4"/>
      <c r="G216" s="4">
        <v>100</v>
      </c>
      <c r="H216" s="4">
        <v>20</v>
      </c>
      <c r="I216" s="4"/>
      <c r="J216" s="4"/>
      <c r="M216" s="2">
        <v>500</v>
      </c>
      <c r="N216" s="2" t="s">
        <v>31</v>
      </c>
    </row>
    <row r="217" s="2" customFormat="1" spans="1:14">
      <c r="A217" s="2">
        <f t="shared" si="5"/>
        <v>201200139</v>
      </c>
      <c r="B217" s="2">
        <v>201200</v>
      </c>
      <c r="C217" s="3" t="s">
        <v>172</v>
      </c>
      <c r="D217" s="2" t="s">
        <v>305</v>
      </c>
      <c r="E217" s="2">
        <v>139</v>
      </c>
      <c r="F217" s="4"/>
      <c r="G217" s="4">
        <v>100</v>
      </c>
      <c r="H217" s="4">
        <v>20</v>
      </c>
      <c r="I217" s="4"/>
      <c r="J217" s="4"/>
      <c r="M217" s="2">
        <v>500</v>
      </c>
      <c r="N217" s="2" t="s">
        <v>31</v>
      </c>
    </row>
    <row r="218" s="2" customFormat="1" spans="1:14">
      <c r="A218" s="2">
        <f t="shared" si="5"/>
        <v>201200140</v>
      </c>
      <c r="B218" s="2">
        <v>201200</v>
      </c>
      <c r="C218" s="3" t="s">
        <v>172</v>
      </c>
      <c r="D218" s="2" t="s">
        <v>306</v>
      </c>
      <c r="E218" s="2">
        <v>140</v>
      </c>
      <c r="F218" s="4"/>
      <c r="G218" s="4">
        <v>100</v>
      </c>
      <c r="H218" s="4">
        <v>20</v>
      </c>
      <c r="I218" s="4"/>
      <c r="J218" s="4"/>
      <c r="M218" s="2">
        <v>500</v>
      </c>
      <c r="N218" s="2" t="s">
        <v>31</v>
      </c>
    </row>
    <row r="219" s="2" customFormat="1" spans="1:14">
      <c r="A219" s="2">
        <f t="shared" si="5"/>
        <v>201200141</v>
      </c>
      <c r="B219" s="2">
        <v>201200</v>
      </c>
      <c r="C219" s="3" t="s">
        <v>172</v>
      </c>
      <c r="D219" s="2" t="s">
        <v>307</v>
      </c>
      <c r="E219" s="2">
        <v>141</v>
      </c>
      <c r="F219" s="4"/>
      <c r="G219" s="4">
        <v>100</v>
      </c>
      <c r="H219" s="4">
        <v>20</v>
      </c>
      <c r="I219" s="4"/>
      <c r="J219" s="4"/>
      <c r="M219" s="2">
        <v>500</v>
      </c>
      <c r="N219" s="2" t="s">
        <v>31</v>
      </c>
    </row>
    <row r="220" s="2" customFormat="1" spans="1:14">
      <c r="A220" s="2">
        <f t="shared" si="5"/>
        <v>201200142</v>
      </c>
      <c r="B220" s="2">
        <v>201200</v>
      </c>
      <c r="C220" s="3" t="s">
        <v>172</v>
      </c>
      <c r="D220" s="2" t="s">
        <v>308</v>
      </c>
      <c r="E220" s="2">
        <v>142</v>
      </c>
      <c r="F220" s="4"/>
      <c r="G220" s="4">
        <v>100</v>
      </c>
      <c r="H220" s="4">
        <v>20</v>
      </c>
      <c r="I220" s="4"/>
      <c r="J220" s="4"/>
      <c r="M220" s="2">
        <v>500</v>
      </c>
      <c r="N220" s="2" t="s">
        <v>31</v>
      </c>
    </row>
    <row r="221" s="2" customFormat="1" spans="1:14">
      <c r="A221" s="2">
        <f t="shared" si="5"/>
        <v>201200143</v>
      </c>
      <c r="B221" s="2">
        <v>201200</v>
      </c>
      <c r="C221" s="3" t="s">
        <v>172</v>
      </c>
      <c r="D221" s="2" t="s">
        <v>309</v>
      </c>
      <c r="E221" s="2">
        <v>143</v>
      </c>
      <c r="F221" s="4"/>
      <c r="G221" s="4">
        <v>100</v>
      </c>
      <c r="H221" s="4">
        <v>20</v>
      </c>
      <c r="I221" s="4"/>
      <c r="J221" s="4"/>
      <c r="M221" s="2">
        <v>500</v>
      </c>
      <c r="N221" s="2" t="s">
        <v>31</v>
      </c>
    </row>
    <row r="222" s="2" customFormat="1" spans="1:14">
      <c r="A222" s="2">
        <f t="shared" si="5"/>
        <v>201200144</v>
      </c>
      <c r="B222" s="2">
        <v>201200</v>
      </c>
      <c r="C222" s="3" t="s">
        <v>172</v>
      </c>
      <c r="D222" s="2" t="s">
        <v>310</v>
      </c>
      <c r="E222" s="2">
        <v>144</v>
      </c>
      <c r="F222" s="4"/>
      <c r="G222" s="4">
        <v>100</v>
      </c>
      <c r="H222" s="4">
        <v>20</v>
      </c>
      <c r="I222" s="4"/>
      <c r="J222" s="4"/>
      <c r="M222" s="2">
        <v>500</v>
      </c>
      <c r="N222" s="2" t="s">
        <v>31</v>
      </c>
    </row>
    <row r="223" s="2" customFormat="1" spans="1:14">
      <c r="A223" s="2">
        <f t="shared" si="5"/>
        <v>201200145</v>
      </c>
      <c r="B223" s="2">
        <v>201200</v>
      </c>
      <c r="C223" s="3" t="s">
        <v>172</v>
      </c>
      <c r="D223" s="2" t="s">
        <v>29</v>
      </c>
      <c r="E223" s="2">
        <v>145</v>
      </c>
      <c r="F223" s="4">
        <v>20120146</v>
      </c>
      <c r="G223" s="4">
        <v>100</v>
      </c>
      <c r="H223" s="4">
        <v>20</v>
      </c>
      <c r="I223" s="4"/>
      <c r="J223" s="4"/>
      <c r="M223" s="2">
        <v>100</v>
      </c>
      <c r="N223" s="2" t="s">
        <v>31</v>
      </c>
    </row>
    <row r="224" s="2" customFormat="1" spans="1:14">
      <c r="A224" s="2">
        <f t="shared" si="5"/>
        <v>201200146</v>
      </c>
      <c r="B224" s="2">
        <v>201200</v>
      </c>
      <c r="C224" s="3" t="s">
        <v>172</v>
      </c>
      <c r="D224" s="2" t="s">
        <v>32</v>
      </c>
      <c r="E224" s="2">
        <v>146</v>
      </c>
      <c r="F224" s="4">
        <v>20120145</v>
      </c>
      <c r="G224" s="4">
        <v>100</v>
      </c>
      <c r="H224" s="4">
        <v>20</v>
      </c>
      <c r="I224" s="4"/>
      <c r="J224" s="4"/>
      <c r="M224" s="2">
        <v>100</v>
      </c>
      <c r="N224" s="2" t="s">
        <v>31</v>
      </c>
    </row>
    <row r="225" s="2" customFormat="1" spans="1:14">
      <c r="A225" s="2">
        <f t="shared" si="5"/>
        <v>201200147</v>
      </c>
      <c r="B225" s="2">
        <v>201200</v>
      </c>
      <c r="C225" s="3" t="s">
        <v>172</v>
      </c>
      <c r="D225" s="2" t="s">
        <v>311</v>
      </c>
      <c r="E225" s="2">
        <v>147</v>
      </c>
      <c r="F225" s="4">
        <v>20120148</v>
      </c>
      <c r="G225" s="4">
        <v>100</v>
      </c>
      <c r="H225" s="4">
        <v>20</v>
      </c>
      <c r="I225" s="4"/>
      <c r="J225" s="4"/>
      <c r="M225" s="2">
        <v>100</v>
      </c>
      <c r="N225" s="2" t="s">
        <v>31</v>
      </c>
    </row>
    <row r="226" s="2" customFormat="1" spans="1:14">
      <c r="A226" s="2">
        <f t="shared" si="5"/>
        <v>201200148</v>
      </c>
      <c r="B226" s="2">
        <v>201200</v>
      </c>
      <c r="C226" s="3" t="s">
        <v>172</v>
      </c>
      <c r="D226" s="2" t="s">
        <v>312</v>
      </c>
      <c r="E226" s="2">
        <v>148</v>
      </c>
      <c r="F226" s="4">
        <v>20120147</v>
      </c>
      <c r="G226" s="4">
        <v>100</v>
      </c>
      <c r="H226" s="4">
        <v>20</v>
      </c>
      <c r="I226" s="4"/>
      <c r="J226" s="4"/>
      <c r="M226" s="2">
        <v>100</v>
      </c>
      <c r="N226" s="2" t="s">
        <v>31</v>
      </c>
    </row>
    <row r="227" s="2" customFormat="1" spans="1:14">
      <c r="A227" s="2">
        <f t="shared" si="5"/>
        <v>201200149</v>
      </c>
      <c r="B227" s="2">
        <v>201200</v>
      </c>
      <c r="C227" s="3" t="s">
        <v>172</v>
      </c>
      <c r="D227" s="2" t="s">
        <v>313</v>
      </c>
      <c r="E227" s="2">
        <v>149</v>
      </c>
      <c r="F227" s="4">
        <v>20120150</v>
      </c>
      <c r="G227" s="4">
        <v>100</v>
      </c>
      <c r="H227" s="4">
        <v>20</v>
      </c>
      <c r="I227" s="4"/>
      <c r="J227" s="4"/>
      <c r="M227" s="2">
        <v>100</v>
      </c>
      <c r="N227" s="2" t="s">
        <v>31</v>
      </c>
    </row>
    <row r="228" s="2" customFormat="1" spans="1:14">
      <c r="A228" s="2">
        <f t="shared" si="5"/>
        <v>201200150</v>
      </c>
      <c r="B228" s="2">
        <v>201200</v>
      </c>
      <c r="C228" s="3" t="s">
        <v>172</v>
      </c>
      <c r="D228" s="2" t="s">
        <v>314</v>
      </c>
      <c r="E228" s="2">
        <v>150</v>
      </c>
      <c r="F228" s="4">
        <v>20120149</v>
      </c>
      <c r="G228" s="4">
        <v>100</v>
      </c>
      <c r="H228" s="4">
        <v>20</v>
      </c>
      <c r="I228" s="4"/>
      <c r="J228" s="4"/>
      <c r="M228" s="2">
        <v>100</v>
      </c>
      <c r="N228" s="2" t="s">
        <v>31</v>
      </c>
    </row>
    <row r="229" s="2" customFormat="1" spans="1:14">
      <c r="A229" s="2">
        <f t="shared" si="5"/>
        <v>201200151</v>
      </c>
      <c r="B229" s="2">
        <v>201200</v>
      </c>
      <c r="C229" s="3" t="s">
        <v>172</v>
      </c>
      <c r="D229" s="18" t="s">
        <v>315</v>
      </c>
      <c r="E229" s="2">
        <v>151</v>
      </c>
      <c r="F229" s="4"/>
      <c r="G229" s="4">
        <v>100</v>
      </c>
      <c r="H229" s="4">
        <v>20</v>
      </c>
      <c r="I229" s="4"/>
      <c r="J229" s="4"/>
      <c r="M229" s="2">
        <v>200</v>
      </c>
      <c r="N229" s="2" t="s">
        <v>31</v>
      </c>
    </row>
    <row r="230" s="2" customFormat="1" spans="1:14">
      <c r="A230" s="2">
        <f t="shared" si="5"/>
        <v>201200152</v>
      </c>
      <c r="B230" s="2">
        <v>201200</v>
      </c>
      <c r="C230" s="3" t="s">
        <v>172</v>
      </c>
      <c r="D230" s="2" t="s">
        <v>316</v>
      </c>
      <c r="E230" s="2">
        <v>152</v>
      </c>
      <c r="F230" s="4"/>
      <c r="G230" s="4">
        <v>100</v>
      </c>
      <c r="H230" s="4">
        <v>20</v>
      </c>
      <c r="I230" s="4"/>
      <c r="J230" s="4"/>
      <c r="M230" s="2">
        <v>200</v>
      </c>
      <c r="N230" s="2" t="s">
        <v>31</v>
      </c>
    </row>
    <row r="231" s="2" customFormat="1" spans="1:14">
      <c r="A231" s="2">
        <f t="shared" si="5"/>
        <v>201200153</v>
      </c>
      <c r="B231" s="2">
        <v>201200</v>
      </c>
      <c r="C231" s="3" t="s">
        <v>172</v>
      </c>
      <c r="D231" s="2" t="s">
        <v>317</v>
      </c>
      <c r="E231" s="2">
        <v>153</v>
      </c>
      <c r="F231" s="4"/>
      <c r="G231" s="4">
        <v>100</v>
      </c>
      <c r="H231" s="4">
        <v>20</v>
      </c>
      <c r="I231" s="4"/>
      <c r="J231" s="4"/>
      <c r="M231" s="2">
        <v>200</v>
      </c>
      <c r="N231" s="2" t="s">
        <v>31</v>
      </c>
    </row>
    <row r="232" s="2" customFormat="1" spans="1:14">
      <c r="A232" s="2">
        <f t="shared" si="5"/>
        <v>201200154</v>
      </c>
      <c r="B232" s="2">
        <v>201200</v>
      </c>
      <c r="C232" s="3" t="s">
        <v>172</v>
      </c>
      <c r="D232" s="2" t="s">
        <v>318</v>
      </c>
      <c r="E232" s="2">
        <v>154</v>
      </c>
      <c r="F232" s="4"/>
      <c r="G232" s="4">
        <v>100</v>
      </c>
      <c r="H232" s="4">
        <v>20</v>
      </c>
      <c r="I232" s="4"/>
      <c r="J232" s="4"/>
      <c r="M232" s="2">
        <v>200</v>
      </c>
      <c r="N232" s="2" t="s">
        <v>31</v>
      </c>
    </row>
    <row r="233" s="2" customFormat="1" spans="1:14">
      <c r="A233" s="2">
        <f t="shared" si="5"/>
        <v>201200155</v>
      </c>
      <c r="B233" s="2">
        <v>201200</v>
      </c>
      <c r="C233" s="3" t="s">
        <v>172</v>
      </c>
      <c r="D233" s="2" t="s">
        <v>319</v>
      </c>
      <c r="E233" s="2">
        <v>155</v>
      </c>
      <c r="F233" s="4"/>
      <c r="G233" s="4">
        <v>100</v>
      </c>
      <c r="H233" s="4">
        <v>20</v>
      </c>
      <c r="I233" s="4"/>
      <c r="J233" s="4"/>
      <c r="M233" s="2">
        <v>200</v>
      </c>
      <c r="N233" s="2" t="s">
        <v>31</v>
      </c>
    </row>
    <row r="234" s="2" customFormat="1" spans="1:14">
      <c r="A234" s="2">
        <f t="shared" si="5"/>
        <v>201200156</v>
      </c>
      <c r="B234" s="2">
        <v>201200</v>
      </c>
      <c r="C234" s="3" t="s">
        <v>172</v>
      </c>
      <c r="D234" s="2" t="s">
        <v>320</v>
      </c>
      <c r="E234" s="2">
        <v>156</v>
      </c>
      <c r="F234" s="4"/>
      <c r="G234" s="4">
        <v>100</v>
      </c>
      <c r="H234" s="4">
        <v>20</v>
      </c>
      <c r="I234" s="4"/>
      <c r="J234" s="4"/>
      <c r="M234" s="2">
        <v>200</v>
      </c>
      <c r="N234" s="2" t="s">
        <v>31</v>
      </c>
    </row>
  </sheetData>
  <conditionalFormatting sqref="F5">
    <cfRule type="duplicateValues" dxfId="7" priority="5"/>
  </conditionalFormatting>
  <conditionalFormatting sqref="F13">
    <cfRule type="duplicateValues" dxfId="7" priority="4"/>
  </conditionalFormatting>
  <conditionalFormatting sqref="D176">
    <cfRule type="duplicateValues" dxfId="8" priority="1"/>
  </conditionalFormatting>
  <conditionalFormatting sqref="A5:A78">
    <cfRule type="duplicateValues" dxfId="7" priority="7"/>
  </conditionalFormatting>
  <conditionalFormatting sqref="A79:A234">
    <cfRule type="duplicateValues" dxfId="7" priority="2"/>
  </conditionalFormatting>
  <conditionalFormatting sqref="D117:D175">
    <cfRule type="duplicateValues" dxfId="8" priority="3"/>
  </conditionalFormatting>
  <pageMargins left="0.699305555555556" right="0.699305555555556" top="0.75" bottom="0.75" header="0.3" footer="0.3"/>
  <pageSetup paperSize="9" orientation="portrait"/>
  <headerFooter/>
  <ignoredErrors>
    <ignoredError sqref="C5:C78" calculatedColumn="1"/>
  </ignoredErrors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BetArea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雾月无情</cp:lastModifiedBy>
  <dcterms:created xsi:type="dcterms:W3CDTF">2015-06-06T02:19:00Z</dcterms:created>
  <dcterms:modified xsi:type="dcterms:W3CDTF">2026-03-06T02:54:14Z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