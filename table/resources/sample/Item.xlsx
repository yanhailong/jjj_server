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3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3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</commentList>
</comments>
</file>

<file path=xl/sharedStrings.xml><?xml version="1.0" encoding="utf-8"?>
<sst xmlns="http://schemas.openxmlformats.org/spreadsheetml/2006/main" count="114" uniqueCount="72">
  <si>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</si>
  <si>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</si>
  <si>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</si>
  <si>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</si>
  <si>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</si>
  <si>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</si>
  <si>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</si>
  <si>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</si>
  <si>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</si>
  <si>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</si>
  <si>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</si>
  <si>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</si>
  <si>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</si>
  <si>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</si>
  <si>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</si>
  <si>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</si>
  <si>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</si>
  <si>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</si>
  <si>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</si>
  <si>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</si>
  <si>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</si>
  <si>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</si>
  <si>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</si>
  <si>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</si>
  <si>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</si>
  <si>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</si>
  <si>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</si>
  <si>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</si>
  <si>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</si>
  <si>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</si>
  <si>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</si>
  <si>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</si>
  <si>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</si>
  <si>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</si>
  <si>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</si>
  <si>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</si>
  <si>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</si>
  <si>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</si>
  <si>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</si>
  <si>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</si>
  <si>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</si>
  <si>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</si>
  <si>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</t>
  </si>
  <si>
    <t>图鉴2</t>
  </si>
  <si>
    <t>图鉴3</t>
  </si>
  <si>
    <t>图鉴4</t>
  </si>
  <si>
    <t>图鉴5</t>
  </si>
  <si>
    <t>图鉴6</t>
  </si>
  <si>
    <t>图鉴7</t>
  </si>
  <si>
    <t>图鉴8</t>
  </si>
  <si>
    <t>头像2</t>
  </si>
  <si>
    <t>头像3</t>
  </si>
  <si>
    <t>头像框2</t>
  </si>
  <si>
    <t>头像框3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</si>
  <si>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</si>
  <si>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</si>
  <si>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</si>
  <si>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</si>
  <si>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</si>
  <si>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</si>
  <si>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</si>
  <si>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</si>
  <si>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</si>
  <si>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</si>
  <si>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</si>
  <si>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</si>
  <si>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</si>
  <si>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</si>
  <si>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</si>
  <si>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图鉴礼包</t>
  </si>
  <si>
    <t>不可见道具</t>
  </si>
  <si>
    <t>图鉴碎片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</si>
</sst>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3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abSelected="1" zoomScale="85" zoomScaleNormal="85" workbookViewId="0">
      <selection activeCell="M22" sqref="M22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5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t="s">
        <v>6</v>
      </c>
      <c r="K1" t="s">
        <v>7</v>
      </c>
      <c r="L1" t="s">
        <v>8</v>
      </c>
      <c r="M1" t="s">
        <v>9</v>
      </c>
      <c r="N1" s="3" t="s">
        <v>10</v>
      </c>
      <c r="O1" t="s">
        <v>11</v>
      </c>
    </row>
    <row r="2" spans="1:15">
      <c r="A2" s="3" t="s">
        <v>12</v>
      </c>
      <c r="B2" s="3"/>
      <c r="C2" s="3" t="s">
        <v>12</v>
      </c>
      <c r="D2" s="3"/>
      <c r="E2" s="3" t="s">
        <v>12</v>
      </c>
      <c r="F2" s="4"/>
      <c r="G2" s="3" t="s">
        <v>12</v>
      </c>
      <c r="H2" s="3" t="s">
        <v>13</v>
      </c>
      <c r="I2" s="3" t="s">
        <v>12</v>
      </c>
      <c r="J2" s="3"/>
      <c r="K2" s="3" t="s">
        <v>12</v>
      </c>
      <c r="L2" s="3" t="s">
        <v>12</v>
      </c>
      <c r="M2" s="3" t="s">
        <v>12</v>
      </c>
      <c r="N2" s="3" t="s">
        <v>12</v>
      </c>
      <c r="O2" t="s">
        <v>14</v>
      </c>
    </row>
    <row r="3" spans="1:15">
      <c r="A3" s="2" t="s">
        <v>15</v>
      </c>
      <c r="B3" s="2"/>
      <c r="C3" s="3" t="s">
        <v>16</v>
      </c>
      <c r="D3" s="3"/>
      <c r="E3" s="3" t="s">
        <v>17</v>
      </c>
      <c r="F3" s="3"/>
      <c r="G3" s="3" t="s">
        <v>18</v>
      </c>
      <c r="H3" s="3" t="s">
        <v>19</v>
      </c>
      <c r="I3" t="s">
        <v>20</v>
      </c>
      <c r="K3" t="s">
        <v>21</v>
      </c>
      <c r="L3" t="s">
        <v>22</v>
      </c>
      <c r="M3" t="s">
        <v>23</v>
      </c>
      <c r="N3" s="3" t="s">
        <v>24</v>
      </c>
      <c r="O3" t="s">
        <v>25</v>
      </c>
    </row>
    <row r="4" spans="1:2">
      <c r="A4" s="5"/>
      <c r="B4" s="5"/>
    </row>
    <row r="5" customFormat="1" ht="21" customHeight="1" spans="1:15">
      <c r="A5">
        <f>1000000+E5*10000+B5</f>
        <v>1010101</v>
      </c>
      <c r="B5" s="6">
        <v>101</v>
      </c>
      <c r="C5">
        <v>1010101</v>
      </c>
      <c r="D5" t="s">
        <v>26</v>
      </c>
      <c r="E5">
        <v>1</v>
      </c>
      <c r="F5" t="s">
        <v>27</v>
      </c>
      <c r="G5">
        <v>4</v>
      </c>
      <c r="H5" t="str">
        <f t="shared" ref="H5:H16" si="0">"itemicon_"&amp;A5&amp;".png"</f>
        <v>itemicon_1010101.png</v>
      </c>
      <c r="I5">
        <f>2000000+E5*10000+B5</f>
        <v>2010101</v>
      </c>
      <c r="J5" t="s">
        <v>28</v>
      </c>
      <c r="K5">
        <v>0</v>
      </c>
      <c r="N5">
        <v>999</v>
      </c>
      <c r="O5" s="12" t="s">
        <v>29</v>
      </c>
    </row>
    <row r="6" customFormat="1" ht="21" customHeight="1" spans="1:15">
      <c r="A6">
        <f t="shared" ref="A6:A17" si="1">1000000+E6*10000+B6</f>
        <v>1010201</v>
      </c>
      <c r="B6" s="6">
        <v>201</v>
      </c>
      <c r="C6">
        <v>1010201</v>
      </c>
      <c r="D6" t="s">
        <v>30</v>
      </c>
      <c r="E6">
        <v>1</v>
      </c>
      <c r="F6" t="s">
        <v>27</v>
      </c>
      <c r="G6">
        <v>4</v>
      </c>
      <c r="H6" t="str">
        <f t="shared" si="0"/>
        <v>itemicon_1010201.png</v>
      </c>
      <c r="I6">
        <f t="shared" ref="I6:I16" si="2">2000000+E6*10000+B6</f>
        <v>2010201</v>
      </c>
      <c r="J6" t="s">
        <v>31</v>
      </c>
      <c r="K6">
        <v>0</v>
      </c>
      <c r="N6">
        <v>999</v>
      </c>
      <c r="O6" s="12" t="s">
        <v>32</v>
      </c>
    </row>
    <row r="7" ht="21" customHeight="1" spans="1:14">
      <c r="A7">
        <f t="shared" si="1"/>
        <v>1020001</v>
      </c>
      <c r="B7" s="6">
        <f>COUNTIF($F$1:F7,F7)</f>
        <v>1</v>
      </c>
      <c r="C7">
        <v>1020001</v>
      </c>
      <c r="D7" t="s">
        <v>33</v>
      </c>
      <c r="E7">
        <v>2</v>
      </c>
      <c r="F7" t="s">
        <v>34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35</v>
      </c>
      <c r="K7">
        <v>0</v>
      </c>
      <c r="N7">
        <v>999</v>
      </c>
    </row>
    <row r="8" s="1" customFormat="1" ht="21" customHeight="1" spans="1:14">
      <c r="A8" s="1">
        <f t="shared" si="1"/>
        <v>1020002</v>
      </c>
      <c r="B8" s="1">
        <f>COUNTIF($F$1:F8,F8)</f>
        <v>2</v>
      </c>
      <c r="C8" s="1">
        <v>1020002</v>
      </c>
      <c r="D8" s="1" t="s">
        <v>36</v>
      </c>
      <c r="E8" s="1">
        <v>2</v>
      </c>
      <c r="F8" s="1" t="s">
        <v>34</v>
      </c>
      <c r="G8" s="1">
        <v>2</v>
      </c>
      <c r="H8" s="1" t="str">
        <f t="shared" si="0"/>
        <v>itemicon_1020002.png</v>
      </c>
      <c r="I8" s="1">
        <f t="shared" si="2"/>
        <v>2020002</v>
      </c>
      <c r="J8" s="1" t="s">
        <v>37</v>
      </c>
      <c r="K8" s="1">
        <v>0</v>
      </c>
      <c r="N8" s="1">
        <v>999</v>
      </c>
    </row>
    <row r="9" s="1" customFormat="1" ht="21" customHeight="1" spans="1:14">
      <c r="A9" s="1">
        <f t="shared" si="1"/>
        <v>1020003</v>
      </c>
      <c r="B9" s="1">
        <f>COUNTIF($F$1:F9,F9)</f>
        <v>3</v>
      </c>
      <c r="C9" s="1">
        <v>1020003</v>
      </c>
      <c r="D9" s="1" t="s">
        <v>38</v>
      </c>
      <c r="E9" s="1">
        <v>2</v>
      </c>
      <c r="F9" s="1" t="s">
        <v>34</v>
      </c>
      <c r="G9" s="1">
        <v>3</v>
      </c>
      <c r="H9" s="1" t="str">
        <f t="shared" si="0"/>
        <v>itemicon_1020003.png</v>
      </c>
      <c r="I9" s="1">
        <f t="shared" si="2"/>
        <v>2020003</v>
      </c>
      <c r="J9" s="1" t="s">
        <v>37</v>
      </c>
      <c r="K9" s="1">
        <v>0</v>
      </c>
      <c r="N9" s="1">
        <v>999</v>
      </c>
    </row>
    <row r="10" s="1" customFormat="1" ht="21" customHeight="1" spans="1:14">
      <c r="A10" s="1">
        <f t="shared" si="1"/>
        <v>1020004</v>
      </c>
      <c r="B10" s="1">
        <f>COUNTIF($F$1:F10,F10)</f>
        <v>4</v>
      </c>
      <c r="C10" s="1">
        <v>1020004</v>
      </c>
      <c r="D10" s="1" t="s">
        <v>39</v>
      </c>
      <c r="E10" s="1">
        <v>2</v>
      </c>
      <c r="F10" s="1" t="s">
        <v>34</v>
      </c>
      <c r="G10" s="1">
        <v>4</v>
      </c>
      <c r="H10" s="1" t="str">
        <f t="shared" si="0"/>
        <v>itemicon_1020004.png</v>
      </c>
      <c r="I10" s="1">
        <f t="shared" si="2"/>
        <v>2020004</v>
      </c>
      <c r="J10" s="1" t="s">
        <v>37</v>
      </c>
      <c r="K10" s="1">
        <v>0</v>
      </c>
      <c r="N10" s="1">
        <v>999</v>
      </c>
    </row>
    <row r="11" s="1" customFormat="1" ht="21" customHeight="1" spans="1:14">
      <c r="A11" s="1">
        <f t="shared" si="1"/>
        <v>1020005</v>
      </c>
      <c r="B11" s="1">
        <f>COUNTIF($F$1:F11,F11)</f>
        <v>5</v>
      </c>
      <c r="C11" s="1">
        <v>1020005</v>
      </c>
      <c r="D11" s="1" t="s">
        <v>40</v>
      </c>
      <c r="E11" s="1">
        <v>2</v>
      </c>
      <c r="F11" s="1" t="s">
        <v>34</v>
      </c>
      <c r="G11" s="1">
        <v>5</v>
      </c>
      <c r="H11" s="1" t="str">
        <f t="shared" si="0"/>
        <v>itemicon_1020005.png</v>
      </c>
      <c r="I11" s="1">
        <f t="shared" si="2"/>
        <v>2020005</v>
      </c>
      <c r="J11" s="1" t="s">
        <v>37</v>
      </c>
      <c r="K11" s="1">
        <v>0</v>
      </c>
      <c r="N11" s="1">
        <v>999</v>
      </c>
    </row>
    <row r="12" s="1" customFormat="1" ht="21" customHeight="1" spans="1:14">
      <c r="A12" s="1">
        <f t="shared" si="1"/>
        <v>1020006</v>
      </c>
      <c r="B12" s="1">
        <f>COUNTIF($F$1:F12,F12)</f>
        <v>6</v>
      </c>
      <c r="C12" s="1">
        <v>1020006</v>
      </c>
      <c r="D12" s="1" t="s">
        <v>41</v>
      </c>
      <c r="E12" s="1">
        <v>2</v>
      </c>
      <c r="F12" s="1" t="s">
        <v>34</v>
      </c>
      <c r="G12" s="1">
        <v>6</v>
      </c>
      <c r="H12" s="1" t="str">
        <f t="shared" si="0"/>
        <v>itemicon_1020006.png</v>
      </c>
      <c r="I12" s="1">
        <f t="shared" si="2"/>
        <v>2020006</v>
      </c>
      <c r="J12" s="1" t="s">
        <v>37</v>
      </c>
      <c r="K12" s="1">
        <v>0</v>
      </c>
      <c r="N12" s="1">
        <v>999</v>
      </c>
    </row>
    <row r="13" ht="23" customHeight="1" spans="1:14">
      <c r="A13">
        <f>1000000+E13*10000+B13</f>
        <v>1020007</v>
      </c>
      <c r="B13" s="6">
        <f>COUNTIF($F$1:F13,F13)</f>
        <v>7</v>
      </c>
      <c r="C13">
        <f>1000000+E13*100000+B13</f>
        <v>1200007</v>
      </c>
      <c r="D13" t="s">
        <v>42</v>
      </c>
      <c r="E13">
        <v>2</v>
      </c>
      <c r="F13" t="s">
        <v>34</v>
      </c>
      <c r="G13">
        <v>1</v>
      </c>
      <c r="H13" t="str">
        <f t="shared" ref="H13:H34" si="3">"itemicon_"&amp;A13&amp;".png"</f>
        <v>itemicon_1020007.png</v>
      </c>
      <c r="I13">
        <f t="shared" ref="I13:I34" si="4">2000000+E13*10000+B13</f>
        <v>2020007</v>
      </c>
      <c r="K13">
        <v>0</v>
      </c>
      <c r="M13">
        <v>10001</v>
      </c>
      <c r="N13">
        <v>1</v>
      </c>
    </row>
    <row r="14" ht="23" customHeight="1" spans="1:14">
      <c r="A14">
        <f t="shared" ref="A14:A34" si="5">1000000+E14*10000+B14</f>
        <v>1020008</v>
      </c>
      <c r="B14" s="6">
        <f>COUNTIF($F$1:F14,F14)</f>
        <v>8</v>
      </c>
      <c r="C14">
        <f t="shared" ref="C14:C34" si="6">1000000+E14*100000+B14</f>
        <v>1200008</v>
      </c>
      <c r="D14" t="s">
        <v>43</v>
      </c>
      <c r="E14">
        <v>2</v>
      </c>
      <c r="F14" t="s">
        <v>34</v>
      </c>
      <c r="G14">
        <v>1</v>
      </c>
      <c r="H14" t="str">
        <f t="shared" si="3"/>
        <v>itemicon_1020008.png</v>
      </c>
      <c r="I14">
        <f t="shared" si="4"/>
        <v>2020008</v>
      </c>
      <c r="K14">
        <v>0</v>
      </c>
      <c r="M14">
        <v>10002</v>
      </c>
      <c r="N14">
        <v>1</v>
      </c>
    </row>
    <row r="15" ht="23" customHeight="1" spans="1:14">
      <c r="A15">
        <f t="shared" si="5"/>
        <v>1020009</v>
      </c>
      <c r="B15" s="6">
        <f>COUNTIF($F$1:F15,F15)</f>
        <v>9</v>
      </c>
      <c r="C15">
        <f t="shared" si="6"/>
        <v>1200009</v>
      </c>
      <c r="D15" t="s">
        <v>44</v>
      </c>
      <c r="E15">
        <v>2</v>
      </c>
      <c r="F15" t="s">
        <v>34</v>
      </c>
      <c r="G15">
        <v>1</v>
      </c>
      <c r="H15" t="str">
        <f t="shared" si="3"/>
        <v>itemicon_1020009.png</v>
      </c>
      <c r="I15">
        <f t="shared" si="4"/>
        <v>2020009</v>
      </c>
      <c r="K15">
        <v>0</v>
      </c>
      <c r="M15">
        <v>10003</v>
      </c>
      <c r="N15">
        <v>1</v>
      </c>
    </row>
    <row r="16" ht="23" customHeight="1" spans="1:14">
      <c r="A16">
        <f t="shared" si="5"/>
        <v>1020010</v>
      </c>
      <c r="B16" s="6">
        <f>COUNTIF($F$1:F16,F16)</f>
        <v>10</v>
      </c>
      <c r="C16">
        <f t="shared" si="6"/>
        <v>1200010</v>
      </c>
      <c r="D16" t="s">
        <v>45</v>
      </c>
      <c r="E16">
        <v>2</v>
      </c>
      <c r="F16" t="s">
        <v>34</v>
      </c>
      <c r="G16">
        <v>1</v>
      </c>
      <c r="H16" t="str">
        <f t="shared" si="3"/>
        <v>itemicon_1020010.png</v>
      </c>
      <c r="I16">
        <f t="shared" si="4"/>
        <v>2020010</v>
      </c>
      <c r="K16">
        <v>0</v>
      </c>
      <c r="M16">
        <v>10004</v>
      </c>
      <c r="N16">
        <v>1</v>
      </c>
    </row>
    <row r="17" ht="23" customHeight="1" spans="1:14">
      <c r="A17">
        <f t="shared" si="5"/>
        <v>1020011</v>
      </c>
      <c r="B17" s="6">
        <f>COUNTIF($F$1:F17,F17)</f>
        <v>11</v>
      </c>
      <c r="C17">
        <f t="shared" si="6"/>
        <v>1200011</v>
      </c>
      <c r="D17" t="s">
        <v>46</v>
      </c>
      <c r="E17">
        <v>2</v>
      </c>
      <c r="F17" t="s">
        <v>34</v>
      </c>
      <c r="G17">
        <v>1</v>
      </c>
      <c r="H17" t="str">
        <f t="shared" si="3"/>
        <v>itemicon_1020011.png</v>
      </c>
      <c r="I17">
        <f t="shared" si="4"/>
        <v>2020011</v>
      </c>
      <c r="K17">
        <v>0</v>
      </c>
      <c r="M17">
        <v>10005</v>
      </c>
      <c r="N17">
        <v>1</v>
      </c>
    </row>
    <row r="18" ht="23" customHeight="1" spans="1:14">
      <c r="A18">
        <f t="shared" si="5"/>
        <v>1020012</v>
      </c>
      <c r="B18" s="6">
        <f>COUNTIF($F$1:F18,F18)</f>
        <v>12</v>
      </c>
      <c r="C18">
        <f t="shared" si="6"/>
        <v>1200012</v>
      </c>
      <c r="D18" t="s">
        <v>47</v>
      </c>
      <c r="E18">
        <v>2</v>
      </c>
      <c r="F18" t="s">
        <v>34</v>
      </c>
      <c r="G18">
        <v>1</v>
      </c>
      <c r="H18" t="str">
        <f t="shared" si="3"/>
        <v>itemicon_1020012.png</v>
      </c>
      <c r="I18">
        <f t="shared" si="4"/>
        <v>2020012</v>
      </c>
      <c r="K18">
        <v>0</v>
      </c>
      <c r="M18">
        <v>10006</v>
      </c>
      <c r="N18">
        <v>1</v>
      </c>
    </row>
    <row r="19" ht="23" customHeight="1" spans="1:14">
      <c r="A19">
        <f t="shared" si="5"/>
        <v>1020013</v>
      </c>
      <c r="B19" s="6">
        <f>COUNTIF($F$1:F19,F19)</f>
        <v>13</v>
      </c>
      <c r="C19">
        <f t="shared" si="6"/>
        <v>1200013</v>
      </c>
      <c r="D19" t="s">
        <v>48</v>
      </c>
      <c r="E19">
        <v>2</v>
      </c>
      <c r="F19" t="s">
        <v>34</v>
      </c>
      <c r="G19">
        <v>1</v>
      </c>
      <c r="H19" t="str">
        <f t="shared" si="3"/>
        <v>itemicon_1020013.png</v>
      </c>
      <c r="I19">
        <f t="shared" si="4"/>
        <v>2020013</v>
      </c>
      <c r="K19">
        <v>0</v>
      </c>
      <c r="M19">
        <v>10007</v>
      </c>
      <c r="N19">
        <v>1</v>
      </c>
    </row>
    <row r="20" ht="23" customHeight="1" spans="1:14">
      <c r="A20">
        <f t="shared" si="5"/>
        <v>1020014</v>
      </c>
      <c r="B20" s="6">
        <f>COUNTIF($F$1:F20,F20)</f>
        <v>14</v>
      </c>
      <c r="C20">
        <f t="shared" si="6"/>
        <v>1200014</v>
      </c>
      <c r="D20" t="s">
        <v>49</v>
      </c>
      <c r="E20">
        <v>2</v>
      </c>
      <c r="F20" t="s">
        <v>34</v>
      </c>
      <c r="G20">
        <v>1</v>
      </c>
      <c r="H20" t="str">
        <f t="shared" si="3"/>
        <v>itemicon_1020014.png</v>
      </c>
      <c r="I20">
        <f t="shared" si="4"/>
        <v>2020014</v>
      </c>
      <c r="K20">
        <v>0</v>
      </c>
      <c r="M20">
        <v>10008</v>
      </c>
      <c r="N20">
        <v>1</v>
      </c>
    </row>
    <row r="21" customFormat="1" ht="23" customHeight="1" spans="1:14">
      <c r="A21">
        <f t="shared" si="5"/>
        <v>1021001</v>
      </c>
      <c r="B21" s="6">
        <v>1001</v>
      </c>
      <c r="C21">
        <f t="shared" si="6"/>
        <v>1201001</v>
      </c>
      <c r="D21" s="6" t="s">
        <v>50</v>
      </c>
      <c r="E21">
        <v>2</v>
      </c>
      <c r="F21" t="s">
        <v>34</v>
      </c>
      <c r="G21">
        <v>1</v>
      </c>
      <c r="H21" t="str">
        <f t="shared" si="3"/>
        <v>itemicon_1021001.png</v>
      </c>
      <c r="I21">
        <f t="shared" si="4"/>
        <v>2021001</v>
      </c>
      <c r="K21" s="6">
        <v>1</v>
      </c>
      <c r="L21">
        <v>2</v>
      </c>
      <c r="M21"/>
      <c r="N21">
        <v>1</v>
      </c>
    </row>
    <row r="22" customFormat="1" ht="23" customHeight="1" spans="1:14">
      <c r="A22">
        <f t="shared" si="5"/>
        <v>1021002</v>
      </c>
      <c r="B22" s="6">
        <v>1002</v>
      </c>
      <c r="C22">
        <f t="shared" si="6"/>
        <v>1201002</v>
      </c>
      <c r="D22" s="6" t="s">
        <v>51</v>
      </c>
      <c r="E22">
        <v>2</v>
      </c>
      <c r="F22" t="s">
        <v>34</v>
      </c>
      <c r="G22">
        <v>1</v>
      </c>
      <c r="H22" t="str">
        <f t="shared" si="3"/>
        <v>itemicon_1021002.png</v>
      </c>
      <c r="I22">
        <f t="shared" si="4"/>
        <v>2021002</v>
      </c>
      <c r="K22" s="6">
        <v>1</v>
      </c>
      <c r="L22">
        <v>3</v>
      </c>
      <c r="M22"/>
      <c r="N22">
        <v>1</v>
      </c>
    </row>
    <row r="23" customFormat="1" ht="23" customHeight="1" spans="1:14">
      <c r="A23">
        <f t="shared" si="5"/>
        <v>1021201</v>
      </c>
      <c r="B23" s="6">
        <v>1201</v>
      </c>
      <c r="C23">
        <f t="shared" si="6"/>
        <v>1201201</v>
      </c>
      <c r="D23" t="s">
        <v>52</v>
      </c>
      <c r="E23">
        <v>2</v>
      </c>
      <c r="F23" t="s">
        <v>34</v>
      </c>
      <c r="G23">
        <v>1</v>
      </c>
      <c r="H23" t="str">
        <f t="shared" si="3"/>
        <v>itemicon_1021201.png</v>
      </c>
      <c r="I23">
        <f t="shared" si="4"/>
        <v>2021201</v>
      </c>
      <c r="K23" s="6">
        <v>1</v>
      </c>
      <c r="L23">
        <v>1002</v>
      </c>
      <c r="M23"/>
      <c r="N23">
        <v>1</v>
      </c>
    </row>
    <row r="24" customFormat="1" ht="23" customHeight="1" spans="1:14">
      <c r="A24">
        <f t="shared" si="5"/>
        <v>1021202</v>
      </c>
      <c r="B24" s="6">
        <v>1202</v>
      </c>
      <c r="C24">
        <f t="shared" si="6"/>
        <v>1201202</v>
      </c>
      <c r="D24" t="s">
        <v>53</v>
      </c>
      <c r="E24">
        <v>2</v>
      </c>
      <c r="F24" t="s">
        <v>34</v>
      </c>
      <c r="G24">
        <v>1</v>
      </c>
      <c r="H24" t="str">
        <f t="shared" si="3"/>
        <v>itemicon_1021202.png</v>
      </c>
      <c r="I24">
        <f t="shared" si="4"/>
        <v>2021202</v>
      </c>
      <c r="K24" s="6">
        <v>1</v>
      </c>
      <c r="L24">
        <v>1003</v>
      </c>
      <c r="M24"/>
      <c r="N24">
        <v>1</v>
      </c>
    </row>
    <row r="25" customFormat="1" ht="23" customHeight="1" spans="1:14">
      <c r="A25">
        <f t="shared" si="5"/>
        <v>1021401</v>
      </c>
      <c r="B25" s="6">
        <v>1401</v>
      </c>
      <c r="C25">
        <f t="shared" si="6"/>
        <v>1201401</v>
      </c>
      <c r="D25" s="7" t="s">
        <v>54</v>
      </c>
      <c r="E25">
        <v>2</v>
      </c>
      <c r="F25" t="s">
        <v>34</v>
      </c>
      <c r="G25">
        <v>1</v>
      </c>
      <c r="H25" t="str">
        <f t="shared" si="3"/>
        <v>itemicon_1021401.png</v>
      </c>
      <c r="I25">
        <f t="shared" si="4"/>
        <v>2021401</v>
      </c>
      <c r="K25" s="6">
        <v>1</v>
      </c>
      <c r="L25">
        <v>2002</v>
      </c>
      <c r="M25"/>
      <c r="N25">
        <v>1</v>
      </c>
    </row>
    <row r="26" customFormat="1" ht="23" customHeight="1" spans="1:14">
      <c r="A26">
        <f t="shared" si="5"/>
        <v>1021402</v>
      </c>
      <c r="B26" s="6">
        <v>1402</v>
      </c>
      <c r="C26">
        <f t="shared" si="6"/>
        <v>1201402</v>
      </c>
      <c r="D26" s="7" t="s">
        <v>55</v>
      </c>
      <c r="E26">
        <v>2</v>
      </c>
      <c r="F26" t="s">
        <v>34</v>
      </c>
      <c r="G26">
        <v>1</v>
      </c>
      <c r="H26" t="str">
        <f t="shared" si="3"/>
        <v>itemicon_1021402.png</v>
      </c>
      <c r="I26">
        <f t="shared" si="4"/>
        <v>2021402</v>
      </c>
      <c r="K26" s="6">
        <v>1</v>
      </c>
      <c r="L26">
        <v>2003</v>
      </c>
      <c r="M26"/>
      <c r="N26">
        <v>1</v>
      </c>
    </row>
    <row r="27" customFormat="1" ht="23" customHeight="1" spans="1:14">
      <c r="A27">
        <f t="shared" si="5"/>
        <v>1021601</v>
      </c>
      <c r="B27" s="6">
        <v>1601</v>
      </c>
      <c r="C27">
        <f t="shared" si="6"/>
        <v>1201601</v>
      </c>
      <c r="D27" s="8" t="s">
        <v>56</v>
      </c>
      <c r="E27">
        <v>2</v>
      </c>
      <c r="F27" t="s">
        <v>34</v>
      </c>
      <c r="G27">
        <v>1</v>
      </c>
      <c r="H27" t="str">
        <f t="shared" si="3"/>
        <v>itemicon_1021601.png</v>
      </c>
      <c r="I27">
        <f t="shared" si="4"/>
        <v>2021601</v>
      </c>
      <c r="K27" s="6">
        <v>1</v>
      </c>
      <c r="L27">
        <v>3002</v>
      </c>
      <c r="M27"/>
      <c r="N27">
        <v>1</v>
      </c>
    </row>
    <row r="28" customFormat="1" ht="23" customHeight="1" spans="1:14">
      <c r="A28">
        <f t="shared" si="5"/>
        <v>1021602</v>
      </c>
      <c r="B28" s="6">
        <v>1602</v>
      </c>
      <c r="C28">
        <f t="shared" si="6"/>
        <v>1201602</v>
      </c>
      <c r="D28" s="8" t="s">
        <v>57</v>
      </c>
      <c r="E28">
        <v>2</v>
      </c>
      <c r="F28" t="s">
        <v>34</v>
      </c>
      <c r="G28">
        <v>1</v>
      </c>
      <c r="H28" t="str">
        <f t="shared" si="3"/>
        <v>itemicon_1021602.png</v>
      </c>
      <c r="I28">
        <f t="shared" si="4"/>
        <v>2021602</v>
      </c>
      <c r="K28" s="6">
        <v>1</v>
      </c>
      <c r="L28">
        <v>3003</v>
      </c>
      <c r="M28"/>
      <c r="N28">
        <v>1</v>
      </c>
    </row>
    <row r="29" customFormat="1" ht="23" customHeight="1" spans="1:14">
      <c r="A29">
        <f t="shared" si="5"/>
        <v>1021801</v>
      </c>
      <c r="B29" s="6">
        <v>1801</v>
      </c>
      <c r="C29">
        <f t="shared" si="6"/>
        <v>1201801</v>
      </c>
      <c r="D29" s="9" t="s">
        <v>58</v>
      </c>
      <c r="E29">
        <v>2</v>
      </c>
      <c r="F29" t="s">
        <v>34</v>
      </c>
      <c r="G29">
        <v>1</v>
      </c>
      <c r="H29" t="str">
        <f t="shared" si="3"/>
        <v>itemicon_1021801.png</v>
      </c>
      <c r="I29">
        <f t="shared" si="4"/>
        <v>2021801</v>
      </c>
      <c r="K29" s="6">
        <v>1</v>
      </c>
      <c r="L29">
        <v>4002</v>
      </c>
      <c r="M29"/>
      <c r="N29">
        <v>1</v>
      </c>
    </row>
    <row r="30" customFormat="1" ht="23" customHeight="1" spans="1:14">
      <c r="A30">
        <f t="shared" si="5"/>
        <v>1021802</v>
      </c>
      <c r="B30" s="6">
        <v>1802</v>
      </c>
      <c r="C30">
        <f t="shared" si="6"/>
        <v>1201802</v>
      </c>
      <c r="D30" s="9" t="s">
        <v>59</v>
      </c>
      <c r="E30">
        <v>2</v>
      </c>
      <c r="F30" t="s">
        <v>34</v>
      </c>
      <c r="G30">
        <v>1</v>
      </c>
      <c r="H30" t="str">
        <f t="shared" si="3"/>
        <v>itemicon_1021802.png</v>
      </c>
      <c r="I30">
        <f t="shared" si="4"/>
        <v>2021802</v>
      </c>
      <c r="K30" s="6">
        <v>1</v>
      </c>
      <c r="L30">
        <v>4003</v>
      </c>
      <c r="M30"/>
      <c r="N30">
        <v>1</v>
      </c>
    </row>
    <row r="31" customFormat="1" ht="23" customHeight="1" spans="1:14">
      <c r="A31">
        <f t="shared" si="5"/>
        <v>1022001</v>
      </c>
      <c r="B31" s="6">
        <v>2001</v>
      </c>
      <c r="C31">
        <f t="shared" si="6"/>
        <v>1202001</v>
      </c>
      <c r="D31" s="10" t="s">
        <v>60</v>
      </c>
      <c r="E31">
        <v>2</v>
      </c>
      <c r="F31" t="s">
        <v>34</v>
      </c>
      <c r="G31">
        <v>1</v>
      </c>
      <c r="H31" t="str">
        <f t="shared" si="3"/>
        <v>itemicon_1022001.png</v>
      </c>
      <c r="I31">
        <f t="shared" si="4"/>
        <v>2022001</v>
      </c>
      <c r="K31" s="6">
        <v>1</v>
      </c>
      <c r="L31">
        <v>5002</v>
      </c>
      <c r="M31"/>
      <c r="N31">
        <v>1</v>
      </c>
    </row>
    <row r="32" customFormat="1" ht="23" customHeight="1" spans="1:14">
      <c r="A32">
        <f t="shared" si="5"/>
        <v>1022002</v>
      </c>
      <c r="B32" s="6">
        <v>2002</v>
      </c>
      <c r="C32">
        <f t="shared" si="6"/>
        <v>1202002</v>
      </c>
      <c r="D32" s="10" t="s">
        <v>61</v>
      </c>
      <c r="E32">
        <v>2</v>
      </c>
      <c r="F32" t="s">
        <v>34</v>
      </c>
      <c r="G32">
        <v>1</v>
      </c>
      <c r="H32" t="str">
        <f t="shared" si="3"/>
        <v>itemicon_1022002.png</v>
      </c>
      <c r="I32">
        <f t="shared" si="4"/>
        <v>2022002</v>
      </c>
      <c r="K32" s="6">
        <v>1</v>
      </c>
      <c r="L32">
        <v>5003</v>
      </c>
      <c r="M32"/>
      <c r="N32">
        <v>1</v>
      </c>
    </row>
    <row r="33" customFormat="1" ht="23" customHeight="1" spans="1:14">
      <c r="A33">
        <f t="shared" si="5"/>
        <v>1022201</v>
      </c>
      <c r="B33" s="6">
        <v>2201</v>
      </c>
      <c r="C33">
        <f t="shared" si="6"/>
        <v>1202201</v>
      </c>
      <c r="D33" s="11" t="s">
        <v>62</v>
      </c>
      <c r="E33">
        <v>2</v>
      </c>
      <c r="F33" t="s">
        <v>34</v>
      </c>
      <c r="G33">
        <v>1</v>
      </c>
      <c r="H33" t="str">
        <f t="shared" si="3"/>
        <v>itemicon_1022201.png</v>
      </c>
      <c r="I33">
        <f t="shared" si="4"/>
        <v>2022201</v>
      </c>
      <c r="K33" s="6">
        <v>1</v>
      </c>
      <c r="L33">
        <v>6002</v>
      </c>
      <c r="M33"/>
      <c r="N33">
        <v>1</v>
      </c>
    </row>
    <row r="34" customFormat="1" ht="23" customHeight="1" spans="1:14">
      <c r="A34">
        <f t="shared" si="5"/>
        <v>1022202</v>
      </c>
      <c r="B34" s="6">
        <v>2202</v>
      </c>
      <c r="C34">
        <f t="shared" si="6"/>
        <v>1202202</v>
      </c>
      <c r="D34" s="11" t="s">
        <v>63</v>
      </c>
      <c r="E34">
        <v>2</v>
      </c>
      <c r="F34" t="s">
        <v>34</v>
      </c>
      <c r="G34">
        <v>1</v>
      </c>
      <c r="H34" t="str">
        <f t="shared" si="3"/>
        <v>itemicon_1022202.png</v>
      </c>
      <c r="I34">
        <f t="shared" si="4"/>
        <v>2022202</v>
      </c>
      <c r="K34" s="6">
        <v>1</v>
      </c>
      <c r="L34">
        <v>6003</v>
      </c>
      <c r="M34"/>
      <c r="N34">
        <v>1</v>
      </c>
    </row>
    <row r="35" ht="21" customHeight="1" spans="1:14">
      <c r="A35">
        <f>1000000+E35*10000+B35</f>
        <v>1990000</v>
      </c>
      <c r="B35" s="6">
        <v>0</v>
      </c>
      <c r="C35">
        <v>1990000</v>
      </c>
      <c r="D35" t="s">
        <v>64</v>
      </c>
      <c r="E35">
        <v>99</v>
      </c>
      <c r="F35" t="s">
        <v>65</v>
      </c>
      <c r="G35">
        <v>1</v>
      </c>
      <c r="H35" t="str">
        <f>"itemicon_"&amp;A35&amp;".png"</f>
        <v>itemicon_1990000.png</v>
      </c>
      <c r="I35">
        <f>2000000+E35*10000+B35</f>
        <v>2990000</v>
      </c>
      <c r="J35" t="s">
        <v>66</v>
      </c>
      <c r="K35">
        <v>0</v>
      </c>
      <c r="N35">
        <v>-1</v>
      </c>
    </row>
    <row r="36" ht="21" customHeight="1" spans="1:14">
      <c r="A36">
        <f>1000000+E36*10000+B36</f>
        <v>1980000</v>
      </c>
      <c r="B36" s="6">
        <v>0</v>
      </c>
      <c r="C36">
        <v>1980000</v>
      </c>
      <c r="D36" t="s">
        <v>67</v>
      </c>
      <c r="E36">
        <v>98</v>
      </c>
      <c r="F36" t="s">
        <v>65</v>
      </c>
      <c r="G36">
        <v>1</v>
      </c>
      <c r="H36" t="str">
        <f>"itemicon_"&amp;A36&amp;".png"</f>
        <v>itemicon_1980000.png</v>
      </c>
      <c r="I36">
        <f>2000000+E36*10000+B36</f>
        <v>2980000</v>
      </c>
      <c r="J36" t="s">
        <v>68</v>
      </c>
      <c r="K36">
        <v>0</v>
      </c>
      <c r="N36">
        <v>-1</v>
      </c>
    </row>
    <row r="37" ht="23" customHeight="1" spans="1:14">
      <c r="A37">
        <f>1000000+E37*10000+B37</f>
        <v>1040001</v>
      </c>
      <c r="B37" s="6">
        <f>COUNTIF($F$1:F37,F37)</f>
        <v>1</v>
      </c>
      <c r="C37">
        <f>1000000+E37*100000+B37</f>
        <v>1400001</v>
      </c>
      <c r="D37" t="s">
        <v>69</v>
      </c>
      <c r="E37">
        <v>4</v>
      </c>
      <c r="F37" t="s">
        <v>70</v>
      </c>
      <c r="G37">
        <v>1</v>
      </c>
      <c r="H37" t="str">
        <f>"itemicon_"&amp;A37&amp;".png"</f>
        <v>itemicon_1040001.png</v>
      </c>
      <c r="I37">
        <f>2000000+E37*10000+B37</f>
        <v>2040001</v>
      </c>
      <c r="K37">
        <v>0</v>
      </c>
      <c r="N37">
        <v>-1</v>
      </c>
    </row>
    <row r="38" customFormat="1" ht="23" customHeight="1" spans="1:14">
      <c r="A38">
        <f>1000000+E38*10000+B38</f>
        <v>1040002</v>
      </c>
      <c r="B38" s="6">
        <f>COUNTIF($F$1:F38,F38)</f>
        <v>2</v>
      </c>
      <c r="C38">
        <f>1000000+E38*100000+B38</f>
        <v>1400002</v>
      </c>
      <c r="D38" t="s">
        <v>71</v>
      </c>
      <c r="E38">
        <v>4</v>
      </c>
      <c r="F38" t="s">
        <v>70</v>
      </c>
      <c r="G38">
        <v>1</v>
      </c>
      <c r="H38" t="str">
        <f>"itemicon_"&amp;A38&amp;".png"</f>
        <v>itemicon_1040002.png</v>
      </c>
      <c r="I38">
        <f>2000000+E38*10000+B38</f>
        <v>2040002</v>
      </c>
      <c r="K38">
        <v>0</v>
      </c>
      <c r="N38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2025-09-02T03:16:16Z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