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当值为1时，不在背包内显示
为0时，不处理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1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F17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</commentList>
</comments>
</file>

<file path=xl/sharedStrings.xml><?xml version="1.0" encoding="utf-8"?>
<sst xmlns="http://schemas.openxmlformats.org/spreadsheetml/2006/main" count="703" uniqueCount="291">
  <si>
    <t>道具ID</t>
  </si>
  <si>
    <t>名称多语言ID</t>
  </si>
  <si>
    <t>备注</t>
  </si>
  <si>
    <t>类型</t>
  </si>
  <si>
    <t>道具品质</t>
  </si>
  <si>
    <t>是否允许在背包内展示</t>
  </si>
  <si>
    <t>图标资源名</t>
  </si>
  <si>
    <t>描述多语言ID</t>
  </si>
  <si>
    <t>激活的装扮</t>
  </si>
  <si>
    <t>自动激活的图鉴ID</t>
  </si>
  <si>
    <t>最大堆叠数量</t>
  </si>
  <si>
    <t>使用道具后获得道具</t>
  </si>
  <si>
    <t>掉落ID</t>
  </si>
  <si>
    <t>价值/美元</t>
  </si>
  <si>
    <t>int</t>
  </si>
  <si>
    <t>string</t>
  </si>
  <si>
    <t>map&lt;int{_}long&gt;{;}</t>
  </si>
  <si>
    <t>id</t>
  </si>
  <si>
    <t>name</t>
  </si>
  <si>
    <t>type</t>
  </si>
  <si>
    <t>quality</t>
  </si>
  <si>
    <t>displayOrNot</t>
  </si>
  <si>
    <t>icon</t>
  </si>
  <si>
    <t>text</t>
  </si>
  <si>
    <t>avatarID</t>
  </si>
  <si>
    <t>album</t>
  </si>
  <si>
    <t>prop</t>
  </si>
  <si>
    <t>getItem</t>
  </si>
  <si>
    <t>dropId</t>
  </si>
  <si>
    <t>金币礼包</t>
  </si>
  <si>
    <t>可使用道具</t>
  </si>
  <si>
    <t>itemicon_1010101.png</t>
  </si>
  <si>
    <t>使用后可额外获得50%流水，持续时间1小时。多次使用可以叠加持续时间</t>
  </si>
  <si>
    <t>1990000_10000</t>
  </si>
  <si>
    <t>钻石礼包</t>
  </si>
  <si>
    <t>itemicon_1010201.png</t>
  </si>
  <si>
    <t>使用后可额外获得100%流水，持续时间2小时。多次使用可以叠加持续时间</t>
  </si>
  <si>
    <t>1980000_10000</t>
  </si>
  <si>
    <t>赌场工具（普通）</t>
  </si>
  <si>
    <t>wdcc_ccb_1.png</t>
  </si>
  <si>
    <t>使用后随机获得1~2星赌场建筑升级道具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</si>
  <si>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</si>
  <si>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</si>
  <si>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</si>
  <si>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</si>
  <si>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</si>
  <si>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</si>
  <si>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使用后随机获得1~4星赌场建筑升级道具</t>
  </si>
  <si>
    <t>赌场工具（传奇）</t>
  </si>
  <si>
    <t>使用后随机获得1~5星赌场建筑升级道具</t>
  </si>
  <si>
    <t>拼图随机礼包(一星)</t>
  </si>
  <si>
    <t>使用后随机获得N个拼图碎片道具</t>
  </si>
  <si>
    <t>拼图随机礼包(二星)</t>
  </si>
  <si>
    <t>拼图随机礼包(三星)</t>
  </si>
  <si>
    <t>拼图随机礼包(四星)</t>
  </si>
  <si>
    <t>拼图随机礼包(五星)</t>
  </si>
  <si>
    <t>白金卡</t>
  </si>
  <si>
    <t>常规道具</t>
  </si>
  <si>
    <t>itemicon_1020001.png</t>
  </si>
  <si>
    <t>创建私人包房时可以抵扣钻石</t>
  </si>
  <si>
    <t>测试道具2</t>
  </si>
  <si>
    <t>itemicon_1020002.png</t>
  </si>
  <si>
    <t>活动期间获得，集齐6个可领取奖励</t>
  </si>
  <si>
    <t>测试道具3</t>
  </si>
  <si>
    <t>itemicon_1020003.png</t>
  </si>
  <si>
    <t>测试道具4</t>
  </si>
  <si>
    <t>itemicon_1020004.png</t>
  </si>
  <si>
    <t>测试道具5</t>
  </si>
  <si>
    <t>itemicon_1020005.png</t>
  </si>
  <si>
    <t>测试道具6</t>
  </si>
  <si>
    <t>itemicon_1020006.png</t>
  </si>
  <si>
    <t>图鉴1-图片</t>
  </si>
  <si>
    <t>itemicon_1030011.png</t>
  </si>
  <si>
    <t>一張精美的圖片，由12張碎片組成</t>
  </si>
  <si>
    <t>图鉴2-图片</t>
  </si>
  <si>
    <t>itemicon_1030012.png</t>
  </si>
  <si>
    <t>图鉴3-图片</t>
  </si>
  <si>
    <t>itemicon_1030013.png</t>
  </si>
  <si>
    <t>图鉴4-图片</t>
  </si>
  <si>
    <t>itemicon_1030014.png</t>
  </si>
  <si>
    <t>图鉴5-图片</t>
  </si>
  <si>
    <t>itemicon_1030015.png</t>
  </si>
  <si>
    <t>图鉴6-图片</t>
  </si>
  <si>
    <t>itemicon_1030016.png</t>
  </si>
  <si>
    <t>图鉴7-图片</t>
  </si>
  <si>
    <t>itemicon_1030017.png</t>
  </si>
  <si>
    <t>图鉴8-图片</t>
  </si>
  <si>
    <t>itemicon_1030018.png</t>
  </si>
  <si>
    <t>图鉴1-碎片1</t>
  </si>
  <si>
    <t>用於組成一張精美圖片[圖片名稱]的碎片，在各遊戲中下注有概率獲得</t>
  </si>
  <si>
    <t>图鉴1-碎片2</t>
  </si>
  <si>
    <t>图鉴1-碎片3</t>
  </si>
  <si>
    <t>图鉴1-碎片4</t>
  </si>
  <si>
    <t>图鉴1-碎片5</t>
  </si>
  <si>
    <t>图鉴1-碎片6</t>
  </si>
  <si>
    <t>图鉴1-碎片7</t>
  </si>
  <si>
    <t>图鉴1-碎片8</t>
  </si>
  <si>
    <t>图鉴1-碎片9</t>
  </si>
  <si>
    <t>图鉴1-碎片10</t>
  </si>
  <si>
    <t>图鉴1-碎片11</t>
  </si>
  <si>
    <t>图鉴1-碎片12</t>
  </si>
  <si>
    <t>图鉴2-碎片1</t>
  </si>
  <si>
    <t>图鉴2-碎片2</t>
  </si>
  <si>
    <t>图鉴2-碎片3</t>
  </si>
  <si>
    <t>图鉴2-碎片4</t>
  </si>
  <si>
    <t>图鉴2-碎片5</t>
  </si>
  <si>
    <t>图鉴2-碎片6</t>
  </si>
  <si>
    <t>图鉴2-碎片7</t>
  </si>
  <si>
    <t>图鉴2-碎片8</t>
  </si>
  <si>
    <t>图鉴2-碎片9</t>
  </si>
  <si>
    <t>图鉴2-碎片10</t>
  </si>
  <si>
    <t>图鉴2-碎片11</t>
  </si>
  <si>
    <t>图鉴2-碎片12</t>
  </si>
  <si>
    <t>图鉴3-碎片1</t>
  </si>
  <si>
    <t>图鉴3-碎片2</t>
  </si>
  <si>
    <t>图鉴3-碎片3</t>
  </si>
  <si>
    <t>图鉴3-碎片4</t>
  </si>
  <si>
    <t>图鉴3-碎片5</t>
  </si>
  <si>
    <t>图鉴3-碎片6</t>
  </si>
  <si>
    <t>图鉴3-碎片7</t>
  </si>
  <si>
    <t>图鉴3-碎片8</t>
  </si>
  <si>
    <t>图鉴3-碎片9</t>
  </si>
  <si>
    <t>图鉴3-碎片10</t>
  </si>
  <si>
    <t>图鉴3-碎片11</t>
  </si>
  <si>
    <t>图鉴3-碎片12</t>
  </si>
  <si>
    <t>图鉴4-碎片1</t>
  </si>
  <si>
    <t>图鉴4-碎片2</t>
  </si>
  <si>
    <t>图鉴4-碎片3</t>
  </si>
  <si>
    <t>图鉴4-碎片4</t>
  </si>
  <si>
    <t>图鉴4-碎片5</t>
  </si>
  <si>
    <t>图鉴4-碎片6</t>
  </si>
  <si>
    <t>图鉴4-碎片7</t>
  </si>
  <si>
    <t>图鉴4-碎片8</t>
  </si>
  <si>
    <t>图鉴4-碎片9</t>
  </si>
  <si>
    <t>图鉴4-碎片10</t>
  </si>
  <si>
    <t>图鉴4-碎片11</t>
  </si>
  <si>
    <t>图鉴4-碎片12</t>
  </si>
  <si>
    <t>图鉴5-碎片1</t>
  </si>
  <si>
    <t>图鉴5-碎片2</t>
  </si>
  <si>
    <t>图鉴5-碎片3</t>
  </si>
  <si>
    <t>图鉴5-碎片4</t>
  </si>
  <si>
    <t>图鉴5-碎片5</t>
  </si>
  <si>
    <t>图鉴5-碎片6</t>
  </si>
  <si>
    <t>图鉴5-碎片7</t>
  </si>
  <si>
    <t>图鉴5-碎片8</t>
  </si>
  <si>
    <t>图鉴5-碎片9</t>
  </si>
  <si>
    <t>图鉴5-碎片10</t>
  </si>
  <si>
    <t>图鉴5-碎片11</t>
  </si>
  <si>
    <t>图鉴5-碎片12</t>
  </si>
  <si>
    <t>图鉴6-碎片1</t>
  </si>
  <si>
    <t>图鉴6-碎片2</t>
  </si>
  <si>
    <t>图鉴6-碎片3</t>
  </si>
  <si>
    <t>图鉴6-碎片4</t>
  </si>
  <si>
    <t>图鉴6-碎片5</t>
  </si>
  <si>
    <t>图鉴6-碎片6</t>
  </si>
  <si>
    <t>图鉴6-碎片7</t>
  </si>
  <si>
    <t>图鉴6-碎片8</t>
  </si>
  <si>
    <t>图鉴6-碎片9</t>
  </si>
  <si>
    <t>图鉴6-碎片10</t>
  </si>
  <si>
    <t>图鉴6-碎片11</t>
  </si>
  <si>
    <t>图鉴6-碎片12</t>
  </si>
  <si>
    <t>图鉴7-碎片1</t>
  </si>
  <si>
    <t>图鉴7-碎片2</t>
  </si>
  <si>
    <t>图鉴7-碎片3</t>
  </si>
  <si>
    <t>图鉴7-碎片4</t>
  </si>
  <si>
    <t>图鉴7-碎片5</t>
  </si>
  <si>
    <t>图鉴7-碎片6</t>
  </si>
  <si>
    <t>图鉴7-碎片7</t>
  </si>
  <si>
    <t>图鉴7-碎片8</t>
  </si>
  <si>
    <t>图鉴7-碎片9</t>
  </si>
  <si>
    <t>图鉴7-碎片10</t>
  </si>
  <si>
    <t>图鉴7-碎片11</t>
  </si>
  <si>
    <t>图鉴7-碎片12</t>
  </si>
  <si>
    <t>图鉴8-碎片1</t>
  </si>
  <si>
    <t>图鉴8-碎片2</t>
  </si>
  <si>
    <t>图鉴8-碎片3</t>
  </si>
  <si>
    <t>图鉴8-碎片4</t>
  </si>
  <si>
    <t>图鉴8-碎片5</t>
  </si>
  <si>
    <t>图鉴8-碎片6</t>
  </si>
  <si>
    <t>图鉴8-碎片7</t>
  </si>
  <si>
    <t>图鉴8-碎片8</t>
  </si>
  <si>
    <t>图鉴8-碎片9</t>
  </si>
  <si>
    <t>图鉴8-碎片10</t>
  </si>
  <si>
    <t>图鉴8-碎片11</t>
  </si>
  <si>
    <t>图鉴8-碎片12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</si>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</sst>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3" fontId="0" fillId="0" borderId="0" xfId="0" applyNumberFormat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2" fillId="4" borderId="0" xfId="0" applyFont="1" applyFill="1">
      <alignment vertical="center"/>
    </xf>
    <xf numFmtId="0" fontId="2" fillId="5" borderId="0" xfId="0" applyFont="1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74"/>
  <sheetViews>
    <sheetView tabSelected="1" zoomScale="85" zoomScaleNormal="85" workbookViewId="0">
      <pane ySplit="4" topLeftCell="A137" activePane="bottomLeft" state="frozen"/>
      <selection/>
      <selection pane="bottomLeft" activeCell="M146" sqref="M146"/>
    </sheetView>
  </sheetViews>
  <sheetFormatPr defaultColWidth="9" defaultRowHeight="13.5"/>
  <cols>
    <col min="2" max="2" width="4.5" customWidth="1"/>
    <col min="3" max="3" width="15.5" customWidth="1"/>
    <col min="4" max="4" width="17" customWidth="1"/>
    <col min="5" max="5" width="5.5" customWidth="1"/>
    <col min="6" max="6" width="10.875" customWidth="1"/>
    <col min="7" max="7" width="8.875" customWidth="1"/>
    <col min="8" max="8" width="17.125" customWidth="1"/>
    <col min="9" max="9" width="22.625" customWidth="1"/>
    <col min="10" max="10" width="12" customWidth="1"/>
    <col min="11" max="11" width="28.875" customWidth="1"/>
    <col min="12" max="12" width="13.375" customWidth="1"/>
    <col min="13" max="13" width="17.25" customWidth="1"/>
    <col min="14" max="14" width="12.25" customWidth="1"/>
    <col min="15" max="15" width="22" customWidth="1"/>
    <col min="16" max="16" width="18.875" customWidth="1"/>
    <col min="17" max="17" width="12.625"/>
    <col min="20" max="20" width="9.375"/>
  </cols>
  <sheetData>
    <row r="1" spans="1:17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5" t="s">
        <v>5</v>
      </c>
      <c r="I1" s="5" t="s">
        <v>6</v>
      </c>
      <c r="J1" t="s">
        <v>7</v>
      </c>
      <c r="L1" t="s">
        <v>8</v>
      </c>
      <c r="M1" t="s">
        <v>9</v>
      </c>
      <c r="N1" s="5" t="s">
        <v>10</v>
      </c>
      <c r="O1" t="s">
        <v>11</v>
      </c>
      <c r="P1" t="s">
        <v>12</v>
      </c>
      <c r="Q1" t="s">
        <v>13</v>
      </c>
    </row>
    <row r="2" spans="1:17">
      <c r="A2" s="5" t="s">
        <v>14</v>
      </c>
      <c r="B2" s="5"/>
      <c r="C2" s="5" t="s">
        <v>14</v>
      </c>
      <c r="D2" s="5"/>
      <c r="E2" s="5" t="s">
        <v>14</v>
      </c>
      <c r="F2" s="6"/>
      <c r="G2" s="5" t="s">
        <v>14</v>
      </c>
      <c r="H2" s="5" t="s">
        <v>14</v>
      </c>
      <c r="I2" s="5" t="s">
        <v>15</v>
      </c>
      <c r="J2" s="5" t="s">
        <v>14</v>
      </c>
      <c r="K2" s="5"/>
      <c r="L2" s="5" t="s">
        <v>14</v>
      </c>
      <c r="M2" s="5" t="s">
        <v>14</v>
      </c>
      <c r="N2" s="5" t="s">
        <v>14</v>
      </c>
      <c r="O2" t="s">
        <v>16</v>
      </c>
      <c r="P2" t="s">
        <v>14</v>
      </c>
    </row>
    <row r="3" spans="1:17">
      <c r="A3" s="4" t="s">
        <v>17</v>
      </c>
      <c r="B3" s="4"/>
      <c r="C3" s="5" t="s">
        <v>18</v>
      </c>
      <c r="D3" s="5"/>
      <c r="E3" s="5" t="s">
        <v>19</v>
      </c>
      <c r="F3" s="5"/>
      <c r="G3" s="5" t="s">
        <v>20</v>
      </c>
      <c r="H3" s="5" t="s">
        <v>21</v>
      </c>
      <c r="I3" s="5" t="s">
        <v>22</v>
      </c>
      <c r="J3" t="s">
        <v>23</v>
      </c>
      <c r="L3" t="s">
        <v>24</v>
      </c>
      <c r="M3" t="s">
        <v>25</v>
      </c>
      <c r="N3" s="5" t="s">
        <v>26</v>
      </c>
      <c r="O3" t="s">
        <v>27</v>
      </c>
      <c r="P3" t="s">
        <v>28</v>
      </c>
    </row>
    <row r="4" spans="1:17">
      <c r="A4" s="7"/>
      <c r="B4" s="7"/>
    </row>
    <row r="5" ht="21" customHeight="1" spans="1:17">
      <c r="A5">
        <v>1010101</v>
      </c>
      <c r="B5" s="8">
        <v>101</v>
      </c>
      <c r="C5">
        <v>1010101</v>
      </c>
      <c r="D5" t="s">
        <v>29</v>
      </c>
      <c r="E5">
        <v>1</v>
      </c>
      <c r="F5" t="s">
        <v>30</v>
      </c>
      <c r="G5">
        <v>4</v>
      </c>
      <c r="H5">
        <v>0</v>
      </c>
      <c r="I5" t="s">
        <v>31</v>
      </c>
      <c r="J5">
        <v>2010101</v>
      </c>
      <c r="K5" t="s">
        <v>32</v>
      </c>
      <c r="N5">
        <v>999</v>
      </c>
      <c r="O5" s="9" t="s">
        <v>33</v>
      </c>
    </row>
    <row r="6" ht="21" customHeight="1" spans="1:17">
      <c r="A6">
        <v>1010201</v>
      </c>
      <c r="B6" s="8">
        <v>201</v>
      </c>
      <c r="C6">
        <v>1010201</v>
      </c>
      <c r="D6" t="s">
        <v>34</v>
      </c>
      <c r="E6">
        <v>1</v>
      </c>
      <c r="F6" t="s">
        <v>30</v>
      </c>
      <c r="G6">
        <v>4</v>
      </c>
      <c r="H6">
        <v>0</v>
      </c>
      <c r="I6" t="s">
        <v>35</v>
      </c>
      <c r="J6">
        <v>2010201</v>
      </c>
      <c r="K6" t="s">
        <v>36</v>
      </c>
      <c r="N6">
        <v>999</v>
      </c>
      <c r="O6" s="9" t="s">
        <v>37</v>
      </c>
    </row>
    <row r="7" s="1" customFormat="1" ht="20.1" customHeight="1" spans="1:17">
      <c r="A7" s="1">
        <v>1010301</v>
      </c>
      <c r="B7" s="1">
        <v>301</v>
      </c>
      <c r="C7" s="1">
        <v>1100301</v>
      </c>
      <c r="D7" s="1" t="s">
        <v>38</v>
      </c>
      <c r="E7" s="1">
        <v>1</v>
      </c>
      <c r="F7" s="1" t="s">
        <v>30</v>
      </c>
      <c r="G7" s="1">
        <v>2</v>
      </c>
      <c r="H7">
        <v>0</v>
      </c>
      <c r="I7" s="1" t="s">
        <v>39</v>
      </c>
      <c r="J7" s="1">
        <v>2010301</v>
      </c>
      <c r="K7" s="1" t="s">
        <v>40</v>
      </c>
      <c r="N7" s="1">
        <v>999</v>
      </c>
      <c r="O7" s="10"/>
      <c r="P7" s="1">
        <v>1010301</v>
      </c>
      <c r="Q7" s="1">
        <v>0.099</v>
      </c>
    </row>
    <row r="8" s="1" customFormat="1" ht="20.1" customHeight="1" spans="1:17">
      <c r="A8" s="1">
        <v>1010302</v>
      </c>
      <c r="B8" s="1">
        <v>302</v>
      </c>
      <c r="C8" s="1">
        <v>1100302</v>
      </c>
      <c r="D8" s="1" t="s">
        <v>41</v>
      </c>
      <c r="E8" s="1">
        <v>1</v>
      </c>
      <c r="F8" s="1" t="s">
        <v>30</v>
      </c>
      <c r="G8" s="1">
        <v>3</v>
      </c>
      <c r="H8">
        <v>0</v>
      </c>
      <c r="I8" s="1" t="s">
        <v>42</v>
      </c>
      <c r="J8" s="1">
        <v>2010302</v>
      </c>
      <c r="K8" s="1" t="s">
        <v>40</v>
      </c>
      <c r="N8" s="1">
        <v>999</v>
      </c>
      <c r="O8" s="10"/>
      <c r="P8" s="1">
        <v>1010302</v>
      </c>
      <c r="Q8" s="1">
        <f>Q7*2</f>
        <v>0.198</v>
      </c>
    </row>
    <row r="9" s="1" customFormat="1" ht="20.1" customHeight="1" spans="1:17">
      <c r="A9" s="1">
        <v>1010303</v>
      </c>
      <c r="B9" s="1">
        <v>303</v>
      </c>
      <c r="C9" s="1">
        <v>1100303</v>
      </c>
      <c r="D9" s="1" t="s">
        <v>43</v>
      </c>
      <c r="E9" s="1">
        <v>1</v>
      </c>
      <c r="F9" s="1" t="s">
        <v>30</v>
      </c>
      <c r="G9" s="1">
        <v>4</v>
      </c>
      <c r="H9">
        <v>0</v>
      </c>
      <c r="I9" s="1" t="s">
        <v>44</v>
      </c>
      <c r="J9" s="1">
        <v>2010303</v>
      </c>
      <c r="K9" s="1" t="s">
        <v>45</v>
      </c>
      <c r="N9" s="1">
        <v>999</v>
      </c>
      <c r="O9" s="10"/>
      <c r="P9" s="1">
        <v>1010303</v>
      </c>
      <c r="Q9" s="1">
        <f>Q7*6</f>
        <v>0.594</v>
      </c>
    </row>
    <row r="10" s="1" customFormat="1" ht="20.1" customHeight="1" spans="1:17">
      <c r="A10" s="1">
        <v>1010304</v>
      </c>
      <c r="B10" s="1">
        <v>304</v>
      </c>
      <c r="C10" s="1">
        <v>1100304</v>
      </c>
      <c r="D10" s="1" t="s">
        <v>46</v>
      </c>
      <c r="E10" s="1">
        <v>1</v>
      </c>
      <c r="F10" s="1" t="s">
        <v>30</v>
      </c>
      <c r="G10" s="1">
        <v>5</v>
      </c>
      <c r="H10">
        <v>0</v>
      </c>
      <c r="I10" s="1" t="s">
        <v>31</v>
      </c>
      <c r="J10" s="1">
        <v>2010304</v>
      </c>
      <c r="K10" s="1" t="s">
        <v>47</v>
      </c>
      <c r="N10" s="1">
        <v>999</v>
      </c>
      <c r="O10" s="10"/>
      <c r="P10" s="1">
        <v>1010304</v>
      </c>
      <c r="Q10" s="1">
        <f>Q7*8</f>
        <v>0.792</v>
      </c>
    </row>
    <row r="11" s="1" customFormat="1" ht="20.1" customHeight="1" spans="1:17">
      <c r="A11" s="1">
        <v>1010305</v>
      </c>
      <c r="B11" s="1">
        <v>305</v>
      </c>
      <c r="C11" s="1">
        <v>1100305</v>
      </c>
      <c r="D11" s="1" t="s">
        <v>48</v>
      </c>
      <c r="E11" s="1">
        <v>1</v>
      </c>
      <c r="F11" s="1" t="s">
        <v>30</v>
      </c>
      <c r="G11" s="1">
        <v>6</v>
      </c>
      <c r="H11">
        <v>0</v>
      </c>
      <c r="I11" s="1" t="s">
        <v>31</v>
      </c>
      <c r="J11" s="1">
        <v>2010305</v>
      </c>
      <c r="K11" s="1" t="s">
        <v>49</v>
      </c>
      <c r="N11" s="1">
        <v>999</v>
      </c>
      <c r="O11" s="10"/>
      <c r="P11" s="1">
        <v>1010305</v>
      </c>
      <c r="Q11" s="1">
        <f>Q7*10</f>
        <v>0.99</v>
      </c>
    </row>
    <row r="12" s="1" customFormat="1" ht="20.1" customHeight="1" spans="1:17">
      <c r="A12" s="1">
        <v>1010311</v>
      </c>
      <c r="B12" s="1">
        <v>311</v>
      </c>
      <c r="C12" s="1">
        <v>1100311</v>
      </c>
      <c r="D12" s="1" t="s">
        <v>50</v>
      </c>
      <c r="E12" s="1">
        <v>1</v>
      </c>
      <c r="F12" s="1" t="s">
        <v>30</v>
      </c>
      <c r="G12" s="1">
        <v>2</v>
      </c>
      <c r="H12">
        <v>0</v>
      </c>
      <c r="I12" s="1" t="s">
        <v>31</v>
      </c>
      <c r="J12" s="1">
        <v>2010311</v>
      </c>
      <c r="K12" s="1" t="s">
        <v>51</v>
      </c>
      <c r="N12" s="1">
        <v>999</v>
      </c>
      <c r="O12" s="10"/>
      <c r="P12" s="1">
        <v>100006</v>
      </c>
    </row>
    <row r="13" s="1" customFormat="1" ht="20.1" customHeight="1" spans="1:17">
      <c r="A13" s="1">
        <v>1010312</v>
      </c>
      <c r="B13" s="1">
        <v>312</v>
      </c>
      <c r="C13" s="1">
        <v>1100312</v>
      </c>
      <c r="D13" s="1" t="s">
        <v>52</v>
      </c>
      <c r="E13" s="1">
        <v>1</v>
      </c>
      <c r="F13" s="1" t="s">
        <v>30</v>
      </c>
      <c r="G13" s="1">
        <v>3</v>
      </c>
      <c r="H13">
        <v>0</v>
      </c>
      <c r="I13" s="1" t="s">
        <v>31</v>
      </c>
      <c r="J13" s="1">
        <v>2010312</v>
      </c>
      <c r="K13" s="1" t="s">
        <v>51</v>
      </c>
      <c r="N13" s="1">
        <v>999</v>
      </c>
      <c r="O13" s="10"/>
      <c r="P13" s="1">
        <v>100007</v>
      </c>
    </row>
    <row r="14" s="1" customFormat="1" ht="20.1" customHeight="1" spans="1:17">
      <c r="A14" s="1">
        <v>1010313</v>
      </c>
      <c r="B14" s="1">
        <v>313</v>
      </c>
      <c r="C14" s="1">
        <v>1100313</v>
      </c>
      <c r="D14" s="1" t="s">
        <v>53</v>
      </c>
      <c r="E14" s="1">
        <v>1</v>
      </c>
      <c r="F14" s="1" t="s">
        <v>30</v>
      </c>
      <c r="G14" s="1">
        <v>4</v>
      </c>
      <c r="H14">
        <v>0</v>
      </c>
      <c r="I14" s="1" t="s">
        <v>31</v>
      </c>
      <c r="J14" s="1">
        <v>2010313</v>
      </c>
      <c r="K14" s="1" t="s">
        <v>51</v>
      </c>
      <c r="N14" s="1">
        <v>999</v>
      </c>
      <c r="O14" s="10"/>
      <c r="P14" s="1">
        <v>100008</v>
      </c>
    </row>
    <row r="15" s="1" customFormat="1" ht="20.1" customHeight="1" spans="1:17">
      <c r="A15" s="1">
        <v>1010314</v>
      </c>
      <c r="B15" s="1">
        <v>314</v>
      </c>
      <c r="C15" s="1">
        <v>1100314</v>
      </c>
      <c r="D15" s="1" t="s">
        <v>54</v>
      </c>
      <c r="E15" s="1">
        <v>1</v>
      </c>
      <c r="F15" s="1" t="s">
        <v>30</v>
      </c>
      <c r="G15" s="1">
        <v>5</v>
      </c>
      <c r="H15">
        <v>0</v>
      </c>
      <c r="I15" s="1" t="s">
        <v>31</v>
      </c>
      <c r="J15" s="1">
        <v>2010314</v>
      </c>
      <c r="K15" s="1" t="s">
        <v>51</v>
      </c>
      <c r="N15" s="1">
        <v>999</v>
      </c>
      <c r="O15" s="10"/>
      <c r="P15" s="1">
        <v>100009</v>
      </c>
    </row>
    <row r="16" s="1" customFormat="1" ht="20.1" customHeight="1" spans="1:17">
      <c r="A16" s="1">
        <v>1010315</v>
      </c>
      <c r="B16" s="1">
        <v>315</v>
      </c>
      <c r="C16" s="1">
        <v>1100315</v>
      </c>
      <c r="D16" s="1" t="s">
        <v>55</v>
      </c>
      <c r="E16" s="1">
        <v>1</v>
      </c>
      <c r="F16" s="1" t="s">
        <v>30</v>
      </c>
      <c r="G16" s="1">
        <v>6</v>
      </c>
      <c r="H16">
        <v>0</v>
      </c>
      <c r="I16" s="1" t="s">
        <v>31</v>
      </c>
      <c r="J16" s="1">
        <v>2010315</v>
      </c>
      <c r="K16" s="1" t="s">
        <v>51</v>
      </c>
      <c r="N16" s="1">
        <v>999</v>
      </c>
      <c r="O16" s="10"/>
      <c r="P16" s="1">
        <v>100010</v>
      </c>
    </row>
    <row r="17" ht="21" customHeight="1" spans="1:14">
      <c r="A17">
        <v>1020001</v>
      </c>
      <c r="B17" s="8">
        <v>1</v>
      </c>
      <c r="C17">
        <v>1020001</v>
      </c>
      <c r="D17" t="s">
        <v>56</v>
      </c>
      <c r="E17">
        <v>2</v>
      </c>
      <c r="F17" t="s">
        <v>57</v>
      </c>
      <c r="G17">
        <v>1</v>
      </c>
      <c r="H17">
        <v>0</v>
      </c>
      <c r="I17" t="s">
        <v>58</v>
      </c>
      <c r="J17">
        <v>2020001</v>
      </c>
      <c r="K17" t="s">
        <v>59</v>
      </c>
      <c r="N17">
        <v>999</v>
      </c>
    </row>
    <row r="18" s="2" customFormat="1" ht="21" customHeight="1" spans="1:14">
      <c r="A18" s="2">
        <v>1020002</v>
      </c>
      <c r="B18" s="2">
        <v>2</v>
      </c>
      <c r="C18" s="2">
        <v>1020002</v>
      </c>
      <c r="D18" s="2" t="s">
        <v>60</v>
      </c>
      <c r="E18" s="2">
        <v>2</v>
      </c>
      <c r="F18" s="2" t="s">
        <v>57</v>
      </c>
      <c r="G18" s="2">
        <v>2</v>
      </c>
      <c r="H18">
        <v>1</v>
      </c>
      <c r="I18" s="2" t="s">
        <v>61</v>
      </c>
      <c r="J18" s="2">
        <v>2020002</v>
      </c>
      <c r="K18" s="2" t="s">
        <v>62</v>
      </c>
      <c r="N18" s="2">
        <v>999</v>
      </c>
    </row>
    <row r="19" s="2" customFormat="1" ht="21" customHeight="1" spans="1:14">
      <c r="A19" s="2">
        <v>1020003</v>
      </c>
      <c r="B19" s="2">
        <v>3</v>
      </c>
      <c r="C19" s="2">
        <v>1020003</v>
      </c>
      <c r="D19" s="2" t="s">
        <v>63</v>
      </c>
      <c r="E19" s="2">
        <v>2</v>
      </c>
      <c r="F19" s="2" t="s">
        <v>57</v>
      </c>
      <c r="G19" s="2">
        <v>3</v>
      </c>
      <c r="H19">
        <v>1</v>
      </c>
      <c r="I19" s="2" t="s">
        <v>64</v>
      </c>
      <c r="J19" s="2">
        <v>2020003</v>
      </c>
      <c r="K19" s="2" t="s">
        <v>62</v>
      </c>
      <c r="N19" s="2">
        <v>999</v>
      </c>
    </row>
    <row r="20" s="2" customFormat="1" ht="21" customHeight="1" spans="1:14">
      <c r="A20" s="2">
        <v>1020004</v>
      </c>
      <c r="B20" s="2">
        <v>4</v>
      </c>
      <c r="C20" s="2">
        <v>1020004</v>
      </c>
      <c r="D20" s="2" t="s">
        <v>65</v>
      </c>
      <c r="E20" s="2">
        <v>2</v>
      </c>
      <c r="F20" s="2" t="s">
        <v>57</v>
      </c>
      <c r="G20" s="2">
        <v>4</v>
      </c>
      <c r="H20">
        <v>1</v>
      </c>
      <c r="I20" s="2" t="s">
        <v>66</v>
      </c>
      <c r="J20" s="2">
        <v>2020004</v>
      </c>
      <c r="K20" s="2" t="s">
        <v>62</v>
      </c>
      <c r="N20" s="2">
        <v>999</v>
      </c>
    </row>
    <row r="21" s="2" customFormat="1" ht="21" customHeight="1" spans="1:14">
      <c r="A21" s="2">
        <v>1020005</v>
      </c>
      <c r="B21" s="2">
        <v>5</v>
      </c>
      <c r="C21" s="2">
        <v>1020005</v>
      </c>
      <c r="D21" s="2" t="s">
        <v>67</v>
      </c>
      <c r="E21" s="2">
        <v>2</v>
      </c>
      <c r="F21" s="2" t="s">
        <v>57</v>
      </c>
      <c r="G21" s="2">
        <v>5</v>
      </c>
      <c r="H21">
        <v>1</v>
      </c>
      <c r="I21" s="2" t="s">
        <v>68</v>
      </c>
      <c r="J21" s="2">
        <v>2020005</v>
      </c>
      <c r="K21" s="2" t="s">
        <v>62</v>
      </c>
      <c r="N21" s="2">
        <v>999</v>
      </c>
    </row>
    <row r="22" s="2" customFormat="1" ht="21" customHeight="1" spans="1:14">
      <c r="A22" s="2">
        <v>1020006</v>
      </c>
      <c r="B22" s="2">
        <v>6</v>
      </c>
      <c r="C22" s="2">
        <v>1020006</v>
      </c>
      <c r="D22" s="2" t="s">
        <v>69</v>
      </c>
      <c r="E22" s="2">
        <v>2</v>
      </c>
      <c r="F22" s="2" t="s">
        <v>57</v>
      </c>
      <c r="G22" s="2">
        <v>6</v>
      </c>
      <c r="H22">
        <v>1</v>
      </c>
      <c r="I22" s="2" t="s">
        <v>70</v>
      </c>
      <c r="J22" s="2">
        <v>2020006</v>
      </c>
      <c r="K22" s="2" t="s">
        <v>62</v>
      </c>
      <c r="N22" s="2">
        <v>999</v>
      </c>
    </row>
    <row r="23" ht="23.1" customHeight="1" spans="1:14">
      <c r="A23">
        <v>1030011</v>
      </c>
      <c r="B23" s="8">
        <v>11</v>
      </c>
      <c r="C23">
        <v>1300011</v>
      </c>
      <c r="D23" t="s">
        <v>71</v>
      </c>
      <c r="E23">
        <v>3</v>
      </c>
      <c r="F23" t="s">
        <v>57</v>
      </c>
      <c r="G23">
        <v>1</v>
      </c>
      <c r="H23">
        <v>1</v>
      </c>
      <c r="I23" t="s">
        <v>72</v>
      </c>
      <c r="J23">
        <v>2030011</v>
      </c>
      <c r="K23" t="s">
        <v>73</v>
      </c>
      <c r="M23">
        <v>10001</v>
      </c>
      <c r="N23">
        <v>1</v>
      </c>
    </row>
    <row r="24" ht="23.1" customHeight="1" spans="1:14">
      <c r="A24">
        <v>1030012</v>
      </c>
      <c r="B24" s="8">
        <v>12</v>
      </c>
      <c r="C24">
        <v>1300012</v>
      </c>
      <c r="D24" t="s">
        <v>74</v>
      </c>
      <c r="E24">
        <v>3</v>
      </c>
      <c r="F24" t="s">
        <v>57</v>
      </c>
      <c r="G24">
        <v>1</v>
      </c>
      <c r="H24">
        <v>1</v>
      </c>
      <c r="I24" t="s">
        <v>75</v>
      </c>
      <c r="J24">
        <v>2030012</v>
      </c>
      <c r="K24" t="s">
        <v>73</v>
      </c>
      <c r="M24">
        <v>10002</v>
      </c>
      <c r="N24">
        <v>1</v>
      </c>
    </row>
    <row r="25" ht="23.1" customHeight="1" spans="1:14">
      <c r="A25">
        <v>1030013</v>
      </c>
      <c r="B25" s="8">
        <v>13</v>
      </c>
      <c r="C25">
        <v>1300013</v>
      </c>
      <c r="D25" t="s">
        <v>76</v>
      </c>
      <c r="E25">
        <v>3</v>
      </c>
      <c r="F25" t="s">
        <v>57</v>
      </c>
      <c r="G25">
        <v>1</v>
      </c>
      <c r="H25">
        <v>1</v>
      </c>
      <c r="I25" t="s">
        <v>77</v>
      </c>
      <c r="J25">
        <v>2030013</v>
      </c>
      <c r="K25" t="s">
        <v>73</v>
      </c>
      <c r="M25">
        <v>10003</v>
      </c>
      <c r="N25">
        <v>1</v>
      </c>
    </row>
    <row r="26" ht="23.1" customHeight="1" spans="1:14">
      <c r="A26">
        <v>1030014</v>
      </c>
      <c r="B26" s="8">
        <v>14</v>
      </c>
      <c r="C26">
        <v>1300014</v>
      </c>
      <c r="D26" t="s">
        <v>78</v>
      </c>
      <c r="E26">
        <v>3</v>
      </c>
      <c r="F26" t="s">
        <v>57</v>
      </c>
      <c r="G26">
        <v>1</v>
      </c>
      <c r="H26">
        <v>1</v>
      </c>
      <c r="I26" t="s">
        <v>79</v>
      </c>
      <c r="J26">
        <v>2030014</v>
      </c>
      <c r="K26" t="s">
        <v>73</v>
      </c>
      <c r="M26">
        <v>10004</v>
      </c>
      <c r="N26">
        <v>1</v>
      </c>
    </row>
    <row r="27" ht="23.1" customHeight="1" spans="1:14">
      <c r="A27">
        <v>1030015</v>
      </c>
      <c r="B27" s="8">
        <v>15</v>
      </c>
      <c r="C27">
        <v>1300015</v>
      </c>
      <c r="D27" t="s">
        <v>80</v>
      </c>
      <c r="E27">
        <v>3</v>
      </c>
      <c r="F27" t="s">
        <v>57</v>
      </c>
      <c r="G27">
        <v>1</v>
      </c>
      <c r="H27">
        <v>1</v>
      </c>
      <c r="I27" t="s">
        <v>81</v>
      </c>
      <c r="J27">
        <v>2030015</v>
      </c>
      <c r="K27" t="s">
        <v>73</v>
      </c>
      <c r="M27">
        <v>10005</v>
      </c>
      <c r="N27">
        <v>1</v>
      </c>
    </row>
    <row r="28" ht="23.1" customHeight="1" spans="1:14">
      <c r="A28">
        <v>1030016</v>
      </c>
      <c r="B28" s="8">
        <v>16</v>
      </c>
      <c r="C28">
        <v>1300016</v>
      </c>
      <c r="D28" t="s">
        <v>82</v>
      </c>
      <c r="E28">
        <v>3</v>
      </c>
      <c r="F28" t="s">
        <v>57</v>
      </c>
      <c r="G28">
        <v>1</v>
      </c>
      <c r="H28">
        <v>1</v>
      </c>
      <c r="I28" t="s">
        <v>83</v>
      </c>
      <c r="J28">
        <v>2030016</v>
      </c>
      <c r="K28" t="s">
        <v>73</v>
      </c>
      <c r="M28">
        <v>10006</v>
      </c>
      <c r="N28">
        <v>1</v>
      </c>
    </row>
    <row r="29" ht="23.1" customHeight="1" spans="1:14">
      <c r="A29">
        <v>1030017</v>
      </c>
      <c r="B29" s="8">
        <v>17</v>
      </c>
      <c r="C29">
        <v>1300017</v>
      </c>
      <c r="D29" t="s">
        <v>84</v>
      </c>
      <c r="E29">
        <v>3</v>
      </c>
      <c r="F29" t="s">
        <v>57</v>
      </c>
      <c r="G29">
        <v>1</v>
      </c>
      <c r="H29">
        <v>1</v>
      </c>
      <c r="I29" t="s">
        <v>85</v>
      </c>
      <c r="J29">
        <v>2030017</v>
      </c>
      <c r="K29" t="s">
        <v>73</v>
      </c>
      <c r="M29">
        <v>10007</v>
      </c>
      <c r="N29">
        <v>1</v>
      </c>
    </row>
    <row r="30" ht="23.1" customHeight="1" spans="1:14">
      <c r="A30">
        <v>1030018</v>
      </c>
      <c r="B30" s="8">
        <v>18</v>
      </c>
      <c r="C30">
        <v>1300018</v>
      </c>
      <c r="D30" t="s">
        <v>86</v>
      </c>
      <c r="E30">
        <v>3</v>
      </c>
      <c r="F30" t="s">
        <v>57</v>
      </c>
      <c r="G30">
        <v>1</v>
      </c>
      <c r="H30">
        <v>1</v>
      </c>
      <c r="I30" t="s">
        <v>87</v>
      </c>
      <c r="J30">
        <v>2030018</v>
      </c>
      <c r="K30" t="s">
        <v>73</v>
      </c>
      <c r="M30">
        <v>10008</v>
      </c>
      <c r="N30">
        <v>1</v>
      </c>
    </row>
    <row r="31" ht="23.1" customHeight="1" spans="1:14">
      <c r="A31">
        <v>1030101</v>
      </c>
      <c r="B31" s="8">
        <v>101</v>
      </c>
      <c r="C31">
        <v>1300101</v>
      </c>
      <c r="D31" t="s">
        <v>88</v>
      </c>
      <c r="E31">
        <v>3</v>
      </c>
      <c r="F31" t="s">
        <v>57</v>
      </c>
      <c r="G31">
        <v>1</v>
      </c>
      <c r="H31">
        <v>1</v>
      </c>
      <c r="I31" t="s">
        <v>58</v>
      </c>
      <c r="J31">
        <v>2030101</v>
      </c>
      <c r="K31" t="s">
        <v>89</v>
      </c>
      <c r="N31">
        <v>1</v>
      </c>
    </row>
    <row r="32" ht="23.1" customHeight="1" spans="1:14">
      <c r="A32">
        <v>1030102</v>
      </c>
      <c r="B32" s="8">
        <v>102</v>
      </c>
      <c r="C32">
        <v>1300102</v>
      </c>
      <c r="D32" t="s">
        <v>90</v>
      </c>
      <c r="E32">
        <v>3</v>
      </c>
      <c r="F32" t="s">
        <v>57</v>
      </c>
      <c r="G32">
        <v>1</v>
      </c>
      <c r="H32">
        <v>1</v>
      </c>
      <c r="I32" t="s">
        <v>58</v>
      </c>
      <c r="J32">
        <v>2030102</v>
      </c>
      <c r="K32" t="s">
        <v>89</v>
      </c>
      <c r="N32">
        <v>1</v>
      </c>
    </row>
    <row r="33" ht="23.1" customHeight="1" spans="1:14">
      <c r="A33">
        <v>1030103</v>
      </c>
      <c r="B33" s="8">
        <v>103</v>
      </c>
      <c r="C33">
        <v>1300103</v>
      </c>
      <c r="D33" t="s">
        <v>91</v>
      </c>
      <c r="E33">
        <v>3</v>
      </c>
      <c r="F33" t="s">
        <v>57</v>
      </c>
      <c r="G33">
        <v>2</v>
      </c>
      <c r="H33">
        <v>1</v>
      </c>
      <c r="I33" t="s">
        <v>58</v>
      </c>
      <c r="J33">
        <v>2030103</v>
      </c>
      <c r="K33" t="s">
        <v>89</v>
      </c>
      <c r="N33">
        <v>1</v>
      </c>
    </row>
    <row r="34" ht="23.1" customHeight="1" spans="1:14">
      <c r="A34">
        <v>1030104</v>
      </c>
      <c r="B34" s="8">
        <v>104</v>
      </c>
      <c r="C34">
        <v>1300104</v>
      </c>
      <c r="D34" t="s">
        <v>92</v>
      </c>
      <c r="E34">
        <v>3</v>
      </c>
      <c r="F34" t="s">
        <v>57</v>
      </c>
      <c r="G34">
        <v>2</v>
      </c>
      <c r="H34">
        <v>1</v>
      </c>
      <c r="I34" t="s">
        <v>58</v>
      </c>
      <c r="J34">
        <v>2030104</v>
      </c>
      <c r="K34" t="s">
        <v>89</v>
      </c>
      <c r="N34">
        <v>1</v>
      </c>
    </row>
    <row r="35" ht="23.1" customHeight="1" spans="1:14">
      <c r="A35">
        <v>1030105</v>
      </c>
      <c r="B35" s="8">
        <v>105</v>
      </c>
      <c r="C35">
        <v>1300105</v>
      </c>
      <c r="D35" t="s">
        <v>93</v>
      </c>
      <c r="E35">
        <v>3</v>
      </c>
      <c r="F35" t="s">
        <v>57</v>
      </c>
      <c r="G35">
        <v>3</v>
      </c>
      <c r="H35">
        <v>1</v>
      </c>
      <c r="I35" t="s">
        <v>58</v>
      </c>
      <c r="J35">
        <v>2030105</v>
      </c>
      <c r="K35" t="s">
        <v>89</v>
      </c>
      <c r="N35">
        <v>1</v>
      </c>
    </row>
    <row r="36" ht="23.1" customHeight="1" spans="1:14">
      <c r="A36">
        <v>1030106</v>
      </c>
      <c r="B36" s="8">
        <v>106</v>
      </c>
      <c r="C36">
        <v>1300106</v>
      </c>
      <c r="D36" t="s">
        <v>94</v>
      </c>
      <c r="E36">
        <v>3</v>
      </c>
      <c r="F36" t="s">
        <v>57</v>
      </c>
      <c r="G36">
        <v>3</v>
      </c>
      <c r="H36">
        <v>1</v>
      </c>
      <c r="I36" t="s">
        <v>58</v>
      </c>
      <c r="J36">
        <v>2030106</v>
      </c>
      <c r="K36" t="s">
        <v>89</v>
      </c>
      <c r="N36">
        <v>1</v>
      </c>
    </row>
    <row r="37" ht="23.1" customHeight="1" spans="1:14">
      <c r="A37">
        <v>1030107</v>
      </c>
      <c r="B37" s="8">
        <v>107</v>
      </c>
      <c r="C37">
        <v>1300107</v>
      </c>
      <c r="D37" t="s">
        <v>95</v>
      </c>
      <c r="E37">
        <v>3</v>
      </c>
      <c r="F37" t="s">
        <v>57</v>
      </c>
      <c r="G37">
        <v>4</v>
      </c>
      <c r="H37">
        <v>1</v>
      </c>
      <c r="I37" t="s">
        <v>58</v>
      </c>
      <c r="J37">
        <v>2030107</v>
      </c>
      <c r="K37" t="s">
        <v>89</v>
      </c>
      <c r="N37">
        <v>1</v>
      </c>
    </row>
    <row r="38" ht="23.1" customHeight="1" spans="1:14">
      <c r="A38">
        <v>1030108</v>
      </c>
      <c r="B38" s="8">
        <v>108</v>
      </c>
      <c r="C38">
        <v>1300108</v>
      </c>
      <c r="D38" t="s">
        <v>96</v>
      </c>
      <c r="E38">
        <v>3</v>
      </c>
      <c r="F38" t="s">
        <v>57</v>
      </c>
      <c r="G38">
        <v>4</v>
      </c>
      <c r="H38">
        <v>1</v>
      </c>
      <c r="I38" t="s">
        <v>58</v>
      </c>
      <c r="J38">
        <v>2030108</v>
      </c>
      <c r="K38" t="s">
        <v>89</v>
      </c>
      <c r="N38">
        <v>1</v>
      </c>
    </row>
    <row r="39" ht="23.1" customHeight="1" spans="1:14">
      <c r="A39">
        <v>1030109</v>
      </c>
      <c r="B39" s="8">
        <v>109</v>
      </c>
      <c r="C39">
        <v>1300109</v>
      </c>
      <c r="D39" t="s">
        <v>97</v>
      </c>
      <c r="E39">
        <v>3</v>
      </c>
      <c r="F39" t="s">
        <v>57</v>
      </c>
      <c r="G39">
        <v>5</v>
      </c>
      <c r="H39">
        <v>1</v>
      </c>
      <c r="I39" t="s">
        <v>58</v>
      </c>
      <c r="J39">
        <v>2030109</v>
      </c>
      <c r="K39" t="s">
        <v>89</v>
      </c>
      <c r="N39">
        <v>1</v>
      </c>
    </row>
    <row r="40" ht="23.1" customHeight="1" spans="1:14">
      <c r="A40">
        <v>1030110</v>
      </c>
      <c r="B40" s="8">
        <v>110</v>
      </c>
      <c r="C40">
        <v>1300110</v>
      </c>
      <c r="D40" t="s">
        <v>98</v>
      </c>
      <c r="E40">
        <v>3</v>
      </c>
      <c r="F40" t="s">
        <v>57</v>
      </c>
      <c r="G40">
        <v>5</v>
      </c>
      <c r="H40">
        <v>1</v>
      </c>
      <c r="I40" t="s">
        <v>58</v>
      </c>
      <c r="J40">
        <v>2030110</v>
      </c>
      <c r="K40" t="s">
        <v>89</v>
      </c>
      <c r="N40">
        <v>1</v>
      </c>
    </row>
    <row r="41" ht="23.1" customHeight="1" spans="1:14">
      <c r="A41">
        <v>1030111</v>
      </c>
      <c r="B41" s="8">
        <v>111</v>
      </c>
      <c r="C41">
        <v>1300111</v>
      </c>
      <c r="D41" t="s">
        <v>99</v>
      </c>
      <c r="E41">
        <v>3</v>
      </c>
      <c r="F41" t="s">
        <v>57</v>
      </c>
      <c r="G41">
        <v>6</v>
      </c>
      <c r="H41">
        <v>1</v>
      </c>
      <c r="I41" t="s">
        <v>58</v>
      </c>
      <c r="J41">
        <v>2030111</v>
      </c>
      <c r="K41" t="s">
        <v>89</v>
      </c>
      <c r="N41">
        <v>1</v>
      </c>
    </row>
    <row r="42" ht="23.1" customHeight="1" spans="1:14">
      <c r="A42">
        <v>1030112</v>
      </c>
      <c r="B42" s="8">
        <v>112</v>
      </c>
      <c r="C42">
        <v>1300112</v>
      </c>
      <c r="D42" t="s">
        <v>100</v>
      </c>
      <c r="E42">
        <v>3</v>
      </c>
      <c r="F42" t="s">
        <v>57</v>
      </c>
      <c r="G42">
        <v>6</v>
      </c>
      <c r="H42">
        <v>1</v>
      </c>
      <c r="I42" t="s">
        <v>58</v>
      </c>
      <c r="J42">
        <v>2030112</v>
      </c>
      <c r="K42" t="s">
        <v>89</v>
      </c>
      <c r="N42">
        <v>1</v>
      </c>
    </row>
    <row r="43" ht="23.1" customHeight="1" spans="1:14">
      <c r="A43">
        <v>1030121</v>
      </c>
      <c r="B43" s="8">
        <v>121</v>
      </c>
      <c r="C43">
        <v>1300121</v>
      </c>
      <c r="D43" t="s">
        <v>101</v>
      </c>
      <c r="E43">
        <v>3</v>
      </c>
      <c r="F43" t="s">
        <v>57</v>
      </c>
      <c r="G43">
        <v>1</v>
      </c>
      <c r="H43">
        <v>1</v>
      </c>
      <c r="I43" t="s">
        <v>58</v>
      </c>
      <c r="J43">
        <v>2030121</v>
      </c>
      <c r="K43" t="s">
        <v>89</v>
      </c>
      <c r="N43">
        <v>1</v>
      </c>
    </row>
    <row r="44" ht="23.1" customHeight="1" spans="1:14">
      <c r="A44">
        <v>1030122</v>
      </c>
      <c r="B44" s="8">
        <v>122</v>
      </c>
      <c r="C44">
        <v>1300122</v>
      </c>
      <c r="D44" t="s">
        <v>102</v>
      </c>
      <c r="E44">
        <v>3</v>
      </c>
      <c r="F44" t="s">
        <v>57</v>
      </c>
      <c r="G44">
        <v>1</v>
      </c>
      <c r="H44">
        <v>1</v>
      </c>
      <c r="I44" t="s">
        <v>58</v>
      </c>
      <c r="J44">
        <v>2030122</v>
      </c>
      <c r="K44" t="s">
        <v>89</v>
      </c>
      <c r="N44">
        <v>1</v>
      </c>
    </row>
    <row r="45" ht="23.1" customHeight="1" spans="1:14">
      <c r="A45">
        <v>1030123</v>
      </c>
      <c r="B45" s="8">
        <v>123</v>
      </c>
      <c r="C45">
        <v>1300123</v>
      </c>
      <c r="D45" t="s">
        <v>103</v>
      </c>
      <c r="E45">
        <v>3</v>
      </c>
      <c r="F45" t="s">
        <v>57</v>
      </c>
      <c r="G45">
        <v>2</v>
      </c>
      <c r="H45">
        <v>1</v>
      </c>
      <c r="I45" t="s">
        <v>58</v>
      </c>
      <c r="J45">
        <v>2030123</v>
      </c>
      <c r="K45" t="s">
        <v>89</v>
      </c>
      <c r="N45">
        <v>1</v>
      </c>
    </row>
    <row r="46" ht="23.1" customHeight="1" spans="1:14">
      <c r="A46">
        <v>1030124</v>
      </c>
      <c r="B46" s="8">
        <v>124</v>
      </c>
      <c r="C46">
        <v>1300124</v>
      </c>
      <c r="D46" t="s">
        <v>104</v>
      </c>
      <c r="E46">
        <v>3</v>
      </c>
      <c r="F46" t="s">
        <v>57</v>
      </c>
      <c r="G46">
        <v>2</v>
      </c>
      <c r="H46">
        <v>1</v>
      </c>
      <c r="I46" t="s">
        <v>58</v>
      </c>
      <c r="J46">
        <v>2030124</v>
      </c>
      <c r="K46" t="s">
        <v>89</v>
      </c>
      <c r="N46">
        <v>1</v>
      </c>
    </row>
    <row r="47" ht="23.1" customHeight="1" spans="1:14">
      <c r="A47">
        <v>1030125</v>
      </c>
      <c r="B47" s="8">
        <v>125</v>
      </c>
      <c r="C47">
        <v>1300125</v>
      </c>
      <c r="D47" t="s">
        <v>105</v>
      </c>
      <c r="E47">
        <v>3</v>
      </c>
      <c r="F47" t="s">
        <v>57</v>
      </c>
      <c r="G47">
        <v>3</v>
      </c>
      <c r="H47">
        <v>1</v>
      </c>
      <c r="I47" t="s">
        <v>58</v>
      </c>
      <c r="J47">
        <v>2030125</v>
      </c>
      <c r="K47" t="s">
        <v>89</v>
      </c>
      <c r="N47">
        <v>1</v>
      </c>
    </row>
    <row r="48" ht="23.1" customHeight="1" spans="1:14">
      <c r="A48">
        <v>1030126</v>
      </c>
      <c r="B48" s="8">
        <v>126</v>
      </c>
      <c r="C48">
        <v>1300126</v>
      </c>
      <c r="D48" t="s">
        <v>106</v>
      </c>
      <c r="E48">
        <v>3</v>
      </c>
      <c r="F48" t="s">
        <v>57</v>
      </c>
      <c r="G48">
        <v>3</v>
      </c>
      <c r="H48">
        <v>1</v>
      </c>
      <c r="I48" t="s">
        <v>58</v>
      </c>
      <c r="J48">
        <v>2030126</v>
      </c>
      <c r="K48" t="s">
        <v>89</v>
      </c>
      <c r="N48">
        <v>1</v>
      </c>
    </row>
    <row r="49" ht="23.1" customHeight="1" spans="1:14">
      <c r="A49">
        <v>1030127</v>
      </c>
      <c r="B49" s="8">
        <v>127</v>
      </c>
      <c r="C49">
        <v>1300127</v>
      </c>
      <c r="D49" t="s">
        <v>107</v>
      </c>
      <c r="E49">
        <v>3</v>
      </c>
      <c r="F49" t="s">
        <v>57</v>
      </c>
      <c r="G49">
        <v>4</v>
      </c>
      <c r="H49">
        <v>1</v>
      </c>
      <c r="I49" t="s">
        <v>58</v>
      </c>
      <c r="J49">
        <v>2030127</v>
      </c>
      <c r="K49" t="s">
        <v>89</v>
      </c>
      <c r="N49">
        <v>1</v>
      </c>
    </row>
    <row r="50" ht="23.1" customHeight="1" spans="1:14">
      <c r="A50">
        <v>1030128</v>
      </c>
      <c r="B50" s="8">
        <v>128</v>
      </c>
      <c r="C50">
        <v>1300128</v>
      </c>
      <c r="D50" t="s">
        <v>108</v>
      </c>
      <c r="E50">
        <v>3</v>
      </c>
      <c r="F50" t="s">
        <v>57</v>
      </c>
      <c r="G50">
        <v>4</v>
      </c>
      <c r="H50">
        <v>1</v>
      </c>
      <c r="I50" t="s">
        <v>58</v>
      </c>
      <c r="J50">
        <v>2030128</v>
      </c>
      <c r="K50" t="s">
        <v>89</v>
      </c>
      <c r="N50">
        <v>1</v>
      </c>
    </row>
    <row r="51" ht="23.1" customHeight="1" spans="1:14">
      <c r="A51">
        <v>1030129</v>
      </c>
      <c r="B51" s="8">
        <v>129</v>
      </c>
      <c r="C51">
        <v>1300129</v>
      </c>
      <c r="D51" t="s">
        <v>109</v>
      </c>
      <c r="E51">
        <v>3</v>
      </c>
      <c r="F51" t="s">
        <v>57</v>
      </c>
      <c r="G51">
        <v>5</v>
      </c>
      <c r="H51">
        <v>1</v>
      </c>
      <c r="I51" t="s">
        <v>58</v>
      </c>
      <c r="J51">
        <v>2030129</v>
      </c>
      <c r="K51" t="s">
        <v>89</v>
      </c>
      <c r="N51">
        <v>1</v>
      </c>
    </row>
    <row r="52" ht="23.1" customHeight="1" spans="1:14">
      <c r="A52">
        <v>1030130</v>
      </c>
      <c r="B52" s="8">
        <v>130</v>
      </c>
      <c r="C52">
        <v>1300130</v>
      </c>
      <c r="D52" t="s">
        <v>110</v>
      </c>
      <c r="E52">
        <v>3</v>
      </c>
      <c r="F52" t="s">
        <v>57</v>
      </c>
      <c r="G52">
        <v>5</v>
      </c>
      <c r="H52">
        <v>1</v>
      </c>
      <c r="I52" t="s">
        <v>58</v>
      </c>
      <c r="J52">
        <v>2030130</v>
      </c>
      <c r="K52" t="s">
        <v>89</v>
      </c>
      <c r="N52">
        <v>1</v>
      </c>
    </row>
    <row r="53" ht="23.1" customHeight="1" spans="1:14">
      <c r="A53">
        <v>1030131</v>
      </c>
      <c r="B53" s="8">
        <v>131</v>
      </c>
      <c r="C53">
        <v>1300131</v>
      </c>
      <c r="D53" t="s">
        <v>111</v>
      </c>
      <c r="E53">
        <v>3</v>
      </c>
      <c r="F53" t="s">
        <v>57</v>
      </c>
      <c r="G53">
        <v>6</v>
      </c>
      <c r="H53">
        <v>1</v>
      </c>
      <c r="I53" t="s">
        <v>58</v>
      </c>
      <c r="J53">
        <v>2030131</v>
      </c>
      <c r="K53" t="s">
        <v>89</v>
      </c>
      <c r="N53">
        <v>1</v>
      </c>
    </row>
    <row r="54" ht="23.1" customHeight="1" spans="1:14">
      <c r="A54">
        <v>1030132</v>
      </c>
      <c r="B54" s="8">
        <v>132</v>
      </c>
      <c r="C54">
        <v>1300132</v>
      </c>
      <c r="D54" t="s">
        <v>112</v>
      </c>
      <c r="E54">
        <v>3</v>
      </c>
      <c r="F54" t="s">
        <v>57</v>
      </c>
      <c r="G54">
        <v>6</v>
      </c>
      <c r="H54">
        <v>1</v>
      </c>
      <c r="I54" t="s">
        <v>58</v>
      </c>
      <c r="J54">
        <v>2030132</v>
      </c>
      <c r="K54" t="s">
        <v>89</v>
      </c>
      <c r="N54">
        <v>1</v>
      </c>
    </row>
    <row r="55" ht="23.1" customHeight="1" spans="1:14">
      <c r="A55">
        <v>1030141</v>
      </c>
      <c r="B55" s="8">
        <v>141</v>
      </c>
      <c r="C55">
        <v>1300141</v>
      </c>
      <c r="D55" t="s">
        <v>113</v>
      </c>
      <c r="E55">
        <v>3</v>
      </c>
      <c r="F55" t="s">
        <v>57</v>
      </c>
      <c r="G55">
        <v>1</v>
      </c>
      <c r="H55">
        <v>1</v>
      </c>
      <c r="I55" t="s">
        <v>58</v>
      </c>
      <c r="J55">
        <v>2030141</v>
      </c>
      <c r="K55" t="s">
        <v>89</v>
      </c>
      <c r="N55">
        <v>1</v>
      </c>
    </row>
    <row r="56" ht="23.1" customHeight="1" spans="1:14">
      <c r="A56">
        <v>1030142</v>
      </c>
      <c r="B56" s="8">
        <v>142</v>
      </c>
      <c r="C56">
        <v>1300142</v>
      </c>
      <c r="D56" t="s">
        <v>114</v>
      </c>
      <c r="E56">
        <v>3</v>
      </c>
      <c r="F56" t="s">
        <v>57</v>
      </c>
      <c r="G56">
        <v>1</v>
      </c>
      <c r="H56">
        <v>1</v>
      </c>
      <c r="I56" t="s">
        <v>58</v>
      </c>
      <c r="J56">
        <v>2030142</v>
      </c>
      <c r="K56" t="s">
        <v>89</v>
      </c>
      <c r="N56">
        <v>1</v>
      </c>
    </row>
    <row r="57" ht="23.1" customHeight="1" spans="1:14">
      <c r="A57">
        <v>1030143</v>
      </c>
      <c r="B57" s="8">
        <v>143</v>
      </c>
      <c r="C57">
        <v>1300143</v>
      </c>
      <c r="D57" t="s">
        <v>115</v>
      </c>
      <c r="E57">
        <v>3</v>
      </c>
      <c r="F57" t="s">
        <v>57</v>
      </c>
      <c r="G57">
        <v>2</v>
      </c>
      <c r="H57">
        <v>1</v>
      </c>
      <c r="I57" t="s">
        <v>58</v>
      </c>
      <c r="J57">
        <v>2030143</v>
      </c>
      <c r="K57" t="s">
        <v>89</v>
      </c>
      <c r="N57">
        <v>1</v>
      </c>
    </row>
    <row r="58" ht="23.1" customHeight="1" spans="1:14">
      <c r="A58">
        <v>1030144</v>
      </c>
      <c r="B58" s="8">
        <v>144</v>
      </c>
      <c r="C58">
        <v>1300144</v>
      </c>
      <c r="D58" t="s">
        <v>116</v>
      </c>
      <c r="E58">
        <v>3</v>
      </c>
      <c r="F58" t="s">
        <v>57</v>
      </c>
      <c r="G58">
        <v>2</v>
      </c>
      <c r="H58">
        <v>1</v>
      </c>
      <c r="I58" t="s">
        <v>58</v>
      </c>
      <c r="J58">
        <v>2030144</v>
      </c>
      <c r="K58" t="s">
        <v>89</v>
      </c>
      <c r="N58">
        <v>1</v>
      </c>
    </row>
    <row r="59" ht="23.1" customHeight="1" spans="1:14">
      <c r="A59">
        <v>1030145</v>
      </c>
      <c r="B59" s="8">
        <v>145</v>
      </c>
      <c r="C59">
        <v>1300145</v>
      </c>
      <c r="D59" t="s">
        <v>117</v>
      </c>
      <c r="E59">
        <v>3</v>
      </c>
      <c r="F59" t="s">
        <v>57</v>
      </c>
      <c r="G59">
        <v>3</v>
      </c>
      <c r="H59">
        <v>1</v>
      </c>
      <c r="I59" t="s">
        <v>58</v>
      </c>
      <c r="J59">
        <v>2030145</v>
      </c>
      <c r="K59" t="s">
        <v>89</v>
      </c>
      <c r="N59">
        <v>1</v>
      </c>
    </row>
    <row r="60" ht="23.1" customHeight="1" spans="1:14">
      <c r="A60">
        <v>1030146</v>
      </c>
      <c r="B60" s="8">
        <v>146</v>
      </c>
      <c r="C60">
        <v>1300146</v>
      </c>
      <c r="D60" t="s">
        <v>118</v>
      </c>
      <c r="E60">
        <v>3</v>
      </c>
      <c r="F60" t="s">
        <v>57</v>
      </c>
      <c r="G60">
        <v>3</v>
      </c>
      <c r="H60">
        <v>1</v>
      </c>
      <c r="I60" t="s">
        <v>58</v>
      </c>
      <c r="J60">
        <v>2030146</v>
      </c>
      <c r="K60" t="s">
        <v>89</v>
      </c>
      <c r="N60">
        <v>1</v>
      </c>
    </row>
    <row r="61" ht="23.1" customHeight="1" spans="1:14">
      <c r="A61">
        <v>1030147</v>
      </c>
      <c r="B61" s="8">
        <v>147</v>
      </c>
      <c r="C61">
        <v>1300147</v>
      </c>
      <c r="D61" t="s">
        <v>119</v>
      </c>
      <c r="E61">
        <v>3</v>
      </c>
      <c r="F61" t="s">
        <v>57</v>
      </c>
      <c r="G61">
        <v>4</v>
      </c>
      <c r="H61">
        <v>1</v>
      </c>
      <c r="I61" t="s">
        <v>58</v>
      </c>
      <c r="J61">
        <v>2030147</v>
      </c>
      <c r="K61" t="s">
        <v>89</v>
      </c>
      <c r="N61">
        <v>1</v>
      </c>
    </row>
    <row r="62" ht="23.1" customHeight="1" spans="1:14">
      <c r="A62">
        <v>1030148</v>
      </c>
      <c r="B62" s="8">
        <v>148</v>
      </c>
      <c r="C62">
        <v>1300148</v>
      </c>
      <c r="D62" t="s">
        <v>120</v>
      </c>
      <c r="E62">
        <v>3</v>
      </c>
      <c r="F62" t="s">
        <v>57</v>
      </c>
      <c r="G62">
        <v>4</v>
      </c>
      <c r="H62">
        <v>1</v>
      </c>
      <c r="I62" t="s">
        <v>58</v>
      </c>
      <c r="J62">
        <v>2030148</v>
      </c>
      <c r="K62" t="s">
        <v>89</v>
      </c>
      <c r="N62">
        <v>1</v>
      </c>
    </row>
    <row r="63" ht="23.1" customHeight="1" spans="1:14">
      <c r="A63">
        <v>1030149</v>
      </c>
      <c r="B63" s="8">
        <v>149</v>
      </c>
      <c r="C63">
        <v>1300149</v>
      </c>
      <c r="D63" t="s">
        <v>121</v>
      </c>
      <c r="E63">
        <v>3</v>
      </c>
      <c r="F63" t="s">
        <v>57</v>
      </c>
      <c r="G63">
        <v>5</v>
      </c>
      <c r="H63">
        <v>1</v>
      </c>
      <c r="I63" t="s">
        <v>58</v>
      </c>
      <c r="J63">
        <v>2030149</v>
      </c>
      <c r="K63" t="s">
        <v>89</v>
      </c>
      <c r="N63">
        <v>1</v>
      </c>
    </row>
    <row r="64" ht="23.1" customHeight="1" spans="1:14">
      <c r="A64">
        <v>1030150</v>
      </c>
      <c r="B64" s="8">
        <v>150</v>
      </c>
      <c r="C64">
        <v>1300150</v>
      </c>
      <c r="D64" t="s">
        <v>122</v>
      </c>
      <c r="E64">
        <v>3</v>
      </c>
      <c r="F64" t="s">
        <v>57</v>
      </c>
      <c r="G64">
        <v>5</v>
      </c>
      <c r="H64">
        <v>1</v>
      </c>
      <c r="I64" t="s">
        <v>58</v>
      </c>
      <c r="J64">
        <v>2030150</v>
      </c>
      <c r="K64" t="s">
        <v>89</v>
      </c>
      <c r="N64">
        <v>1</v>
      </c>
    </row>
    <row r="65" ht="23.1" customHeight="1" spans="1:14">
      <c r="A65">
        <v>1030151</v>
      </c>
      <c r="B65" s="8">
        <v>151</v>
      </c>
      <c r="C65">
        <v>1300151</v>
      </c>
      <c r="D65" t="s">
        <v>123</v>
      </c>
      <c r="E65">
        <v>3</v>
      </c>
      <c r="F65" t="s">
        <v>57</v>
      </c>
      <c r="G65">
        <v>6</v>
      </c>
      <c r="H65">
        <v>1</v>
      </c>
      <c r="I65" t="s">
        <v>58</v>
      </c>
      <c r="J65">
        <v>2030151</v>
      </c>
      <c r="K65" t="s">
        <v>89</v>
      </c>
      <c r="N65">
        <v>1</v>
      </c>
    </row>
    <row r="66" ht="23.1" customHeight="1" spans="1:14">
      <c r="A66">
        <v>1030152</v>
      </c>
      <c r="B66" s="8">
        <v>152</v>
      </c>
      <c r="C66">
        <v>1300152</v>
      </c>
      <c r="D66" t="s">
        <v>124</v>
      </c>
      <c r="E66">
        <v>3</v>
      </c>
      <c r="F66" t="s">
        <v>57</v>
      </c>
      <c r="G66">
        <v>6</v>
      </c>
      <c r="H66">
        <v>1</v>
      </c>
      <c r="I66" t="s">
        <v>58</v>
      </c>
      <c r="J66">
        <v>2030152</v>
      </c>
      <c r="K66" t="s">
        <v>89</v>
      </c>
      <c r="N66">
        <v>1</v>
      </c>
    </row>
    <row r="67" ht="23.1" customHeight="1" spans="1:14">
      <c r="A67">
        <v>1030161</v>
      </c>
      <c r="B67" s="8">
        <v>161</v>
      </c>
      <c r="C67">
        <v>1300161</v>
      </c>
      <c r="D67" t="s">
        <v>125</v>
      </c>
      <c r="E67">
        <v>3</v>
      </c>
      <c r="F67" t="s">
        <v>57</v>
      </c>
      <c r="G67">
        <v>1</v>
      </c>
      <c r="H67">
        <v>1</v>
      </c>
      <c r="I67" t="s">
        <v>58</v>
      </c>
      <c r="J67">
        <v>2030161</v>
      </c>
      <c r="K67" t="s">
        <v>89</v>
      </c>
      <c r="N67">
        <v>1</v>
      </c>
    </row>
    <row r="68" ht="23.1" customHeight="1" spans="1:14">
      <c r="A68">
        <v>1030162</v>
      </c>
      <c r="B68" s="8">
        <v>162</v>
      </c>
      <c r="C68">
        <v>1300162</v>
      </c>
      <c r="D68" t="s">
        <v>126</v>
      </c>
      <c r="E68">
        <v>3</v>
      </c>
      <c r="F68" t="s">
        <v>57</v>
      </c>
      <c r="G68">
        <v>1</v>
      </c>
      <c r="H68">
        <v>1</v>
      </c>
      <c r="I68" t="s">
        <v>58</v>
      </c>
      <c r="J68">
        <v>2030162</v>
      </c>
      <c r="K68" t="s">
        <v>89</v>
      </c>
      <c r="N68">
        <v>1</v>
      </c>
    </row>
    <row r="69" ht="23.1" customHeight="1" spans="1:14">
      <c r="A69">
        <v>1030163</v>
      </c>
      <c r="B69" s="8">
        <v>163</v>
      </c>
      <c r="C69">
        <v>1300163</v>
      </c>
      <c r="D69" t="s">
        <v>127</v>
      </c>
      <c r="E69">
        <v>3</v>
      </c>
      <c r="F69" t="s">
        <v>57</v>
      </c>
      <c r="G69">
        <v>2</v>
      </c>
      <c r="H69">
        <v>1</v>
      </c>
      <c r="I69" t="s">
        <v>58</v>
      </c>
      <c r="J69">
        <v>2030163</v>
      </c>
      <c r="K69" t="s">
        <v>89</v>
      </c>
      <c r="N69">
        <v>1</v>
      </c>
    </row>
    <row r="70" ht="23.1" customHeight="1" spans="1:14">
      <c r="A70">
        <v>1030164</v>
      </c>
      <c r="B70" s="8">
        <v>164</v>
      </c>
      <c r="C70">
        <v>1300164</v>
      </c>
      <c r="D70" t="s">
        <v>128</v>
      </c>
      <c r="E70">
        <v>3</v>
      </c>
      <c r="F70" t="s">
        <v>57</v>
      </c>
      <c r="G70">
        <v>2</v>
      </c>
      <c r="H70">
        <v>1</v>
      </c>
      <c r="I70" t="s">
        <v>58</v>
      </c>
      <c r="J70">
        <v>2030164</v>
      </c>
      <c r="K70" t="s">
        <v>89</v>
      </c>
      <c r="N70">
        <v>1</v>
      </c>
    </row>
    <row r="71" ht="23.1" customHeight="1" spans="1:14">
      <c r="A71">
        <v>1030165</v>
      </c>
      <c r="B71" s="8">
        <v>165</v>
      </c>
      <c r="C71">
        <v>1300165</v>
      </c>
      <c r="D71" t="s">
        <v>129</v>
      </c>
      <c r="E71">
        <v>3</v>
      </c>
      <c r="F71" t="s">
        <v>57</v>
      </c>
      <c r="G71">
        <v>3</v>
      </c>
      <c r="H71">
        <v>1</v>
      </c>
      <c r="I71" t="s">
        <v>58</v>
      </c>
      <c r="J71">
        <v>2030165</v>
      </c>
      <c r="K71" t="s">
        <v>89</v>
      </c>
      <c r="N71">
        <v>1</v>
      </c>
    </row>
    <row r="72" ht="23.1" customHeight="1" spans="1:14">
      <c r="A72">
        <v>1030166</v>
      </c>
      <c r="B72" s="8">
        <v>166</v>
      </c>
      <c r="C72">
        <v>1300166</v>
      </c>
      <c r="D72" t="s">
        <v>130</v>
      </c>
      <c r="E72">
        <v>3</v>
      </c>
      <c r="F72" t="s">
        <v>57</v>
      </c>
      <c r="G72">
        <v>3</v>
      </c>
      <c r="H72">
        <v>1</v>
      </c>
      <c r="I72" t="s">
        <v>58</v>
      </c>
      <c r="J72">
        <v>2030166</v>
      </c>
      <c r="K72" t="s">
        <v>89</v>
      </c>
      <c r="N72">
        <v>1</v>
      </c>
    </row>
    <row r="73" ht="23.1" customHeight="1" spans="1:14">
      <c r="A73">
        <v>1030167</v>
      </c>
      <c r="B73" s="8">
        <v>167</v>
      </c>
      <c r="C73">
        <v>1300167</v>
      </c>
      <c r="D73" t="s">
        <v>131</v>
      </c>
      <c r="E73">
        <v>3</v>
      </c>
      <c r="F73" t="s">
        <v>57</v>
      </c>
      <c r="G73">
        <v>4</v>
      </c>
      <c r="H73">
        <v>1</v>
      </c>
      <c r="I73" t="s">
        <v>58</v>
      </c>
      <c r="J73">
        <v>2030167</v>
      </c>
      <c r="K73" t="s">
        <v>89</v>
      </c>
      <c r="N73">
        <v>1</v>
      </c>
    </row>
    <row r="74" ht="23.1" customHeight="1" spans="1:14">
      <c r="A74">
        <v>1030168</v>
      </c>
      <c r="B74" s="8">
        <v>168</v>
      </c>
      <c r="C74">
        <v>1300168</v>
      </c>
      <c r="D74" t="s">
        <v>132</v>
      </c>
      <c r="E74">
        <v>3</v>
      </c>
      <c r="F74" t="s">
        <v>57</v>
      </c>
      <c r="G74">
        <v>4</v>
      </c>
      <c r="H74">
        <v>1</v>
      </c>
      <c r="I74" t="s">
        <v>58</v>
      </c>
      <c r="J74">
        <v>2030168</v>
      </c>
      <c r="K74" t="s">
        <v>89</v>
      </c>
      <c r="N74">
        <v>1</v>
      </c>
    </row>
    <row r="75" ht="23.1" customHeight="1" spans="1:14">
      <c r="A75">
        <v>1030169</v>
      </c>
      <c r="B75" s="8">
        <v>169</v>
      </c>
      <c r="C75">
        <v>1300169</v>
      </c>
      <c r="D75" t="s">
        <v>133</v>
      </c>
      <c r="E75">
        <v>3</v>
      </c>
      <c r="F75" t="s">
        <v>57</v>
      </c>
      <c r="G75">
        <v>5</v>
      </c>
      <c r="H75">
        <v>1</v>
      </c>
      <c r="I75" t="s">
        <v>58</v>
      </c>
      <c r="J75">
        <v>2030169</v>
      </c>
      <c r="K75" t="s">
        <v>89</v>
      </c>
      <c r="N75">
        <v>1</v>
      </c>
    </row>
    <row r="76" ht="23.1" customHeight="1" spans="1:14">
      <c r="A76">
        <v>1030170</v>
      </c>
      <c r="B76" s="8">
        <v>170</v>
      </c>
      <c r="C76">
        <v>1300170</v>
      </c>
      <c r="D76" t="s">
        <v>134</v>
      </c>
      <c r="E76">
        <v>3</v>
      </c>
      <c r="F76" t="s">
        <v>57</v>
      </c>
      <c r="G76">
        <v>5</v>
      </c>
      <c r="H76">
        <v>1</v>
      </c>
      <c r="I76" t="s">
        <v>58</v>
      </c>
      <c r="J76">
        <v>2030170</v>
      </c>
      <c r="K76" t="s">
        <v>89</v>
      </c>
      <c r="N76">
        <v>1</v>
      </c>
    </row>
    <row r="77" ht="23.1" customHeight="1" spans="1:14">
      <c r="A77">
        <v>1030171</v>
      </c>
      <c r="B77" s="8">
        <v>171</v>
      </c>
      <c r="C77">
        <v>1300171</v>
      </c>
      <c r="D77" t="s">
        <v>135</v>
      </c>
      <c r="E77">
        <v>3</v>
      </c>
      <c r="F77" t="s">
        <v>57</v>
      </c>
      <c r="G77">
        <v>6</v>
      </c>
      <c r="H77">
        <v>1</v>
      </c>
      <c r="I77" t="s">
        <v>58</v>
      </c>
      <c r="J77">
        <v>2030171</v>
      </c>
      <c r="K77" t="s">
        <v>89</v>
      </c>
      <c r="N77">
        <v>1</v>
      </c>
    </row>
    <row r="78" ht="23.1" customHeight="1" spans="1:14">
      <c r="A78">
        <v>1030172</v>
      </c>
      <c r="B78" s="8">
        <v>172</v>
      </c>
      <c r="C78">
        <v>1300172</v>
      </c>
      <c r="D78" t="s">
        <v>136</v>
      </c>
      <c r="E78">
        <v>3</v>
      </c>
      <c r="F78" t="s">
        <v>57</v>
      </c>
      <c r="G78">
        <v>6</v>
      </c>
      <c r="H78">
        <v>1</v>
      </c>
      <c r="I78" t="s">
        <v>58</v>
      </c>
      <c r="J78">
        <v>2030172</v>
      </c>
      <c r="K78" t="s">
        <v>89</v>
      </c>
      <c r="N78">
        <v>1</v>
      </c>
    </row>
    <row r="79" ht="23.1" customHeight="1" spans="1:14">
      <c r="A79">
        <v>1030181</v>
      </c>
      <c r="B79" s="8">
        <v>181</v>
      </c>
      <c r="C79">
        <v>1300181</v>
      </c>
      <c r="D79" t="s">
        <v>137</v>
      </c>
      <c r="E79">
        <v>3</v>
      </c>
      <c r="F79" t="s">
        <v>57</v>
      </c>
      <c r="G79">
        <v>1</v>
      </c>
      <c r="H79">
        <v>1</v>
      </c>
      <c r="I79" t="s">
        <v>58</v>
      </c>
      <c r="J79">
        <v>2030181</v>
      </c>
      <c r="K79" t="s">
        <v>89</v>
      </c>
      <c r="N79">
        <v>1</v>
      </c>
    </row>
    <row r="80" ht="23.1" customHeight="1" spans="1:14">
      <c r="A80">
        <v>1030182</v>
      </c>
      <c r="B80" s="8">
        <v>182</v>
      </c>
      <c r="C80">
        <v>1300182</v>
      </c>
      <c r="D80" t="s">
        <v>138</v>
      </c>
      <c r="E80">
        <v>3</v>
      </c>
      <c r="F80" t="s">
        <v>57</v>
      </c>
      <c r="G80">
        <v>1</v>
      </c>
      <c r="H80">
        <v>1</v>
      </c>
      <c r="I80" t="s">
        <v>58</v>
      </c>
      <c r="J80">
        <v>2030182</v>
      </c>
      <c r="K80" t="s">
        <v>89</v>
      </c>
      <c r="N80">
        <v>1</v>
      </c>
    </row>
    <row r="81" ht="23.1" customHeight="1" spans="1:14">
      <c r="A81">
        <v>1030183</v>
      </c>
      <c r="B81" s="8">
        <v>183</v>
      </c>
      <c r="C81">
        <v>1300183</v>
      </c>
      <c r="D81" t="s">
        <v>139</v>
      </c>
      <c r="E81">
        <v>3</v>
      </c>
      <c r="F81" t="s">
        <v>57</v>
      </c>
      <c r="G81">
        <v>2</v>
      </c>
      <c r="H81">
        <v>1</v>
      </c>
      <c r="I81" t="s">
        <v>58</v>
      </c>
      <c r="J81">
        <v>2030183</v>
      </c>
      <c r="K81" t="s">
        <v>89</v>
      </c>
      <c r="N81">
        <v>1</v>
      </c>
    </row>
    <row r="82" ht="23.1" customHeight="1" spans="1:14">
      <c r="A82">
        <v>1030184</v>
      </c>
      <c r="B82" s="8">
        <v>184</v>
      </c>
      <c r="C82">
        <v>1300184</v>
      </c>
      <c r="D82" t="s">
        <v>140</v>
      </c>
      <c r="E82">
        <v>3</v>
      </c>
      <c r="F82" t="s">
        <v>57</v>
      </c>
      <c r="G82">
        <v>2</v>
      </c>
      <c r="H82">
        <v>1</v>
      </c>
      <c r="I82" t="s">
        <v>58</v>
      </c>
      <c r="J82">
        <v>2030184</v>
      </c>
      <c r="K82" t="s">
        <v>89</v>
      </c>
      <c r="N82">
        <v>1</v>
      </c>
    </row>
    <row r="83" ht="23.1" customHeight="1" spans="1:14">
      <c r="A83">
        <v>1030185</v>
      </c>
      <c r="B83" s="8">
        <v>185</v>
      </c>
      <c r="C83">
        <v>1300185</v>
      </c>
      <c r="D83" t="s">
        <v>141</v>
      </c>
      <c r="E83">
        <v>3</v>
      </c>
      <c r="F83" t="s">
        <v>57</v>
      </c>
      <c r="G83">
        <v>3</v>
      </c>
      <c r="H83">
        <v>1</v>
      </c>
      <c r="I83" t="s">
        <v>58</v>
      </c>
      <c r="J83">
        <v>2030185</v>
      </c>
      <c r="K83" t="s">
        <v>89</v>
      </c>
      <c r="N83">
        <v>1</v>
      </c>
    </row>
    <row r="84" ht="23.1" customHeight="1" spans="1:14">
      <c r="A84">
        <v>1030186</v>
      </c>
      <c r="B84" s="8">
        <v>186</v>
      </c>
      <c r="C84">
        <v>1300186</v>
      </c>
      <c r="D84" t="s">
        <v>142</v>
      </c>
      <c r="E84">
        <v>3</v>
      </c>
      <c r="F84" t="s">
        <v>57</v>
      </c>
      <c r="G84">
        <v>3</v>
      </c>
      <c r="H84">
        <v>1</v>
      </c>
      <c r="I84" t="s">
        <v>58</v>
      </c>
      <c r="J84">
        <v>2030186</v>
      </c>
      <c r="K84" t="s">
        <v>89</v>
      </c>
      <c r="N84">
        <v>1</v>
      </c>
    </row>
    <row r="85" ht="23.1" customHeight="1" spans="1:14">
      <c r="A85">
        <v>1030187</v>
      </c>
      <c r="B85" s="8">
        <v>187</v>
      </c>
      <c r="C85">
        <v>1300187</v>
      </c>
      <c r="D85" t="s">
        <v>143</v>
      </c>
      <c r="E85">
        <v>3</v>
      </c>
      <c r="F85" t="s">
        <v>57</v>
      </c>
      <c r="G85">
        <v>4</v>
      </c>
      <c r="H85">
        <v>1</v>
      </c>
      <c r="I85" t="s">
        <v>58</v>
      </c>
      <c r="J85">
        <v>2030187</v>
      </c>
      <c r="K85" t="s">
        <v>89</v>
      </c>
      <c r="N85">
        <v>1</v>
      </c>
    </row>
    <row r="86" ht="23.1" customHeight="1" spans="1:14">
      <c r="A86">
        <v>1030188</v>
      </c>
      <c r="B86" s="8">
        <v>188</v>
      </c>
      <c r="C86">
        <v>1300188</v>
      </c>
      <c r="D86" t="s">
        <v>144</v>
      </c>
      <c r="E86">
        <v>3</v>
      </c>
      <c r="F86" t="s">
        <v>57</v>
      </c>
      <c r="G86">
        <v>4</v>
      </c>
      <c r="H86">
        <v>1</v>
      </c>
      <c r="I86" t="s">
        <v>58</v>
      </c>
      <c r="J86">
        <v>2030188</v>
      </c>
      <c r="K86" t="s">
        <v>89</v>
      </c>
      <c r="N86">
        <v>1</v>
      </c>
    </row>
    <row r="87" ht="23.1" customHeight="1" spans="1:14">
      <c r="A87">
        <v>1030189</v>
      </c>
      <c r="B87" s="8">
        <v>189</v>
      </c>
      <c r="C87">
        <v>1300189</v>
      </c>
      <c r="D87" t="s">
        <v>145</v>
      </c>
      <c r="E87">
        <v>3</v>
      </c>
      <c r="F87" t="s">
        <v>57</v>
      </c>
      <c r="G87">
        <v>5</v>
      </c>
      <c r="H87">
        <v>1</v>
      </c>
      <c r="I87" t="s">
        <v>58</v>
      </c>
      <c r="J87">
        <v>2030189</v>
      </c>
      <c r="K87" t="s">
        <v>89</v>
      </c>
      <c r="N87">
        <v>1</v>
      </c>
    </row>
    <row r="88" ht="23.1" customHeight="1" spans="1:14">
      <c r="A88">
        <v>1030190</v>
      </c>
      <c r="B88" s="8">
        <v>190</v>
      </c>
      <c r="C88">
        <v>1300190</v>
      </c>
      <c r="D88" t="s">
        <v>146</v>
      </c>
      <c r="E88">
        <v>3</v>
      </c>
      <c r="F88" t="s">
        <v>57</v>
      </c>
      <c r="G88">
        <v>5</v>
      </c>
      <c r="H88">
        <v>1</v>
      </c>
      <c r="I88" t="s">
        <v>58</v>
      </c>
      <c r="J88">
        <v>2030190</v>
      </c>
      <c r="K88" t="s">
        <v>89</v>
      </c>
      <c r="N88">
        <v>1</v>
      </c>
    </row>
    <row r="89" ht="23.1" customHeight="1" spans="1:14">
      <c r="A89">
        <v>1030191</v>
      </c>
      <c r="B89" s="8">
        <v>191</v>
      </c>
      <c r="C89">
        <v>1300191</v>
      </c>
      <c r="D89" t="s">
        <v>147</v>
      </c>
      <c r="E89">
        <v>3</v>
      </c>
      <c r="F89" t="s">
        <v>57</v>
      </c>
      <c r="G89">
        <v>6</v>
      </c>
      <c r="H89">
        <v>1</v>
      </c>
      <c r="I89" t="s">
        <v>58</v>
      </c>
      <c r="J89">
        <v>2030191</v>
      </c>
      <c r="K89" t="s">
        <v>89</v>
      </c>
      <c r="N89">
        <v>1</v>
      </c>
    </row>
    <row r="90" ht="23.1" customHeight="1" spans="1:14">
      <c r="A90">
        <v>1030192</v>
      </c>
      <c r="B90" s="8">
        <v>192</v>
      </c>
      <c r="C90">
        <v>1300192</v>
      </c>
      <c r="D90" t="s">
        <v>148</v>
      </c>
      <c r="E90">
        <v>3</v>
      </c>
      <c r="F90" t="s">
        <v>57</v>
      </c>
      <c r="G90">
        <v>6</v>
      </c>
      <c r="H90">
        <v>1</v>
      </c>
      <c r="I90" t="s">
        <v>58</v>
      </c>
      <c r="J90">
        <v>2030192</v>
      </c>
      <c r="K90" t="s">
        <v>89</v>
      </c>
      <c r="N90">
        <v>1</v>
      </c>
    </row>
    <row r="91" ht="23.1" customHeight="1" spans="1:14">
      <c r="A91">
        <v>1030201</v>
      </c>
      <c r="B91" s="8">
        <v>201</v>
      </c>
      <c r="C91">
        <v>1300201</v>
      </c>
      <c r="D91" t="s">
        <v>149</v>
      </c>
      <c r="E91">
        <v>3</v>
      </c>
      <c r="F91" t="s">
        <v>57</v>
      </c>
      <c r="G91">
        <v>1</v>
      </c>
      <c r="H91">
        <v>1</v>
      </c>
      <c r="I91" t="s">
        <v>58</v>
      </c>
      <c r="J91">
        <v>2030201</v>
      </c>
      <c r="K91" t="s">
        <v>89</v>
      </c>
      <c r="N91">
        <v>1</v>
      </c>
    </row>
    <row r="92" ht="23.1" customHeight="1" spans="1:14">
      <c r="A92">
        <v>1030202</v>
      </c>
      <c r="B92" s="8">
        <v>202</v>
      </c>
      <c r="C92">
        <v>1300202</v>
      </c>
      <c r="D92" t="s">
        <v>150</v>
      </c>
      <c r="E92">
        <v>3</v>
      </c>
      <c r="F92" t="s">
        <v>57</v>
      </c>
      <c r="G92">
        <v>1</v>
      </c>
      <c r="H92">
        <v>1</v>
      </c>
      <c r="I92" t="s">
        <v>58</v>
      </c>
      <c r="J92">
        <v>2030202</v>
      </c>
      <c r="K92" t="s">
        <v>89</v>
      </c>
      <c r="N92">
        <v>1</v>
      </c>
    </row>
    <row r="93" ht="23.1" customHeight="1" spans="1:14">
      <c r="A93">
        <v>1030203</v>
      </c>
      <c r="B93" s="8">
        <v>203</v>
      </c>
      <c r="C93">
        <v>1300203</v>
      </c>
      <c r="D93" t="s">
        <v>151</v>
      </c>
      <c r="E93">
        <v>3</v>
      </c>
      <c r="F93" t="s">
        <v>57</v>
      </c>
      <c r="G93">
        <v>2</v>
      </c>
      <c r="H93">
        <v>1</v>
      </c>
      <c r="I93" t="s">
        <v>58</v>
      </c>
      <c r="J93">
        <v>2030203</v>
      </c>
      <c r="K93" t="s">
        <v>89</v>
      </c>
      <c r="N93">
        <v>1</v>
      </c>
    </row>
    <row r="94" ht="23.1" customHeight="1" spans="1:14">
      <c r="A94">
        <v>1030204</v>
      </c>
      <c r="B94" s="8">
        <v>204</v>
      </c>
      <c r="C94">
        <v>1300204</v>
      </c>
      <c r="D94" t="s">
        <v>152</v>
      </c>
      <c r="E94">
        <v>3</v>
      </c>
      <c r="F94" t="s">
        <v>57</v>
      </c>
      <c r="G94">
        <v>2</v>
      </c>
      <c r="H94">
        <v>1</v>
      </c>
      <c r="I94" t="s">
        <v>58</v>
      </c>
      <c r="J94">
        <v>2030204</v>
      </c>
      <c r="K94" t="s">
        <v>89</v>
      </c>
      <c r="N94">
        <v>1</v>
      </c>
    </row>
    <row r="95" ht="23.1" customHeight="1" spans="1:14">
      <c r="A95">
        <v>1030205</v>
      </c>
      <c r="B95" s="8">
        <v>205</v>
      </c>
      <c r="C95">
        <v>1300205</v>
      </c>
      <c r="D95" t="s">
        <v>153</v>
      </c>
      <c r="E95">
        <v>3</v>
      </c>
      <c r="F95" t="s">
        <v>57</v>
      </c>
      <c r="G95">
        <v>3</v>
      </c>
      <c r="H95">
        <v>1</v>
      </c>
      <c r="I95" t="s">
        <v>58</v>
      </c>
      <c r="J95">
        <v>2030205</v>
      </c>
      <c r="K95" t="s">
        <v>89</v>
      </c>
      <c r="N95">
        <v>1</v>
      </c>
    </row>
    <row r="96" ht="23.1" customHeight="1" spans="1:14">
      <c r="A96">
        <v>1030206</v>
      </c>
      <c r="B96" s="8">
        <v>206</v>
      </c>
      <c r="C96">
        <v>1300206</v>
      </c>
      <c r="D96" t="s">
        <v>154</v>
      </c>
      <c r="E96">
        <v>3</v>
      </c>
      <c r="F96" t="s">
        <v>57</v>
      </c>
      <c r="G96">
        <v>3</v>
      </c>
      <c r="H96">
        <v>1</v>
      </c>
      <c r="I96" t="s">
        <v>58</v>
      </c>
      <c r="J96">
        <v>2030206</v>
      </c>
      <c r="K96" t="s">
        <v>89</v>
      </c>
      <c r="N96">
        <v>1</v>
      </c>
    </row>
    <row r="97" ht="23.1" customHeight="1" spans="1:14">
      <c r="A97">
        <v>1030207</v>
      </c>
      <c r="B97" s="8">
        <v>207</v>
      </c>
      <c r="C97">
        <v>1300207</v>
      </c>
      <c r="D97" t="s">
        <v>155</v>
      </c>
      <c r="E97">
        <v>3</v>
      </c>
      <c r="F97" t="s">
        <v>57</v>
      </c>
      <c r="G97">
        <v>4</v>
      </c>
      <c r="H97">
        <v>1</v>
      </c>
      <c r="I97" t="s">
        <v>58</v>
      </c>
      <c r="J97">
        <v>2030207</v>
      </c>
      <c r="K97" t="s">
        <v>89</v>
      </c>
      <c r="N97">
        <v>1</v>
      </c>
    </row>
    <row r="98" ht="23.1" customHeight="1" spans="1:14">
      <c r="A98">
        <v>1030208</v>
      </c>
      <c r="B98" s="8">
        <v>208</v>
      </c>
      <c r="C98">
        <v>1300208</v>
      </c>
      <c r="D98" t="s">
        <v>156</v>
      </c>
      <c r="E98">
        <v>3</v>
      </c>
      <c r="F98" t="s">
        <v>57</v>
      </c>
      <c r="G98">
        <v>4</v>
      </c>
      <c r="H98">
        <v>1</v>
      </c>
      <c r="I98" t="s">
        <v>58</v>
      </c>
      <c r="J98">
        <v>2030208</v>
      </c>
      <c r="K98" t="s">
        <v>89</v>
      </c>
      <c r="N98">
        <v>1</v>
      </c>
    </row>
    <row r="99" ht="23.1" customHeight="1" spans="1:14">
      <c r="A99">
        <v>1030209</v>
      </c>
      <c r="B99" s="8">
        <v>209</v>
      </c>
      <c r="C99">
        <v>1300209</v>
      </c>
      <c r="D99" t="s">
        <v>157</v>
      </c>
      <c r="E99">
        <v>3</v>
      </c>
      <c r="F99" t="s">
        <v>57</v>
      </c>
      <c r="G99">
        <v>5</v>
      </c>
      <c r="H99">
        <v>1</v>
      </c>
      <c r="I99" t="s">
        <v>58</v>
      </c>
      <c r="J99">
        <v>2030209</v>
      </c>
      <c r="K99" t="s">
        <v>89</v>
      </c>
      <c r="N99">
        <v>1</v>
      </c>
    </row>
    <row r="100" ht="23.1" customHeight="1" spans="1:14">
      <c r="A100">
        <v>1030210</v>
      </c>
      <c r="B100" s="8">
        <v>210</v>
      </c>
      <c r="C100">
        <v>1300210</v>
      </c>
      <c r="D100" t="s">
        <v>158</v>
      </c>
      <c r="E100">
        <v>3</v>
      </c>
      <c r="F100" t="s">
        <v>57</v>
      </c>
      <c r="G100">
        <v>5</v>
      </c>
      <c r="H100">
        <v>1</v>
      </c>
      <c r="I100" t="s">
        <v>58</v>
      </c>
      <c r="J100">
        <v>2030210</v>
      </c>
      <c r="K100" t="s">
        <v>89</v>
      </c>
      <c r="N100">
        <v>1</v>
      </c>
    </row>
    <row r="101" ht="23.1" customHeight="1" spans="1:14">
      <c r="A101">
        <v>1030211</v>
      </c>
      <c r="B101" s="8">
        <v>211</v>
      </c>
      <c r="C101">
        <v>1300211</v>
      </c>
      <c r="D101" t="s">
        <v>159</v>
      </c>
      <c r="E101">
        <v>3</v>
      </c>
      <c r="F101" t="s">
        <v>57</v>
      </c>
      <c r="G101">
        <v>6</v>
      </c>
      <c r="H101">
        <v>1</v>
      </c>
      <c r="I101" t="s">
        <v>58</v>
      </c>
      <c r="J101">
        <v>2030211</v>
      </c>
      <c r="K101" t="s">
        <v>89</v>
      </c>
      <c r="N101">
        <v>1</v>
      </c>
    </row>
    <row r="102" ht="23.1" customHeight="1" spans="1:14">
      <c r="A102">
        <v>1030212</v>
      </c>
      <c r="B102" s="8">
        <v>212</v>
      </c>
      <c r="C102">
        <v>1300212</v>
      </c>
      <c r="D102" t="s">
        <v>160</v>
      </c>
      <c r="E102">
        <v>3</v>
      </c>
      <c r="F102" t="s">
        <v>57</v>
      </c>
      <c r="G102">
        <v>6</v>
      </c>
      <c r="H102">
        <v>1</v>
      </c>
      <c r="I102" t="s">
        <v>58</v>
      </c>
      <c r="J102">
        <v>2030212</v>
      </c>
      <c r="K102" t="s">
        <v>89</v>
      </c>
      <c r="N102">
        <v>1</v>
      </c>
    </row>
    <row r="103" ht="23.1" customHeight="1" spans="1:14">
      <c r="A103">
        <v>1030221</v>
      </c>
      <c r="B103" s="8">
        <v>221</v>
      </c>
      <c r="C103">
        <v>1300221</v>
      </c>
      <c r="D103" t="s">
        <v>161</v>
      </c>
      <c r="E103">
        <v>3</v>
      </c>
      <c r="F103" t="s">
        <v>57</v>
      </c>
      <c r="G103">
        <v>1</v>
      </c>
      <c r="H103">
        <v>1</v>
      </c>
      <c r="I103" t="s">
        <v>58</v>
      </c>
      <c r="J103">
        <v>2030221</v>
      </c>
      <c r="K103" t="s">
        <v>89</v>
      </c>
      <c r="N103">
        <v>1</v>
      </c>
    </row>
    <row r="104" ht="23.1" customHeight="1" spans="1:14">
      <c r="A104">
        <v>1030222</v>
      </c>
      <c r="B104" s="8">
        <v>222</v>
      </c>
      <c r="C104">
        <v>1300222</v>
      </c>
      <c r="D104" t="s">
        <v>162</v>
      </c>
      <c r="E104">
        <v>3</v>
      </c>
      <c r="F104" t="s">
        <v>57</v>
      </c>
      <c r="G104">
        <v>1</v>
      </c>
      <c r="H104">
        <v>1</v>
      </c>
      <c r="I104" t="s">
        <v>58</v>
      </c>
      <c r="J104">
        <v>2030222</v>
      </c>
      <c r="K104" t="s">
        <v>89</v>
      </c>
      <c r="N104">
        <v>1</v>
      </c>
    </row>
    <row r="105" ht="23.1" customHeight="1" spans="1:14">
      <c r="A105">
        <v>1030223</v>
      </c>
      <c r="B105" s="8">
        <v>223</v>
      </c>
      <c r="C105">
        <v>1300223</v>
      </c>
      <c r="D105" t="s">
        <v>163</v>
      </c>
      <c r="E105">
        <v>3</v>
      </c>
      <c r="F105" t="s">
        <v>57</v>
      </c>
      <c r="G105">
        <v>2</v>
      </c>
      <c r="H105">
        <v>1</v>
      </c>
      <c r="I105" t="s">
        <v>58</v>
      </c>
      <c r="J105">
        <v>2030223</v>
      </c>
      <c r="K105" t="s">
        <v>89</v>
      </c>
      <c r="N105">
        <v>1</v>
      </c>
    </row>
    <row r="106" ht="23.1" customHeight="1" spans="1:14">
      <c r="A106">
        <v>1030224</v>
      </c>
      <c r="B106" s="8">
        <v>224</v>
      </c>
      <c r="C106">
        <v>1300224</v>
      </c>
      <c r="D106" t="s">
        <v>164</v>
      </c>
      <c r="E106">
        <v>3</v>
      </c>
      <c r="F106" t="s">
        <v>57</v>
      </c>
      <c r="G106">
        <v>2</v>
      </c>
      <c r="H106">
        <v>1</v>
      </c>
      <c r="I106" t="s">
        <v>58</v>
      </c>
      <c r="J106">
        <v>2030224</v>
      </c>
      <c r="K106" t="s">
        <v>89</v>
      </c>
      <c r="N106">
        <v>1</v>
      </c>
    </row>
    <row r="107" ht="23.1" customHeight="1" spans="1:14">
      <c r="A107">
        <v>1030225</v>
      </c>
      <c r="B107" s="8">
        <v>225</v>
      </c>
      <c r="C107">
        <v>1300225</v>
      </c>
      <c r="D107" t="s">
        <v>165</v>
      </c>
      <c r="E107">
        <v>3</v>
      </c>
      <c r="F107" t="s">
        <v>57</v>
      </c>
      <c r="G107">
        <v>3</v>
      </c>
      <c r="H107">
        <v>1</v>
      </c>
      <c r="I107" t="s">
        <v>58</v>
      </c>
      <c r="J107">
        <v>2030225</v>
      </c>
      <c r="K107" t="s">
        <v>89</v>
      </c>
      <c r="N107">
        <v>1</v>
      </c>
    </row>
    <row r="108" ht="23.1" customHeight="1" spans="1:14">
      <c r="A108">
        <v>1030226</v>
      </c>
      <c r="B108" s="8">
        <v>226</v>
      </c>
      <c r="C108">
        <v>1300226</v>
      </c>
      <c r="D108" t="s">
        <v>166</v>
      </c>
      <c r="E108">
        <v>3</v>
      </c>
      <c r="F108" t="s">
        <v>57</v>
      </c>
      <c r="G108">
        <v>3</v>
      </c>
      <c r="H108">
        <v>1</v>
      </c>
      <c r="I108" t="s">
        <v>58</v>
      </c>
      <c r="J108">
        <v>2030226</v>
      </c>
      <c r="K108" t="s">
        <v>89</v>
      </c>
      <c r="N108">
        <v>1</v>
      </c>
    </row>
    <row r="109" ht="23.1" customHeight="1" spans="1:14">
      <c r="A109">
        <v>1030227</v>
      </c>
      <c r="B109" s="8">
        <v>227</v>
      </c>
      <c r="C109">
        <v>1300227</v>
      </c>
      <c r="D109" t="s">
        <v>167</v>
      </c>
      <c r="E109">
        <v>3</v>
      </c>
      <c r="F109" t="s">
        <v>57</v>
      </c>
      <c r="G109">
        <v>4</v>
      </c>
      <c r="H109">
        <v>1</v>
      </c>
      <c r="I109" t="s">
        <v>58</v>
      </c>
      <c r="J109">
        <v>2030227</v>
      </c>
      <c r="K109" t="s">
        <v>89</v>
      </c>
      <c r="N109">
        <v>1</v>
      </c>
    </row>
    <row r="110" ht="23.1" customHeight="1" spans="1:14">
      <c r="A110">
        <v>1030228</v>
      </c>
      <c r="B110" s="8">
        <v>228</v>
      </c>
      <c r="C110">
        <v>1300228</v>
      </c>
      <c r="D110" t="s">
        <v>168</v>
      </c>
      <c r="E110">
        <v>3</v>
      </c>
      <c r="F110" t="s">
        <v>57</v>
      </c>
      <c r="G110">
        <v>4</v>
      </c>
      <c r="H110">
        <v>1</v>
      </c>
      <c r="I110" t="s">
        <v>58</v>
      </c>
      <c r="J110">
        <v>2030228</v>
      </c>
      <c r="K110" t="s">
        <v>89</v>
      </c>
      <c r="N110">
        <v>1</v>
      </c>
    </row>
    <row r="111" ht="23.1" customHeight="1" spans="1:14">
      <c r="A111">
        <v>1030229</v>
      </c>
      <c r="B111" s="8">
        <v>229</v>
      </c>
      <c r="C111">
        <v>1300229</v>
      </c>
      <c r="D111" t="s">
        <v>169</v>
      </c>
      <c r="E111">
        <v>3</v>
      </c>
      <c r="F111" t="s">
        <v>57</v>
      </c>
      <c r="G111">
        <v>5</v>
      </c>
      <c r="H111">
        <v>1</v>
      </c>
      <c r="I111" t="s">
        <v>58</v>
      </c>
      <c r="J111">
        <v>2030229</v>
      </c>
      <c r="K111" t="s">
        <v>89</v>
      </c>
      <c r="N111">
        <v>1</v>
      </c>
    </row>
    <row r="112" ht="23.1" customHeight="1" spans="1:14">
      <c r="A112">
        <v>1030230</v>
      </c>
      <c r="B112" s="8">
        <v>230</v>
      </c>
      <c r="C112">
        <v>1300230</v>
      </c>
      <c r="D112" t="s">
        <v>170</v>
      </c>
      <c r="E112">
        <v>3</v>
      </c>
      <c r="F112" t="s">
        <v>57</v>
      </c>
      <c r="G112">
        <v>5</v>
      </c>
      <c r="H112">
        <v>1</v>
      </c>
      <c r="I112" t="s">
        <v>58</v>
      </c>
      <c r="J112">
        <v>2030230</v>
      </c>
      <c r="K112" t="s">
        <v>89</v>
      </c>
      <c r="N112">
        <v>1</v>
      </c>
    </row>
    <row r="113" ht="23.1" customHeight="1" spans="1:14">
      <c r="A113">
        <v>1030231</v>
      </c>
      <c r="B113" s="8">
        <v>231</v>
      </c>
      <c r="C113">
        <v>1300231</v>
      </c>
      <c r="D113" t="s">
        <v>171</v>
      </c>
      <c r="E113">
        <v>3</v>
      </c>
      <c r="F113" t="s">
        <v>57</v>
      </c>
      <c r="G113">
        <v>6</v>
      </c>
      <c r="H113">
        <v>1</v>
      </c>
      <c r="I113" t="s">
        <v>58</v>
      </c>
      <c r="J113">
        <v>2030231</v>
      </c>
      <c r="K113" t="s">
        <v>89</v>
      </c>
      <c r="N113">
        <v>1</v>
      </c>
    </row>
    <row r="114" ht="23.1" customHeight="1" spans="1:14">
      <c r="A114">
        <v>1030232</v>
      </c>
      <c r="B114" s="8">
        <v>232</v>
      </c>
      <c r="C114">
        <v>1300232</v>
      </c>
      <c r="D114" t="s">
        <v>172</v>
      </c>
      <c r="E114">
        <v>3</v>
      </c>
      <c r="F114" t="s">
        <v>57</v>
      </c>
      <c r="G114">
        <v>6</v>
      </c>
      <c r="H114">
        <v>1</v>
      </c>
      <c r="I114" t="s">
        <v>58</v>
      </c>
      <c r="J114">
        <v>2030232</v>
      </c>
      <c r="K114" t="s">
        <v>89</v>
      </c>
      <c r="N114">
        <v>1</v>
      </c>
    </row>
    <row r="115" ht="23.1" customHeight="1" spans="1:14">
      <c r="A115">
        <v>1030241</v>
      </c>
      <c r="B115" s="8">
        <v>241</v>
      </c>
      <c r="C115">
        <v>1300241</v>
      </c>
      <c r="D115" t="s">
        <v>173</v>
      </c>
      <c r="E115">
        <v>3</v>
      </c>
      <c r="F115" t="s">
        <v>57</v>
      </c>
      <c r="G115">
        <v>1</v>
      </c>
      <c r="H115">
        <v>1</v>
      </c>
      <c r="I115" t="s">
        <v>58</v>
      </c>
      <c r="J115">
        <v>2030241</v>
      </c>
      <c r="K115" t="s">
        <v>89</v>
      </c>
      <c r="N115">
        <v>1</v>
      </c>
    </row>
    <row r="116" ht="23.1" customHeight="1" spans="1:14">
      <c r="A116">
        <v>1030242</v>
      </c>
      <c r="B116" s="8">
        <v>242</v>
      </c>
      <c r="C116">
        <v>1300242</v>
      </c>
      <c r="D116" t="s">
        <v>174</v>
      </c>
      <c r="E116">
        <v>3</v>
      </c>
      <c r="F116" t="s">
        <v>57</v>
      </c>
      <c r="G116">
        <v>1</v>
      </c>
      <c r="H116">
        <v>1</v>
      </c>
      <c r="I116" t="s">
        <v>58</v>
      </c>
      <c r="J116">
        <v>2030242</v>
      </c>
      <c r="K116" t="s">
        <v>89</v>
      </c>
      <c r="N116">
        <v>1</v>
      </c>
    </row>
    <row r="117" ht="23.1" customHeight="1" spans="1:14">
      <c r="A117">
        <v>1030243</v>
      </c>
      <c r="B117" s="8">
        <v>243</v>
      </c>
      <c r="C117">
        <v>1300243</v>
      </c>
      <c r="D117" t="s">
        <v>175</v>
      </c>
      <c r="E117">
        <v>3</v>
      </c>
      <c r="F117" t="s">
        <v>57</v>
      </c>
      <c r="G117">
        <v>2</v>
      </c>
      <c r="H117">
        <v>1</v>
      </c>
      <c r="I117" t="s">
        <v>58</v>
      </c>
      <c r="J117">
        <v>2030243</v>
      </c>
      <c r="K117" t="s">
        <v>89</v>
      </c>
      <c r="N117">
        <v>1</v>
      </c>
    </row>
    <row r="118" ht="23.1" customHeight="1" spans="1:14">
      <c r="A118">
        <v>1030244</v>
      </c>
      <c r="B118" s="8">
        <v>244</v>
      </c>
      <c r="C118">
        <v>1300244</v>
      </c>
      <c r="D118" t="s">
        <v>176</v>
      </c>
      <c r="E118">
        <v>3</v>
      </c>
      <c r="F118" t="s">
        <v>57</v>
      </c>
      <c r="G118">
        <v>2</v>
      </c>
      <c r="H118">
        <v>1</v>
      </c>
      <c r="I118" t="s">
        <v>58</v>
      </c>
      <c r="J118">
        <v>2030244</v>
      </c>
      <c r="K118" t="s">
        <v>89</v>
      </c>
      <c r="N118">
        <v>1</v>
      </c>
    </row>
    <row r="119" ht="23.1" customHeight="1" spans="1:14">
      <c r="A119">
        <v>1030245</v>
      </c>
      <c r="B119" s="8">
        <v>245</v>
      </c>
      <c r="C119">
        <v>1300245</v>
      </c>
      <c r="D119" t="s">
        <v>177</v>
      </c>
      <c r="E119">
        <v>3</v>
      </c>
      <c r="F119" t="s">
        <v>57</v>
      </c>
      <c r="G119">
        <v>3</v>
      </c>
      <c r="H119">
        <v>1</v>
      </c>
      <c r="I119" t="s">
        <v>58</v>
      </c>
      <c r="J119">
        <v>2030245</v>
      </c>
      <c r="K119" t="s">
        <v>89</v>
      </c>
      <c r="N119">
        <v>1</v>
      </c>
    </row>
    <row r="120" ht="23.1" customHeight="1" spans="1:14">
      <c r="A120">
        <v>1030246</v>
      </c>
      <c r="B120" s="8">
        <v>246</v>
      </c>
      <c r="C120">
        <v>1300246</v>
      </c>
      <c r="D120" t="s">
        <v>178</v>
      </c>
      <c r="E120">
        <v>3</v>
      </c>
      <c r="F120" t="s">
        <v>57</v>
      </c>
      <c r="G120">
        <v>3</v>
      </c>
      <c r="H120">
        <v>1</v>
      </c>
      <c r="I120" t="s">
        <v>58</v>
      </c>
      <c r="J120">
        <v>2030246</v>
      </c>
      <c r="K120" t="s">
        <v>89</v>
      </c>
      <c r="N120">
        <v>1</v>
      </c>
    </row>
    <row r="121" ht="23.1" customHeight="1" spans="1:14">
      <c r="A121">
        <v>1030247</v>
      </c>
      <c r="B121" s="8">
        <v>247</v>
      </c>
      <c r="C121">
        <v>1300247</v>
      </c>
      <c r="D121" t="s">
        <v>179</v>
      </c>
      <c r="E121">
        <v>3</v>
      </c>
      <c r="F121" t="s">
        <v>57</v>
      </c>
      <c r="G121">
        <v>4</v>
      </c>
      <c r="H121">
        <v>1</v>
      </c>
      <c r="I121" t="s">
        <v>58</v>
      </c>
      <c r="J121">
        <v>2030247</v>
      </c>
      <c r="K121" t="s">
        <v>89</v>
      </c>
      <c r="N121">
        <v>1</v>
      </c>
    </row>
    <row r="122" ht="23.1" customHeight="1" spans="1:14">
      <c r="A122">
        <v>1030248</v>
      </c>
      <c r="B122" s="8">
        <v>248</v>
      </c>
      <c r="C122">
        <v>1300248</v>
      </c>
      <c r="D122" t="s">
        <v>180</v>
      </c>
      <c r="E122">
        <v>3</v>
      </c>
      <c r="F122" t="s">
        <v>57</v>
      </c>
      <c r="G122">
        <v>4</v>
      </c>
      <c r="H122">
        <v>1</v>
      </c>
      <c r="I122" t="s">
        <v>58</v>
      </c>
      <c r="J122">
        <v>2030248</v>
      </c>
      <c r="K122" t="s">
        <v>89</v>
      </c>
      <c r="N122">
        <v>1</v>
      </c>
    </row>
    <row r="123" ht="23.1" customHeight="1" spans="1:14">
      <c r="A123">
        <v>1030249</v>
      </c>
      <c r="B123" s="8">
        <v>249</v>
      </c>
      <c r="C123">
        <v>1300249</v>
      </c>
      <c r="D123" t="s">
        <v>181</v>
      </c>
      <c r="E123">
        <v>3</v>
      </c>
      <c r="F123" t="s">
        <v>57</v>
      </c>
      <c r="G123">
        <v>5</v>
      </c>
      <c r="H123">
        <v>1</v>
      </c>
      <c r="I123" t="s">
        <v>58</v>
      </c>
      <c r="J123">
        <v>2030249</v>
      </c>
      <c r="K123" t="s">
        <v>89</v>
      </c>
      <c r="N123">
        <v>1</v>
      </c>
    </row>
    <row r="124" ht="23.1" customHeight="1" spans="1:14">
      <c r="A124">
        <v>1030250</v>
      </c>
      <c r="B124" s="8">
        <v>250</v>
      </c>
      <c r="C124">
        <v>1300250</v>
      </c>
      <c r="D124" t="s">
        <v>182</v>
      </c>
      <c r="E124">
        <v>3</v>
      </c>
      <c r="F124" t="s">
        <v>57</v>
      </c>
      <c r="G124">
        <v>5</v>
      </c>
      <c r="H124">
        <v>1</v>
      </c>
      <c r="I124" t="s">
        <v>58</v>
      </c>
      <c r="J124">
        <v>2030250</v>
      </c>
      <c r="K124" t="s">
        <v>89</v>
      </c>
      <c r="N124">
        <v>1</v>
      </c>
    </row>
    <row r="125" ht="23.1" customHeight="1" spans="1:14">
      <c r="A125">
        <v>1030251</v>
      </c>
      <c r="B125" s="8">
        <v>251</v>
      </c>
      <c r="C125">
        <v>1300251</v>
      </c>
      <c r="D125" t="s">
        <v>183</v>
      </c>
      <c r="E125">
        <v>3</v>
      </c>
      <c r="F125" t="s">
        <v>57</v>
      </c>
      <c r="G125">
        <v>6</v>
      </c>
      <c r="H125">
        <v>1</v>
      </c>
      <c r="I125" t="s">
        <v>58</v>
      </c>
      <c r="J125">
        <v>2030251</v>
      </c>
      <c r="K125" t="s">
        <v>89</v>
      </c>
      <c r="N125">
        <v>1</v>
      </c>
    </row>
    <row r="126" ht="23.1" customHeight="1" spans="1:14">
      <c r="A126">
        <v>1030252</v>
      </c>
      <c r="B126" s="8">
        <v>252</v>
      </c>
      <c r="C126">
        <v>1300252</v>
      </c>
      <c r="D126" t="s">
        <v>184</v>
      </c>
      <c r="E126">
        <v>3</v>
      </c>
      <c r="F126" t="s">
        <v>57</v>
      </c>
      <c r="G126">
        <v>6</v>
      </c>
      <c r="H126">
        <v>1</v>
      </c>
      <c r="I126" t="s">
        <v>58</v>
      </c>
      <c r="J126">
        <v>2030252</v>
      </c>
      <c r="K126" t="s">
        <v>89</v>
      </c>
      <c r="N126">
        <v>1</v>
      </c>
    </row>
    <row r="127" ht="23.1" customHeight="1" spans="1:14">
      <c r="A127">
        <v>1031001</v>
      </c>
      <c r="B127" s="8">
        <v>1001</v>
      </c>
      <c r="C127">
        <v>1301001</v>
      </c>
      <c r="D127" s="8" t="s">
        <v>185</v>
      </c>
      <c r="E127">
        <v>3</v>
      </c>
      <c r="F127" t="s">
        <v>57</v>
      </c>
      <c r="G127">
        <v>1</v>
      </c>
      <c r="H127">
        <v>1</v>
      </c>
      <c r="I127" t="s">
        <v>186</v>
      </c>
      <c r="J127">
        <v>2031001</v>
      </c>
      <c r="L127">
        <v>2</v>
      </c>
      <c r="N127">
        <v>1</v>
      </c>
    </row>
    <row r="128" ht="23.1" customHeight="1" spans="1:14">
      <c r="A128">
        <v>1031002</v>
      </c>
      <c r="B128" s="8">
        <v>1002</v>
      </c>
      <c r="C128">
        <v>1301002</v>
      </c>
      <c r="D128" s="8" t="s">
        <v>187</v>
      </c>
      <c r="E128">
        <v>3</v>
      </c>
      <c r="F128" t="s">
        <v>57</v>
      </c>
      <c r="G128">
        <v>1</v>
      </c>
      <c r="H128">
        <v>1</v>
      </c>
      <c r="I128" t="s">
        <v>188</v>
      </c>
      <c r="J128">
        <v>2031002</v>
      </c>
      <c r="L128">
        <v>3</v>
      </c>
      <c r="N128">
        <v>1</v>
      </c>
    </row>
    <row r="129" ht="23.1" customHeight="1" spans="1:17">
      <c r="A129">
        <v>1031201</v>
      </c>
      <c r="B129" s="8">
        <v>1201</v>
      </c>
      <c r="C129">
        <v>1301201</v>
      </c>
      <c r="D129" t="s">
        <v>189</v>
      </c>
      <c r="E129">
        <v>3</v>
      </c>
      <c r="F129" t="s">
        <v>57</v>
      </c>
      <c r="G129">
        <v>1</v>
      </c>
      <c r="H129">
        <v>1</v>
      </c>
      <c r="I129" t="s">
        <v>190</v>
      </c>
      <c r="J129">
        <v>2031201</v>
      </c>
      <c r="L129">
        <v>1002</v>
      </c>
      <c r="N129">
        <v>1</v>
      </c>
    </row>
    <row r="130" ht="23.1" customHeight="1" spans="1:17">
      <c r="A130">
        <v>1031202</v>
      </c>
      <c r="B130" s="8">
        <v>1202</v>
      </c>
      <c r="C130">
        <v>1301202</v>
      </c>
      <c r="D130" t="s">
        <v>191</v>
      </c>
      <c r="E130">
        <v>3</v>
      </c>
      <c r="F130" t="s">
        <v>57</v>
      </c>
      <c r="G130">
        <v>1</v>
      </c>
      <c r="H130">
        <v>1</v>
      </c>
      <c r="I130" t="s">
        <v>192</v>
      </c>
      <c r="J130">
        <v>2031202</v>
      </c>
      <c r="L130">
        <v>1003</v>
      </c>
      <c r="N130">
        <v>1</v>
      </c>
    </row>
    <row r="131" ht="23.1" customHeight="1" spans="1:17">
      <c r="A131">
        <v>1031350</v>
      </c>
      <c r="B131" s="8">
        <v>1350</v>
      </c>
      <c r="C131">
        <v>101801</v>
      </c>
      <c r="D131" t="s">
        <v>193</v>
      </c>
      <c r="E131">
        <v>3</v>
      </c>
      <c r="F131" t="s">
        <v>57</v>
      </c>
      <c r="G131">
        <v>1</v>
      </c>
      <c r="H131">
        <v>1</v>
      </c>
      <c r="I131" t="s">
        <v>194</v>
      </c>
      <c r="J131">
        <v>201801</v>
      </c>
      <c r="L131" s="3">
        <v>1005</v>
      </c>
      <c r="N131">
        <v>1</v>
      </c>
    </row>
    <row r="132" ht="23.1" customHeight="1" spans="1:17">
      <c r="A132">
        <v>1031351</v>
      </c>
      <c r="B132" s="8">
        <v>1351</v>
      </c>
      <c r="C132">
        <v>101802</v>
      </c>
      <c r="D132" t="s">
        <v>195</v>
      </c>
      <c r="E132">
        <v>3</v>
      </c>
      <c r="F132" t="s">
        <v>57</v>
      </c>
      <c r="G132">
        <v>1</v>
      </c>
      <c r="H132">
        <v>1</v>
      </c>
      <c r="I132" t="s">
        <v>196</v>
      </c>
      <c r="J132">
        <v>201802</v>
      </c>
      <c r="L132" s="3">
        <v>1006</v>
      </c>
      <c r="N132">
        <v>1</v>
      </c>
    </row>
    <row r="133" ht="23.1" customHeight="1" spans="1:17">
      <c r="A133">
        <v>1021401</v>
      </c>
      <c r="B133" s="8">
        <v>1401</v>
      </c>
      <c r="C133">
        <v>1201401</v>
      </c>
      <c r="D133" s="11" t="s">
        <v>197</v>
      </c>
      <c r="E133">
        <v>2</v>
      </c>
      <c r="F133" t="s">
        <v>57</v>
      </c>
      <c r="G133">
        <v>1</v>
      </c>
      <c r="H133">
        <v>1</v>
      </c>
      <c r="I133" t="s">
        <v>198</v>
      </c>
      <c r="J133">
        <v>2021401</v>
      </c>
      <c r="L133">
        <v>2002</v>
      </c>
      <c r="N133">
        <v>1</v>
      </c>
    </row>
    <row r="134" ht="23.1" customHeight="1" spans="1:17">
      <c r="A134">
        <v>1021402</v>
      </c>
      <c r="B134" s="8">
        <v>1402</v>
      </c>
      <c r="C134">
        <v>1201402</v>
      </c>
      <c r="D134" s="11" t="s">
        <v>199</v>
      </c>
      <c r="E134">
        <v>2</v>
      </c>
      <c r="F134" t="s">
        <v>57</v>
      </c>
      <c r="G134">
        <v>1</v>
      </c>
      <c r="H134">
        <v>1</v>
      </c>
      <c r="I134" t="s">
        <v>198</v>
      </c>
      <c r="J134">
        <v>2021402</v>
      </c>
      <c r="L134">
        <v>2003</v>
      </c>
      <c r="N134">
        <v>1</v>
      </c>
    </row>
    <row r="135" s="3" customFormat="1" ht="23.1" customHeight="1" spans="1:17">
      <c r="A135" s="3">
        <v>1031600</v>
      </c>
      <c r="B135" s="12">
        <v>1600</v>
      </c>
      <c r="C135" s="3">
        <v>103001</v>
      </c>
      <c r="D135" s="13" t="s">
        <v>200</v>
      </c>
      <c r="E135" s="3">
        <v>3</v>
      </c>
      <c r="F135" s="3" t="s">
        <v>57</v>
      </c>
      <c r="G135" s="3">
        <v>1</v>
      </c>
      <c r="H135" s="3">
        <v>1</v>
      </c>
      <c r="I135" t="s">
        <v>201</v>
      </c>
      <c r="J135" s="3">
        <v>2031600</v>
      </c>
      <c r="L135" s="3">
        <v>3001</v>
      </c>
      <c r="N135" s="3">
        <v>1</v>
      </c>
    </row>
    <row r="136" ht="23.1" customHeight="1" spans="1:17">
      <c r="A136">
        <v>1031601</v>
      </c>
      <c r="B136" s="8">
        <v>1601</v>
      </c>
      <c r="C136">
        <v>103002</v>
      </c>
      <c r="D136" s="14" t="s">
        <v>202</v>
      </c>
      <c r="E136">
        <v>3</v>
      </c>
      <c r="F136" t="s">
        <v>57</v>
      </c>
      <c r="G136">
        <v>1</v>
      </c>
      <c r="H136">
        <v>1</v>
      </c>
      <c r="I136" t="s">
        <v>203</v>
      </c>
      <c r="J136">
        <v>2031601</v>
      </c>
      <c r="L136">
        <v>3002</v>
      </c>
      <c r="N136">
        <v>1</v>
      </c>
    </row>
    <row r="137" ht="23.1" customHeight="1" spans="1:17">
      <c r="A137">
        <v>1031602</v>
      </c>
      <c r="B137" s="8">
        <v>1602</v>
      </c>
      <c r="C137">
        <v>103003</v>
      </c>
      <c r="D137" s="14" t="s">
        <v>204</v>
      </c>
      <c r="E137">
        <v>3</v>
      </c>
      <c r="F137" t="s">
        <v>57</v>
      </c>
      <c r="G137">
        <v>1</v>
      </c>
      <c r="H137">
        <v>1</v>
      </c>
      <c r="I137" t="s">
        <v>205</v>
      </c>
      <c r="J137">
        <v>2031602</v>
      </c>
      <c r="L137">
        <v>3003</v>
      </c>
      <c r="N137">
        <v>1</v>
      </c>
    </row>
    <row r="138" ht="23.1" customHeight="1" spans="1:17">
      <c r="A138">
        <v>1031801</v>
      </c>
      <c r="B138" s="8">
        <v>1801</v>
      </c>
      <c r="C138">
        <v>104002</v>
      </c>
      <c r="D138" s="15" t="s">
        <v>206</v>
      </c>
      <c r="E138">
        <v>3</v>
      </c>
      <c r="F138" t="s">
        <v>57</v>
      </c>
      <c r="G138">
        <v>1</v>
      </c>
      <c r="H138">
        <v>1</v>
      </c>
      <c r="I138" t="s">
        <v>207</v>
      </c>
      <c r="J138">
        <v>2031801</v>
      </c>
      <c r="L138">
        <v>4002</v>
      </c>
      <c r="N138">
        <v>1</v>
      </c>
    </row>
    <row r="139" ht="23.1" customHeight="1" spans="1:17">
      <c r="A139">
        <v>1031802</v>
      </c>
      <c r="B139" s="8">
        <v>1802</v>
      </c>
      <c r="C139">
        <v>104003</v>
      </c>
      <c r="D139" s="15" t="s">
        <v>208</v>
      </c>
      <c r="E139">
        <v>3</v>
      </c>
      <c r="F139" t="s">
        <v>57</v>
      </c>
      <c r="G139">
        <v>1</v>
      </c>
      <c r="H139">
        <v>1</v>
      </c>
      <c r="I139" t="s">
        <v>209</v>
      </c>
      <c r="J139">
        <v>2031802</v>
      </c>
      <c r="L139">
        <v>4003</v>
      </c>
      <c r="N139">
        <v>1</v>
      </c>
    </row>
    <row r="140" ht="23.1" customHeight="1" spans="1:17">
      <c r="A140">
        <v>1032001</v>
      </c>
      <c r="B140" s="8">
        <v>2001</v>
      </c>
      <c r="C140">
        <v>105002</v>
      </c>
      <c r="D140" s="16" t="s">
        <v>210</v>
      </c>
      <c r="E140">
        <v>3</v>
      </c>
      <c r="F140" t="s">
        <v>57</v>
      </c>
      <c r="G140">
        <v>1</v>
      </c>
      <c r="H140">
        <v>1</v>
      </c>
      <c r="I140" t="s">
        <v>211</v>
      </c>
      <c r="J140">
        <v>2032001</v>
      </c>
      <c r="L140">
        <v>5002</v>
      </c>
      <c r="N140">
        <v>1</v>
      </c>
    </row>
    <row r="141" ht="23.1" customHeight="1" spans="1:17">
      <c r="A141">
        <v>1032002</v>
      </c>
      <c r="B141" s="8">
        <v>2002</v>
      </c>
      <c r="C141">
        <v>105003</v>
      </c>
      <c r="D141" s="16" t="s">
        <v>212</v>
      </c>
      <c r="E141">
        <v>3</v>
      </c>
      <c r="F141" t="s">
        <v>57</v>
      </c>
      <c r="G141">
        <v>1</v>
      </c>
      <c r="H141">
        <v>1</v>
      </c>
      <c r="I141" t="s">
        <v>213</v>
      </c>
      <c r="J141">
        <v>2032002</v>
      </c>
      <c r="L141">
        <v>5003</v>
      </c>
      <c r="N141">
        <v>1</v>
      </c>
    </row>
    <row r="142" ht="23.1" customHeight="1" spans="1:17">
      <c r="A142">
        <v>1032201</v>
      </c>
      <c r="B142" s="8">
        <v>2201</v>
      </c>
      <c r="C142">
        <v>106002</v>
      </c>
      <c r="D142" s="17" t="s">
        <v>214</v>
      </c>
      <c r="E142">
        <v>3</v>
      </c>
      <c r="F142" t="s">
        <v>57</v>
      </c>
      <c r="G142">
        <v>1</v>
      </c>
      <c r="H142">
        <v>1</v>
      </c>
      <c r="I142" t="s">
        <v>215</v>
      </c>
      <c r="J142">
        <v>2032201</v>
      </c>
      <c r="L142">
        <v>6002</v>
      </c>
      <c r="N142">
        <v>1</v>
      </c>
    </row>
    <row r="143" ht="23.1" customHeight="1" spans="1:17">
      <c r="A143">
        <v>1032202</v>
      </c>
      <c r="B143" s="8">
        <v>2202</v>
      </c>
      <c r="C143">
        <v>106003</v>
      </c>
      <c r="D143" s="17" t="s">
        <v>216</v>
      </c>
      <c r="E143">
        <v>3</v>
      </c>
      <c r="F143" t="s">
        <v>57</v>
      </c>
      <c r="G143">
        <v>1</v>
      </c>
      <c r="H143">
        <v>1</v>
      </c>
      <c r="I143" t="s">
        <v>217</v>
      </c>
      <c r="J143">
        <v>2032202</v>
      </c>
      <c r="L143">
        <v>6003</v>
      </c>
      <c r="N143">
        <v>1</v>
      </c>
    </row>
    <row r="144" ht="18" customHeight="1" spans="1:17">
      <c r="A144">
        <v>1022501</v>
      </c>
      <c r="B144">
        <v>2501</v>
      </c>
      <c r="C144">
        <v>1202501</v>
      </c>
      <c r="D144" t="s">
        <v>218</v>
      </c>
      <c r="E144">
        <v>2</v>
      </c>
      <c r="F144" t="s">
        <v>57</v>
      </c>
      <c r="G144">
        <v>1</v>
      </c>
      <c r="H144">
        <v>0</v>
      </c>
      <c r="I144" t="s">
        <v>219</v>
      </c>
      <c r="J144">
        <v>2022501</v>
      </c>
      <c r="K144" t="s">
        <v>220</v>
      </c>
      <c r="N144">
        <v>999</v>
      </c>
      <c r="Q144">
        <v>0.003</v>
      </c>
    </row>
    <row r="145" ht="18" customHeight="1" spans="1:17">
      <c r="A145">
        <v>1022502</v>
      </c>
      <c r="B145">
        <v>2502</v>
      </c>
      <c r="C145">
        <v>1202502</v>
      </c>
      <c r="D145" t="s">
        <v>221</v>
      </c>
      <c r="E145">
        <v>2</v>
      </c>
      <c r="F145" t="s">
        <v>57</v>
      </c>
      <c r="G145">
        <v>1</v>
      </c>
      <c r="H145">
        <v>0</v>
      </c>
      <c r="I145" t="s">
        <v>222</v>
      </c>
      <c r="J145">
        <v>2022502</v>
      </c>
      <c r="K145" t="s">
        <v>223</v>
      </c>
      <c r="N145">
        <v>999</v>
      </c>
      <c r="Q145">
        <v>0.495</v>
      </c>
    </row>
    <row r="146" ht="18" customHeight="1" spans="1:17">
      <c r="A146">
        <v>1022503</v>
      </c>
      <c r="B146">
        <v>2503</v>
      </c>
      <c r="C146">
        <v>1202503</v>
      </c>
      <c r="D146" t="s">
        <v>224</v>
      </c>
      <c r="E146">
        <v>2</v>
      </c>
      <c r="F146" t="s">
        <v>57</v>
      </c>
      <c r="G146">
        <v>1</v>
      </c>
      <c r="H146">
        <v>0</v>
      </c>
      <c r="I146" t="s">
        <v>225</v>
      </c>
      <c r="J146">
        <v>2022503</v>
      </c>
      <c r="K146" t="s">
        <v>223</v>
      </c>
      <c r="N146">
        <v>999</v>
      </c>
      <c r="Q146">
        <v>0.99</v>
      </c>
    </row>
    <row r="147" ht="18" customHeight="1" spans="1:17">
      <c r="A147">
        <v>1022504</v>
      </c>
      <c r="B147">
        <v>2504</v>
      </c>
      <c r="C147">
        <v>1202504</v>
      </c>
      <c r="D147" t="s">
        <v>226</v>
      </c>
      <c r="E147">
        <v>2</v>
      </c>
      <c r="F147" t="s">
        <v>57</v>
      </c>
      <c r="G147">
        <v>1</v>
      </c>
      <c r="H147">
        <v>0</v>
      </c>
      <c r="I147" t="s">
        <v>227</v>
      </c>
      <c r="J147">
        <v>2022504</v>
      </c>
      <c r="K147" t="s">
        <v>228</v>
      </c>
      <c r="N147">
        <v>999999999</v>
      </c>
    </row>
    <row r="148" ht="21" customHeight="1" spans="1:17">
      <c r="A148">
        <v>1023001</v>
      </c>
      <c r="B148" s="8"/>
      <c r="C148">
        <v>1023001</v>
      </c>
      <c r="D148" t="s">
        <v>229</v>
      </c>
      <c r="E148">
        <v>2</v>
      </c>
      <c r="F148" t="s">
        <v>57</v>
      </c>
      <c r="G148">
        <v>2</v>
      </c>
      <c r="H148">
        <v>0</v>
      </c>
      <c r="I148" t="s">
        <v>230</v>
      </c>
      <c r="J148">
        <v>2023001</v>
      </c>
      <c r="K148" t="s">
        <v>231</v>
      </c>
      <c r="N148">
        <v>999</v>
      </c>
      <c r="Q148">
        <v>0.000544077728550903</v>
      </c>
    </row>
    <row r="149" ht="21" customHeight="1" spans="1:17">
      <c r="A149">
        <v>1023002</v>
      </c>
      <c r="B149" s="8"/>
      <c r="C149">
        <v>1023002</v>
      </c>
      <c r="D149" t="s">
        <v>232</v>
      </c>
      <c r="E149">
        <v>2</v>
      </c>
      <c r="F149" t="s">
        <v>57</v>
      </c>
      <c r="G149">
        <v>3</v>
      </c>
      <c r="H149">
        <v>0</v>
      </c>
      <c r="I149" t="s">
        <v>233</v>
      </c>
      <c r="J149">
        <v>2023002</v>
      </c>
      <c r="K149" t="s">
        <v>231</v>
      </c>
      <c r="N149">
        <v>999</v>
      </c>
      <c r="Q149">
        <v>0.0045080726079932</v>
      </c>
    </row>
    <row r="150" ht="21" customHeight="1" spans="1:17">
      <c r="A150">
        <v>1023003</v>
      </c>
      <c r="B150" s="8"/>
      <c r="C150">
        <v>1023003</v>
      </c>
      <c r="D150" t="s">
        <v>234</v>
      </c>
      <c r="E150">
        <v>2</v>
      </c>
      <c r="F150" t="s">
        <v>57</v>
      </c>
      <c r="G150">
        <v>4</v>
      </c>
      <c r="H150">
        <v>0</v>
      </c>
      <c r="I150" t="s">
        <v>235</v>
      </c>
      <c r="J150">
        <v>2023003</v>
      </c>
      <c r="K150" t="s">
        <v>231</v>
      </c>
      <c r="N150">
        <v>999</v>
      </c>
      <c r="Q150">
        <v>0.0067621089119898</v>
      </c>
    </row>
    <row r="151" ht="21" customHeight="1" spans="1:17">
      <c r="A151">
        <v>1023004</v>
      </c>
      <c r="B151" s="8"/>
      <c r="C151">
        <v>1023004</v>
      </c>
      <c r="D151" t="s">
        <v>236</v>
      </c>
      <c r="E151">
        <v>2</v>
      </c>
      <c r="F151" t="s">
        <v>57</v>
      </c>
      <c r="G151">
        <v>5</v>
      </c>
      <c r="H151">
        <v>0</v>
      </c>
      <c r="I151" t="s">
        <v>237</v>
      </c>
      <c r="J151">
        <v>2023004</v>
      </c>
      <c r="K151" t="s">
        <v>231</v>
      </c>
      <c r="N151">
        <v>999</v>
      </c>
      <c r="Q151">
        <v>0.012622603302381</v>
      </c>
    </row>
    <row r="152" ht="21" customHeight="1" spans="1:17">
      <c r="A152">
        <v>1023005</v>
      </c>
      <c r="B152" s="8"/>
      <c r="C152">
        <v>1023005</v>
      </c>
      <c r="D152" t="s">
        <v>238</v>
      </c>
      <c r="E152">
        <v>2</v>
      </c>
      <c r="F152" t="s">
        <v>57</v>
      </c>
      <c r="G152">
        <v>6</v>
      </c>
      <c r="H152">
        <v>0</v>
      </c>
      <c r="I152" t="s">
        <v>239</v>
      </c>
      <c r="J152">
        <v>2023005</v>
      </c>
      <c r="K152" t="s">
        <v>231</v>
      </c>
      <c r="N152">
        <v>999</v>
      </c>
      <c r="Q152">
        <v>0.0139155435712012</v>
      </c>
    </row>
    <row r="153" ht="21" customHeight="1" spans="1:17">
      <c r="A153">
        <v>1023101</v>
      </c>
      <c r="B153" s="8"/>
      <c r="C153">
        <v>1023101</v>
      </c>
      <c r="D153" t="s">
        <v>240</v>
      </c>
      <c r="E153">
        <v>2</v>
      </c>
      <c r="F153" t="s">
        <v>57</v>
      </c>
      <c r="G153">
        <v>2</v>
      </c>
      <c r="H153">
        <v>0</v>
      </c>
      <c r="I153" t="s">
        <v>241</v>
      </c>
      <c r="J153">
        <v>2023101</v>
      </c>
      <c r="K153" t="s">
        <v>242</v>
      </c>
      <c r="N153">
        <v>999</v>
      </c>
      <c r="Q153">
        <v>0.00174104873136289</v>
      </c>
    </row>
    <row r="154" ht="21" customHeight="1" spans="1:17">
      <c r="A154">
        <v>1023102</v>
      </c>
      <c r="B154" s="8"/>
      <c r="C154">
        <v>1023102</v>
      </c>
      <c r="D154" t="s">
        <v>243</v>
      </c>
      <c r="E154">
        <v>2</v>
      </c>
      <c r="F154" t="s">
        <v>57</v>
      </c>
      <c r="G154">
        <v>3</v>
      </c>
      <c r="H154">
        <v>0</v>
      </c>
      <c r="I154" t="s">
        <v>244</v>
      </c>
      <c r="J154">
        <v>2023102</v>
      </c>
      <c r="K154" t="s">
        <v>242</v>
      </c>
      <c r="N154">
        <v>999</v>
      </c>
      <c r="Q154">
        <v>0.0144258323455782</v>
      </c>
    </row>
    <row r="155" ht="21" customHeight="1" spans="1:17">
      <c r="A155">
        <v>1023103</v>
      </c>
      <c r="B155" s="8"/>
      <c r="C155">
        <v>1023103</v>
      </c>
      <c r="D155" t="s">
        <v>245</v>
      </c>
      <c r="E155">
        <v>2</v>
      </c>
      <c r="F155" t="s">
        <v>57</v>
      </c>
      <c r="G155">
        <v>4</v>
      </c>
      <c r="H155">
        <v>0</v>
      </c>
      <c r="I155" t="s">
        <v>246</v>
      </c>
      <c r="J155">
        <v>2023103</v>
      </c>
      <c r="K155" t="s">
        <v>242</v>
      </c>
      <c r="N155">
        <v>999</v>
      </c>
      <c r="Q155">
        <v>0.0216387485183673</v>
      </c>
    </row>
    <row r="156" ht="21" customHeight="1" spans="1:17">
      <c r="A156">
        <v>1023104</v>
      </c>
      <c r="B156" s="8"/>
      <c r="C156">
        <v>1023104</v>
      </c>
      <c r="D156" t="s">
        <v>247</v>
      </c>
      <c r="E156">
        <v>2</v>
      </c>
      <c r="F156" t="s">
        <v>57</v>
      </c>
      <c r="G156">
        <v>5</v>
      </c>
      <c r="H156">
        <v>0</v>
      </c>
      <c r="I156" t="s">
        <v>248</v>
      </c>
      <c r="J156">
        <v>2023104</v>
      </c>
      <c r="K156" t="s">
        <v>242</v>
      </c>
      <c r="N156">
        <v>999</v>
      </c>
      <c r="Q156">
        <v>0.0403923305676191</v>
      </c>
    </row>
    <row r="157" ht="21" customHeight="1" spans="1:17">
      <c r="A157">
        <v>1023105</v>
      </c>
      <c r="B157" s="8"/>
      <c r="C157">
        <v>1023105</v>
      </c>
      <c r="D157" t="s">
        <v>249</v>
      </c>
      <c r="E157">
        <v>2</v>
      </c>
      <c r="F157" t="s">
        <v>57</v>
      </c>
      <c r="G157">
        <v>6</v>
      </c>
      <c r="H157">
        <v>0</v>
      </c>
      <c r="I157" t="s">
        <v>250</v>
      </c>
      <c r="J157">
        <v>2023105</v>
      </c>
      <c r="K157" t="s">
        <v>242</v>
      </c>
      <c r="N157">
        <v>999</v>
      </c>
      <c r="Q157">
        <v>0.0445297394278439</v>
      </c>
    </row>
    <row r="158" ht="21" customHeight="1" spans="1:17">
      <c r="A158">
        <v>1023201</v>
      </c>
      <c r="B158" s="8"/>
      <c r="C158">
        <v>1023201</v>
      </c>
      <c r="D158" t="s">
        <v>251</v>
      </c>
      <c r="E158">
        <v>2</v>
      </c>
      <c r="F158" t="s">
        <v>57</v>
      </c>
      <c r="G158">
        <v>2</v>
      </c>
      <c r="H158">
        <v>0</v>
      </c>
      <c r="I158" t="s">
        <v>252</v>
      </c>
      <c r="J158">
        <v>2023201</v>
      </c>
      <c r="K158" t="s">
        <v>253</v>
      </c>
      <c r="N158">
        <v>999</v>
      </c>
      <c r="Q158">
        <v>0.00348209746272578</v>
      </c>
    </row>
    <row r="159" ht="21" customHeight="1" spans="1:17">
      <c r="A159">
        <v>1023202</v>
      </c>
      <c r="B159" s="8"/>
      <c r="C159">
        <v>1023202</v>
      </c>
      <c r="D159" t="s">
        <v>254</v>
      </c>
      <c r="E159">
        <v>2</v>
      </c>
      <c r="F159" t="s">
        <v>57</v>
      </c>
      <c r="G159">
        <v>3</v>
      </c>
      <c r="H159">
        <v>0</v>
      </c>
      <c r="I159" t="s">
        <v>255</v>
      </c>
      <c r="J159">
        <v>2023202</v>
      </c>
      <c r="K159" t="s">
        <v>253</v>
      </c>
      <c r="N159">
        <v>999</v>
      </c>
      <c r="Q159">
        <v>0.0288516646911565</v>
      </c>
    </row>
    <row r="160" ht="21" customHeight="1" spans="1:17">
      <c r="A160">
        <v>1023203</v>
      </c>
      <c r="B160" s="8"/>
      <c r="C160">
        <v>1023203</v>
      </c>
      <c r="D160" t="s">
        <v>256</v>
      </c>
      <c r="E160">
        <v>2</v>
      </c>
      <c r="F160" t="s">
        <v>57</v>
      </c>
      <c r="G160">
        <v>4</v>
      </c>
      <c r="H160">
        <v>0</v>
      </c>
      <c r="I160" t="s">
        <v>257</v>
      </c>
      <c r="J160">
        <v>2023203</v>
      </c>
      <c r="K160" t="s">
        <v>253</v>
      </c>
      <c r="N160">
        <v>999</v>
      </c>
      <c r="Q160">
        <v>0.0432774970367347</v>
      </c>
    </row>
    <row r="161" ht="21" customHeight="1" spans="1:17">
      <c r="A161">
        <v>1023204</v>
      </c>
      <c r="B161" s="8"/>
      <c r="C161">
        <v>1023204</v>
      </c>
      <c r="D161" t="s">
        <v>258</v>
      </c>
      <c r="E161">
        <v>2</v>
      </c>
      <c r="F161" t="s">
        <v>57</v>
      </c>
      <c r="G161">
        <v>5</v>
      </c>
      <c r="H161">
        <v>0</v>
      </c>
      <c r="I161" t="s">
        <v>259</v>
      </c>
      <c r="J161">
        <v>2023204</v>
      </c>
      <c r="K161" t="s">
        <v>253</v>
      </c>
      <c r="N161">
        <v>999</v>
      </c>
      <c r="Q161">
        <v>0.0807846611352381</v>
      </c>
    </row>
    <row r="162" ht="21" customHeight="1" spans="1:17">
      <c r="A162">
        <v>1023205</v>
      </c>
      <c r="B162" s="8"/>
      <c r="C162">
        <v>1023205</v>
      </c>
      <c r="D162" t="s">
        <v>260</v>
      </c>
      <c r="E162">
        <v>2</v>
      </c>
      <c r="F162" t="s">
        <v>57</v>
      </c>
      <c r="G162">
        <v>6</v>
      </c>
      <c r="H162">
        <v>0</v>
      </c>
      <c r="I162" t="s">
        <v>261</v>
      </c>
      <c r="J162">
        <v>2023205</v>
      </c>
      <c r="K162" t="s">
        <v>253</v>
      </c>
      <c r="N162">
        <v>999</v>
      </c>
      <c r="Q162">
        <v>0.0890594788556878</v>
      </c>
    </row>
    <row r="163" ht="21" customHeight="1" spans="1:17">
      <c r="A163">
        <v>1023301</v>
      </c>
      <c r="B163" s="8"/>
      <c r="C163">
        <v>1023301</v>
      </c>
      <c r="D163" t="s">
        <v>262</v>
      </c>
      <c r="E163">
        <v>2</v>
      </c>
      <c r="F163" t="s">
        <v>57</v>
      </c>
      <c r="G163">
        <v>2</v>
      </c>
      <c r="H163">
        <v>0</v>
      </c>
      <c r="I163" t="s">
        <v>263</v>
      </c>
      <c r="J163">
        <v>2023301</v>
      </c>
      <c r="K163" t="s">
        <v>264</v>
      </c>
      <c r="N163">
        <v>999</v>
      </c>
      <c r="Q163">
        <v>0.0039173596455665</v>
      </c>
    </row>
    <row r="164" ht="21" customHeight="1" spans="1:17">
      <c r="A164">
        <v>1023302</v>
      </c>
      <c r="B164" s="8"/>
      <c r="C164">
        <v>1023302</v>
      </c>
      <c r="D164" t="s">
        <v>265</v>
      </c>
      <c r="E164">
        <v>2</v>
      </c>
      <c r="F164" t="s">
        <v>57</v>
      </c>
      <c r="G164">
        <v>3</v>
      </c>
      <c r="H164">
        <v>0</v>
      </c>
      <c r="I164" t="s">
        <v>266</v>
      </c>
      <c r="J164">
        <v>2023302</v>
      </c>
      <c r="K164" t="s">
        <v>264</v>
      </c>
      <c r="N164">
        <v>999</v>
      </c>
      <c r="Q164">
        <v>0.032458122777551</v>
      </c>
    </row>
    <row r="165" ht="21" customHeight="1" spans="1:17">
      <c r="A165">
        <v>1023303</v>
      </c>
      <c r="B165" s="8"/>
      <c r="C165">
        <v>1023303</v>
      </c>
      <c r="D165" t="s">
        <v>267</v>
      </c>
      <c r="E165">
        <v>2</v>
      </c>
      <c r="F165" t="s">
        <v>57</v>
      </c>
      <c r="G165">
        <v>4</v>
      </c>
      <c r="H165">
        <v>0</v>
      </c>
      <c r="I165" t="s">
        <v>268</v>
      </c>
      <c r="J165">
        <v>2023303</v>
      </c>
      <c r="K165" t="s">
        <v>264</v>
      </c>
      <c r="N165">
        <v>999</v>
      </c>
      <c r="Q165">
        <v>0.0486871841663265</v>
      </c>
    </row>
    <row r="166" ht="21" customHeight="1" spans="1:17">
      <c r="A166">
        <v>1023304</v>
      </c>
      <c r="B166" s="8"/>
      <c r="C166">
        <v>1023304</v>
      </c>
      <c r="D166" t="s">
        <v>269</v>
      </c>
      <c r="E166">
        <v>2</v>
      </c>
      <c r="F166" t="s">
        <v>57</v>
      </c>
      <c r="G166">
        <v>5</v>
      </c>
      <c r="H166">
        <v>0</v>
      </c>
      <c r="I166" t="s">
        <v>270</v>
      </c>
      <c r="J166">
        <v>2023304</v>
      </c>
      <c r="K166" t="s">
        <v>264</v>
      </c>
      <c r="N166">
        <v>999</v>
      </c>
      <c r="Q166">
        <v>0.0908827437771429</v>
      </c>
    </row>
    <row r="167" ht="21" customHeight="1" spans="1:17">
      <c r="A167">
        <v>1023305</v>
      </c>
      <c r="B167" s="8"/>
      <c r="C167">
        <v>1023305</v>
      </c>
      <c r="D167" t="s">
        <v>271</v>
      </c>
      <c r="E167">
        <v>2</v>
      </c>
      <c r="F167" t="s">
        <v>57</v>
      </c>
      <c r="G167">
        <v>6</v>
      </c>
      <c r="H167">
        <v>0</v>
      </c>
      <c r="I167" t="s">
        <v>272</v>
      </c>
      <c r="J167">
        <v>2023305</v>
      </c>
      <c r="K167" t="s">
        <v>264</v>
      </c>
      <c r="N167">
        <v>999</v>
      </c>
      <c r="Q167">
        <v>0.100191913712649</v>
      </c>
    </row>
    <row r="168" ht="21" customHeight="1" spans="1:17">
      <c r="A168">
        <v>1023401</v>
      </c>
      <c r="B168" s="8"/>
      <c r="C168">
        <v>1023401</v>
      </c>
      <c r="D168" t="s">
        <v>273</v>
      </c>
      <c r="E168">
        <v>2</v>
      </c>
      <c r="F168" t="s">
        <v>57</v>
      </c>
      <c r="G168">
        <v>2</v>
      </c>
      <c r="H168">
        <v>0</v>
      </c>
      <c r="I168" t="s">
        <v>274</v>
      </c>
      <c r="J168">
        <v>2023401</v>
      </c>
      <c r="K168" t="s">
        <v>275</v>
      </c>
      <c r="N168">
        <v>999</v>
      </c>
      <c r="Q168">
        <v>0.00783471929113301</v>
      </c>
    </row>
    <row r="169" ht="21" customHeight="1" spans="1:17">
      <c r="A169">
        <v>1023402</v>
      </c>
      <c r="B169" s="8"/>
      <c r="C169">
        <v>1023402</v>
      </c>
      <c r="D169" t="s">
        <v>276</v>
      </c>
      <c r="E169">
        <v>2</v>
      </c>
      <c r="F169" t="s">
        <v>57</v>
      </c>
      <c r="G169">
        <v>3</v>
      </c>
      <c r="H169">
        <v>0</v>
      </c>
      <c r="I169" t="s">
        <v>277</v>
      </c>
      <c r="J169">
        <v>2023402</v>
      </c>
      <c r="K169" t="s">
        <v>275</v>
      </c>
      <c r="N169">
        <v>999</v>
      </c>
      <c r="Q169">
        <v>0.064916245555102</v>
      </c>
    </row>
    <row r="170" ht="21" customHeight="1" spans="1:17">
      <c r="A170">
        <v>1023403</v>
      </c>
      <c r="B170" s="8"/>
      <c r="C170">
        <v>1023403</v>
      </c>
      <c r="D170" t="s">
        <v>278</v>
      </c>
      <c r="E170">
        <v>2</v>
      </c>
      <c r="F170" t="s">
        <v>57</v>
      </c>
      <c r="G170">
        <v>4</v>
      </c>
      <c r="H170">
        <v>0</v>
      </c>
      <c r="I170" t="s">
        <v>279</v>
      </c>
      <c r="J170">
        <v>2023403</v>
      </c>
      <c r="K170" t="s">
        <v>275</v>
      </c>
      <c r="N170">
        <v>999</v>
      </c>
      <c r="Q170">
        <v>0.097374368332653</v>
      </c>
    </row>
    <row r="171" ht="21" customHeight="1" spans="1:17">
      <c r="A171">
        <v>1023404</v>
      </c>
      <c r="B171" s="8"/>
      <c r="C171">
        <v>1023404</v>
      </c>
      <c r="D171" t="s">
        <v>280</v>
      </c>
      <c r="E171">
        <v>2</v>
      </c>
      <c r="F171" t="s">
        <v>57</v>
      </c>
      <c r="G171">
        <v>5</v>
      </c>
      <c r="H171">
        <v>0</v>
      </c>
      <c r="I171" t="s">
        <v>281</v>
      </c>
      <c r="J171">
        <v>2023404</v>
      </c>
      <c r="K171" t="s">
        <v>275</v>
      </c>
      <c r="N171">
        <v>999</v>
      </c>
      <c r="Q171">
        <v>0.181765487554286</v>
      </c>
    </row>
    <row r="172" ht="21" customHeight="1" spans="1:17">
      <c r="A172">
        <v>1023405</v>
      </c>
      <c r="B172" s="8"/>
      <c r="C172">
        <v>1023405</v>
      </c>
      <c r="D172" t="s">
        <v>282</v>
      </c>
      <c r="E172">
        <v>2</v>
      </c>
      <c r="F172" t="s">
        <v>57</v>
      </c>
      <c r="G172">
        <v>6</v>
      </c>
      <c r="H172">
        <v>0</v>
      </c>
      <c r="I172" t="s">
        <v>283</v>
      </c>
      <c r="J172">
        <v>2023405</v>
      </c>
      <c r="K172" t="s">
        <v>275</v>
      </c>
      <c r="N172">
        <v>999</v>
      </c>
      <c r="Q172">
        <v>0.200383827425298</v>
      </c>
    </row>
    <row r="173" ht="21" customHeight="1" spans="1:17">
      <c r="A173">
        <v>1990000</v>
      </c>
      <c r="B173" s="8">
        <v>0</v>
      </c>
      <c r="C173">
        <v>1990000</v>
      </c>
      <c r="D173" t="s">
        <v>284</v>
      </c>
      <c r="E173">
        <v>99</v>
      </c>
      <c r="F173" t="s">
        <v>285</v>
      </c>
      <c r="G173">
        <v>1</v>
      </c>
      <c r="H173">
        <v>0</v>
      </c>
      <c r="I173" t="s">
        <v>286</v>
      </c>
      <c r="J173">
        <v>2990000</v>
      </c>
      <c r="K173" t="s">
        <v>287</v>
      </c>
      <c r="N173">
        <v>-1</v>
      </c>
      <c r="Q173">
        <f>1/700000</f>
        <v>1.42857142857143e-6</v>
      </c>
    </row>
    <row r="174" ht="21" customHeight="1" spans="1:17">
      <c r="A174">
        <v>1980000</v>
      </c>
      <c r="B174" s="8">
        <v>0</v>
      </c>
      <c r="C174">
        <v>1980000</v>
      </c>
      <c r="D174" t="s">
        <v>288</v>
      </c>
      <c r="E174">
        <v>98</v>
      </c>
      <c r="F174" t="s">
        <v>285</v>
      </c>
      <c r="G174">
        <v>1</v>
      </c>
      <c r="H174">
        <v>0</v>
      </c>
      <c r="I174" t="s">
        <v>289</v>
      </c>
      <c r="J174">
        <v>2980000</v>
      </c>
      <c r="K174" t="s">
        <v>290</v>
      </c>
      <c r="N174">
        <v>-1</v>
      </c>
      <c r="Q174">
        <f>1/700</f>
        <v>0.00142857142857143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2025-07-14T07:23:00Z</dcterms:created>
  <dcterms:modified xsi:type="dcterms:W3CDTF">2025-12-11T10:45:19Z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