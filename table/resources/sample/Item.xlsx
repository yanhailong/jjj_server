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自动使用并删除此道具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6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<sst xmlns="http://schemas.openxmlformats.org/spreadsheetml/2006/main" count="650" uniqueCount="245">
  <si>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</si>
  <si>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</si>
  <si>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</si>
  <si>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</si>
  <si>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</si>
  <si>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</si>
  <si>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</si>
  <si>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获得后是否使用并激活装扮和图鉴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</si>
  <si>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</si>
  <si>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</si>
  <si>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</si>
  <si>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</si>
  <si>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</si>
  <si>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</si>
  <si>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</si>
  <si>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</si>
  <si>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</si>
  <si>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</si>
  <si>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</si>
  <si>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</si>
  <si>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</si>
  <si>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</si>
  <si>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autoActivate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</si>
  <si>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</si>
  <si>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</si>
  <si>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</si>
  <si>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</si>
  <si>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</si>
  <si>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</si>
  <si>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</si>
  <si>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</si>
  <si>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</si>
  <si>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</si>
  <si>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</si>
  <si>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</si>
  <si>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</si>
  <si>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</si>
  <si>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</si>
  <si>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</si>
  <si>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</si>
  <si>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</si>
  <si>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</si>
  <si>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</si>
  <si>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</si>
  <si>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</si>
  <si>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</si>
  <si>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</si>
  <si>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</si>
  <si>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</si>
  <si>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</si>
  <si>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</si>
  <si>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</si>
  <si>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</si>
  <si>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</si>
  <si>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</si>
  <si>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</si>
  <si>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</si>
  <si>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</si>
  <si>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</si>
  <si>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</si>
  <si>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</si>
  <si>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</si>
  <si>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</si>
  <si>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</si>
  <si>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</si>
  <si>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</si>
  <si>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</si>
  <si>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</si>
  <si>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</si>
  <si>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</si>
  <si>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</si>
  <si>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</si>
  <si>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</si>
  <si>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</si>
  <si>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</si>
  <si>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</si>
  <si>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</si>
  <si>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</si>
  <si>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</si>
  <si>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</si>
  <si>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</si>
  <si>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</si>
  <si>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</si>
  <si>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</si>
  <si>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</si>
  <si>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</si>
  <si>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</si>
  <si>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</si>
  <si>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</si>
  <si>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</si>
  <si>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</si>
  <si>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</si>
  <si>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</si>
  <si>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</si>
  <si>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</si>
  <si>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</si>
  <si>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</si>
  <si>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</si>
  <si>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</si>
  <si>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</si>
  <si>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</si>
  <si>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</si>
  <si>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</si>
  <si>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</si>
  <si>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</si>
  <si>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</si>
  <si>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</si>
  <si>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</si>
  <si>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</si>
  <si>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</si>
  <si>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</si>
  <si>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</si>
  <si>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</si>
  <si>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</si>
  <si>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</si>
  <si>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</si>
  <si>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</si>
  <si>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</si>
  <si>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</si>
  <si>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</si>
  <si>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</si>
  <si>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</si>
  <si>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</si>
  <si>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</si>
  <si>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</si>
  <si>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</si>
  <si>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</si>
  <si>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</si>
  <si>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</si>
  <si>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</si>
  <si>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</si>
  <si>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</si>
  <si>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</si>
  <si>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</si>
  <si>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</si>
  <si>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</si>
  <si>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</si>
  <si>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</si>
  <si>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</si>
  <si>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</si>
  <si>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</si>
  <si>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</si>
  <si>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</si>
  <si>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</si>
  <si>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</si>
  <si>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</si>
  <si>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</si>
  <si>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</si>
  <si>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</si>
  <si>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</si>
  <si>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</si>
  <si>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</si>
  <si>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</si>
  <si>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</si>
  <si>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</si>
  <si>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</si>
  <si>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</si>
  <si>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</si>
  <si>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</si>
  <si>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</si>
  <si>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</si>
  <si>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</si>
  <si>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</si>
  <si>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</si>
  <si>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</si>
  <si>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</si>
  <si>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</si>
  <si>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</si>
  <si>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</si>
  <si>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</si>
  <si>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</si>
  <si>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</si>
  <si>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</si>
  <si>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</si>
  <si>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</si>
  <si>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</si>
  <si>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</si>
  <si>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</si>
  <si>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</si>
  <si>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</si>
  <si>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</si>
  <si>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</si>
  <si>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</si>
  <si>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itemicon_1022501.png</t>
  </si>
  <si>
    <t>在指定的游戏中产出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</si>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</sst>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9"/>
  <sheetViews>
    <sheetView tabSelected="1" zoomScale="85" zoomScaleNormal="85" workbookViewId="0">
      <pane ySplit="4" topLeftCell="A126" activePane="bottomLeft" state="frozen"/>
      <selection/>
      <selection pane="bottomLeft" activeCell="P147" sqref="P147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0" width="28.825" customWidth="1"/>
    <col min="11" max="11" width="27.2083333333333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t="s">
        <v>6</v>
      </c>
      <c r="K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14</v>
      </c>
      <c r="I2" s="4" t="s">
        <v>13</v>
      </c>
      <c r="J2" s="4"/>
      <c r="K2" s="4" t="s">
        <v>13</v>
      </c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t="s">
        <v>21</v>
      </c>
      <c r="K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 t="str">
        <f>"itemicon_"&amp;A5&amp;".png"</f>
        <v>itemicon_1010101.png</v>
      </c>
      <c r="I5">
        <f t="shared" ref="I5:I14" si="1">2000000+E5*10000+B5</f>
        <v>2010101</v>
      </c>
      <c r="J5" t="s">
        <v>30</v>
      </c>
      <c r="K5">
        <v>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 t="str">
        <f>"itemicon_"&amp;A6&amp;".png"</f>
        <v>itemicon_1010201.png</v>
      </c>
      <c r="I6">
        <f t="shared" si="1"/>
        <v>2010201</v>
      </c>
      <c r="J6" t="s">
        <v>33</v>
      </c>
      <c r="K6">
        <v>0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 s="1" t="s">
        <v>36</v>
      </c>
      <c r="I7" s="1">
        <f t="shared" si="1"/>
        <v>2010301</v>
      </c>
      <c r="J7" s="1" t="s">
        <v>37</v>
      </c>
      <c r="K7" s="1">
        <v>0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 s="1" t="s">
        <v>36</v>
      </c>
      <c r="I8" s="1">
        <f t="shared" si="1"/>
        <v>2010302</v>
      </c>
      <c r="J8" s="1" t="s">
        <v>37</v>
      </c>
      <c r="K8" s="1">
        <v>0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 s="1" t="s">
        <v>36</v>
      </c>
      <c r="I9" s="1">
        <f t="shared" si="1"/>
        <v>2010303</v>
      </c>
      <c r="J9" s="1" t="s">
        <v>37</v>
      </c>
      <c r="K9" s="1">
        <v>0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 s="1" t="s">
        <v>36</v>
      </c>
      <c r="I10" s="1">
        <f t="shared" si="1"/>
        <v>2010311</v>
      </c>
      <c r="J10" s="1" t="s">
        <v>41</v>
      </c>
      <c r="K10" s="1">
        <v>0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 s="1" t="s">
        <v>36</v>
      </c>
      <c r="I11" s="1">
        <f t="shared" si="1"/>
        <v>2010312</v>
      </c>
      <c r="J11" s="1" t="s">
        <v>41</v>
      </c>
      <c r="K11" s="1">
        <v>0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 s="1" t="s">
        <v>36</v>
      </c>
      <c r="I12" s="1">
        <f t="shared" si="1"/>
        <v>2010313</v>
      </c>
      <c r="J12" s="1" t="s">
        <v>41</v>
      </c>
      <c r="K12" s="1">
        <v>0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 s="1" t="s">
        <v>36</v>
      </c>
      <c r="I13" s="1">
        <f t="shared" si="1"/>
        <v>2010314</v>
      </c>
      <c r="J13" s="1" t="s">
        <v>41</v>
      </c>
      <c r="K13" s="1">
        <v>0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 s="1" t="s">
        <v>36</v>
      </c>
      <c r="I14" s="1">
        <f t="shared" si="1"/>
        <v>2010315</v>
      </c>
      <c r="J14" s="1" t="s">
        <v>41</v>
      </c>
      <c r="K14" s="1">
        <v>0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 t="str">
        <f t="shared" ref="H15:H28" si="4">"itemicon_"&amp;A15&amp;".png"</f>
        <v>itemicon_1020001.png</v>
      </c>
      <c r="I15">
        <f t="shared" ref="I15:I29" si="5">2000000+E15*10000+B15</f>
        <v>2020001</v>
      </c>
      <c r="J15" t="s">
        <v>48</v>
      </c>
      <c r="K15">
        <v>0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 s="2" t="str">
        <f t="shared" si="4"/>
        <v>itemicon_1020002.png</v>
      </c>
      <c r="I16" s="2">
        <f t="shared" si="5"/>
        <v>2020002</v>
      </c>
      <c r="J16" s="2" t="s">
        <v>50</v>
      </c>
      <c r="K16" s="2">
        <v>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 s="2" t="str">
        <f t="shared" si="4"/>
        <v>itemicon_1020003.png</v>
      </c>
      <c r="I17" s="2">
        <f t="shared" si="5"/>
        <v>2020003</v>
      </c>
      <c r="J17" s="2" t="s">
        <v>50</v>
      </c>
      <c r="K17" s="2">
        <v>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 s="2" t="str">
        <f t="shared" si="4"/>
        <v>itemicon_1020004.png</v>
      </c>
      <c r="I18" s="2">
        <f t="shared" si="5"/>
        <v>2020004</v>
      </c>
      <c r="J18" s="2" t="s">
        <v>50</v>
      </c>
      <c r="K18" s="2">
        <v>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 s="2" t="str">
        <f t="shared" si="4"/>
        <v>itemicon_1020005.png</v>
      </c>
      <c r="I19" s="2">
        <f t="shared" si="5"/>
        <v>2020005</v>
      </c>
      <c r="J19" s="2" t="s">
        <v>50</v>
      </c>
      <c r="K19" s="2">
        <v>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 s="2" t="str">
        <f t="shared" si="4"/>
        <v>itemicon_1020006.png</v>
      </c>
      <c r="I20" s="2">
        <f t="shared" si="5"/>
        <v>2020006</v>
      </c>
      <c r="J20" s="2" t="s">
        <v>50</v>
      </c>
      <c r="K20" s="2">
        <v>0</v>
      </c>
      <c r="N20" s="2">
        <v>999</v>
      </c>
    </row>
    <row r="21" ht="23" customHeight="1" spans="1:14">
      <c r="A21">
        <f t="shared" si="3"/>
        <v>1020011</v>
      </c>
      <c r="B21" s="7">
        <v>11</v>
      </c>
      <c r="C21">
        <f t="shared" ref="C21:C29" si="6">1000000+E21*100000+B21</f>
        <v>1200011</v>
      </c>
      <c r="D21" t="s">
        <v>55</v>
      </c>
      <c r="E21">
        <v>2</v>
      </c>
      <c r="F21" t="s">
        <v>47</v>
      </c>
      <c r="G21">
        <v>1</v>
      </c>
      <c r="H21" t="str">
        <f t="shared" si="4"/>
        <v>itemicon_1020011.png</v>
      </c>
      <c r="I21">
        <f t="shared" si="5"/>
        <v>2020011</v>
      </c>
      <c r="J21" t="s">
        <v>56</v>
      </c>
      <c r="K21">
        <v>0</v>
      </c>
      <c r="M21">
        <v>10001</v>
      </c>
      <c r="N21">
        <v>1</v>
      </c>
    </row>
    <row r="22" ht="23" customHeight="1" spans="1:14">
      <c r="A22">
        <f t="shared" si="3"/>
        <v>1020012</v>
      </c>
      <c r="B22" s="7">
        <v>12</v>
      </c>
      <c r="C22">
        <f t="shared" si="6"/>
        <v>1200012</v>
      </c>
      <c r="D22" t="s">
        <v>57</v>
      </c>
      <c r="E22">
        <v>2</v>
      </c>
      <c r="F22" t="s">
        <v>47</v>
      </c>
      <c r="G22">
        <v>1</v>
      </c>
      <c r="H22" t="str">
        <f t="shared" si="4"/>
        <v>itemicon_1020012.png</v>
      </c>
      <c r="I22">
        <f t="shared" si="5"/>
        <v>2020012</v>
      </c>
      <c r="J22" t="s">
        <v>56</v>
      </c>
      <c r="K22">
        <v>0</v>
      </c>
      <c r="M22">
        <v>10002</v>
      </c>
      <c r="N22">
        <v>1</v>
      </c>
    </row>
    <row r="23" ht="23" customHeight="1" spans="1:14">
      <c r="A23">
        <f t="shared" si="3"/>
        <v>1020013</v>
      </c>
      <c r="B23" s="7">
        <v>13</v>
      </c>
      <c r="C23">
        <f t="shared" si="6"/>
        <v>1200013</v>
      </c>
      <c r="D23" t="s">
        <v>58</v>
      </c>
      <c r="E23">
        <v>2</v>
      </c>
      <c r="F23" t="s">
        <v>47</v>
      </c>
      <c r="G23">
        <v>1</v>
      </c>
      <c r="H23" t="str">
        <f t="shared" si="4"/>
        <v>itemicon_1020013.png</v>
      </c>
      <c r="I23">
        <f t="shared" si="5"/>
        <v>2020013</v>
      </c>
      <c r="J23" t="s">
        <v>56</v>
      </c>
      <c r="K23">
        <v>0</v>
      </c>
      <c r="M23">
        <v>10003</v>
      </c>
      <c r="N23">
        <v>1</v>
      </c>
    </row>
    <row r="24" ht="23" customHeight="1" spans="1:14">
      <c r="A24">
        <f t="shared" si="3"/>
        <v>1020014</v>
      </c>
      <c r="B24" s="7">
        <v>14</v>
      </c>
      <c r="C24">
        <f t="shared" si="6"/>
        <v>1200014</v>
      </c>
      <c r="D24" t="s">
        <v>59</v>
      </c>
      <c r="E24">
        <v>2</v>
      </c>
      <c r="F24" t="s">
        <v>47</v>
      </c>
      <c r="G24">
        <v>1</v>
      </c>
      <c r="H24" t="str">
        <f t="shared" si="4"/>
        <v>itemicon_1020014.png</v>
      </c>
      <c r="I24">
        <f t="shared" si="5"/>
        <v>2020014</v>
      </c>
      <c r="J24" t="s">
        <v>56</v>
      </c>
      <c r="K24">
        <v>0</v>
      </c>
      <c r="M24">
        <v>10004</v>
      </c>
      <c r="N24">
        <v>1</v>
      </c>
    </row>
    <row r="25" ht="23" customHeight="1" spans="1:14">
      <c r="A25">
        <f t="shared" si="3"/>
        <v>1020015</v>
      </c>
      <c r="B25" s="7">
        <v>15</v>
      </c>
      <c r="C25">
        <f t="shared" si="6"/>
        <v>1200015</v>
      </c>
      <c r="D25" t="s">
        <v>60</v>
      </c>
      <c r="E25">
        <v>2</v>
      </c>
      <c r="F25" t="s">
        <v>47</v>
      </c>
      <c r="G25">
        <v>1</v>
      </c>
      <c r="H25" t="str">
        <f t="shared" si="4"/>
        <v>itemicon_1020015.png</v>
      </c>
      <c r="I25">
        <f t="shared" si="5"/>
        <v>2020015</v>
      </c>
      <c r="J25" t="s">
        <v>56</v>
      </c>
      <c r="K25">
        <v>0</v>
      </c>
      <c r="M25">
        <v>10005</v>
      </c>
      <c r="N25">
        <v>1</v>
      </c>
    </row>
    <row r="26" ht="23" customHeight="1" spans="1:14">
      <c r="A26">
        <f t="shared" si="3"/>
        <v>1020016</v>
      </c>
      <c r="B26" s="7">
        <v>16</v>
      </c>
      <c r="C26">
        <f t="shared" si="6"/>
        <v>1200016</v>
      </c>
      <c r="D26" t="s">
        <v>61</v>
      </c>
      <c r="E26">
        <v>2</v>
      </c>
      <c r="F26" t="s">
        <v>47</v>
      </c>
      <c r="G26">
        <v>1</v>
      </c>
      <c r="H26" t="str">
        <f t="shared" si="4"/>
        <v>itemicon_1020016.png</v>
      </c>
      <c r="I26">
        <f t="shared" si="5"/>
        <v>2020016</v>
      </c>
      <c r="J26" t="s">
        <v>56</v>
      </c>
      <c r="K26">
        <v>0</v>
      </c>
      <c r="M26">
        <v>10006</v>
      </c>
      <c r="N26">
        <v>1</v>
      </c>
    </row>
    <row r="27" ht="23" customHeight="1" spans="1:14">
      <c r="A27">
        <f t="shared" si="3"/>
        <v>1020017</v>
      </c>
      <c r="B27" s="7">
        <v>17</v>
      </c>
      <c r="C27">
        <f t="shared" si="6"/>
        <v>1200017</v>
      </c>
      <c r="D27" t="s">
        <v>62</v>
      </c>
      <c r="E27">
        <v>2</v>
      </c>
      <c r="F27" t="s">
        <v>47</v>
      </c>
      <c r="G27">
        <v>1</v>
      </c>
      <c r="H27" t="str">
        <f t="shared" si="4"/>
        <v>itemicon_1020017.png</v>
      </c>
      <c r="I27">
        <f t="shared" si="5"/>
        <v>2020017</v>
      </c>
      <c r="J27" t="s">
        <v>56</v>
      </c>
      <c r="K27">
        <v>0</v>
      </c>
      <c r="M27">
        <v>10007</v>
      </c>
      <c r="N27">
        <v>1</v>
      </c>
    </row>
    <row r="28" ht="23" customHeight="1" spans="1:14">
      <c r="A28">
        <f t="shared" si="3"/>
        <v>1020018</v>
      </c>
      <c r="B28" s="7">
        <v>18</v>
      </c>
      <c r="C28">
        <f t="shared" si="6"/>
        <v>1200018</v>
      </c>
      <c r="D28" t="s">
        <v>63</v>
      </c>
      <c r="E28">
        <v>2</v>
      </c>
      <c r="F28" t="s">
        <v>47</v>
      </c>
      <c r="G28">
        <v>1</v>
      </c>
      <c r="H28" t="str">
        <f t="shared" si="4"/>
        <v>itemicon_1020018.png</v>
      </c>
      <c r="I28">
        <f t="shared" si="5"/>
        <v>2020018</v>
      </c>
      <c r="J28" t="s">
        <v>56</v>
      </c>
      <c r="K28">
        <v>0</v>
      </c>
      <c r="M28">
        <v>10008</v>
      </c>
      <c r="N28">
        <v>1</v>
      </c>
    </row>
    <row r="29" customFormat="1" ht="23" customHeight="1" spans="1:14">
      <c r="A29">
        <f t="shared" si="3"/>
        <v>1020101</v>
      </c>
      <c r="B29" s="7">
        <v>101</v>
      </c>
      <c r="C29">
        <f t="shared" si="6"/>
        <v>1200101</v>
      </c>
      <c r="D29" t="s">
        <v>64</v>
      </c>
      <c r="E29">
        <v>2</v>
      </c>
      <c r="F29" t="s">
        <v>47</v>
      </c>
      <c r="G29">
        <v>1</v>
      </c>
      <c r="H29" t="s">
        <v>65</v>
      </c>
      <c r="I29">
        <f t="shared" si="5"/>
        <v>2020101</v>
      </c>
      <c r="J29" t="s">
        <v>66</v>
      </c>
      <c r="K29">
        <v>0</v>
      </c>
      <c r="N29">
        <v>1</v>
      </c>
    </row>
    <row r="30" customFormat="1" ht="23" customHeight="1" spans="1:14">
      <c r="A30">
        <f t="shared" ref="A30:A40" si="7">1000000+E30*10000+B30</f>
        <v>1020102</v>
      </c>
      <c r="B30" s="7">
        <v>102</v>
      </c>
      <c r="C30">
        <f t="shared" ref="C30:C40" si="8">1000000+E30*100000+B30</f>
        <v>1200102</v>
      </c>
      <c r="D30" t="s">
        <v>67</v>
      </c>
      <c r="E30">
        <v>2</v>
      </c>
      <c r="F30" t="s">
        <v>47</v>
      </c>
      <c r="G30">
        <v>1</v>
      </c>
      <c r="H30" t="s">
        <v>65</v>
      </c>
      <c r="I30">
        <f t="shared" ref="I30:I61" si="9">2000000+E30*10000+B30</f>
        <v>2020102</v>
      </c>
      <c r="J30" t="s">
        <v>66</v>
      </c>
      <c r="K30">
        <v>0</v>
      </c>
      <c r="N30">
        <v>1</v>
      </c>
    </row>
    <row r="31" customFormat="1" ht="23" customHeight="1" spans="1:14">
      <c r="A31">
        <f t="shared" si="7"/>
        <v>1020103</v>
      </c>
      <c r="B31" s="7">
        <v>103</v>
      </c>
      <c r="C31">
        <f t="shared" si="8"/>
        <v>1200103</v>
      </c>
      <c r="D31" t="s">
        <v>68</v>
      </c>
      <c r="E31">
        <v>2</v>
      </c>
      <c r="F31" t="s">
        <v>47</v>
      </c>
      <c r="G31">
        <v>2</v>
      </c>
      <c r="H31" t="s">
        <v>65</v>
      </c>
      <c r="I31">
        <f t="shared" si="9"/>
        <v>2020103</v>
      </c>
      <c r="J31" t="s">
        <v>66</v>
      </c>
      <c r="K31">
        <v>0</v>
      </c>
      <c r="N31">
        <v>1</v>
      </c>
    </row>
    <row r="32" customFormat="1" ht="23" customHeight="1" spans="1:14">
      <c r="A32">
        <f t="shared" si="7"/>
        <v>1020104</v>
      </c>
      <c r="B32" s="7">
        <v>104</v>
      </c>
      <c r="C32">
        <f t="shared" si="8"/>
        <v>1200104</v>
      </c>
      <c r="D32" t="s">
        <v>69</v>
      </c>
      <c r="E32">
        <v>2</v>
      </c>
      <c r="F32" t="s">
        <v>47</v>
      </c>
      <c r="G32">
        <v>2</v>
      </c>
      <c r="H32" t="s">
        <v>65</v>
      </c>
      <c r="I32">
        <f t="shared" si="9"/>
        <v>2020104</v>
      </c>
      <c r="J32" t="s">
        <v>66</v>
      </c>
      <c r="K32">
        <v>0</v>
      </c>
      <c r="N32">
        <v>1</v>
      </c>
    </row>
    <row r="33" customFormat="1" ht="23" customHeight="1" spans="1:14">
      <c r="A33">
        <f t="shared" si="7"/>
        <v>1020105</v>
      </c>
      <c r="B33" s="7">
        <v>105</v>
      </c>
      <c r="C33">
        <f t="shared" si="8"/>
        <v>1200105</v>
      </c>
      <c r="D33" t="s">
        <v>70</v>
      </c>
      <c r="E33">
        <v>2</v>
      </c>
      <c r="F33" t="s">
        <v>47</v>
      </c>
      <c r="G33">
        <v>3</v>
      </c>
      <c r="H33" t="s">
        <v>65</v>
      </c>
      <c r="I33">
        <f t="shared" si="9"/>
        <v>2020105</v>
      </c>
      <c r="J33" t="s">
        <v>66</v>
      </c>
      <c r="K33">
        <v>0</v>
      </c>
      <c r="N33">
        <v>1</v>
      </c>
    </row>
    <row r="34" customFormat="1" ht="23" customHeight="1" spans="1:14">
      <c r="A34">
        <f t="shared" si="7"/>
        <v>1020106</v>
      </c>
      <c r="B34" s="7">
        <v>106</v>
      </c>
      <c r="C34">
        <f t="shared" si="8"/>
        <v>1200106</v>
      </c>
      <c r="D34" t="s">
        <v>71</v>
      </c>
      <c r="E34">
        <v>2</v>
      </c>
      <c r="F34" t="s">
        <v>47</v>
      </c>
      <c r="G34">
        <v>3</v>
      </c>
      <c r="H34" t="s">
        <v>65</v>
      </c>
      <c r="I34">
        <f t="shared" si="9"/>
        <v>2020106</v>
      </c>
      <c r="J34" t="s">
        <v>66</v>
      </c>
      <c r="K34">
        <v>0</v>
      </c>
      <c r="N34">
        <v>1</v>
      </c>
    </row>
    <row r="35" customFormat="1" ht="23" customHeight="1" spans="1:14">
      <c r="A35">
        <f t="shared" si="7"/>
        <v>1020107</v>
      </c>
      <c r="B35" s="7">
        <v>107</v>
      </c>
      <c r="C35">
        <f t="shared" si="8"/>
        <v>1200107</v>
      </c>
      <c r="D35" t="s">
        <v>72</v>
      </c>
      <c r="E35">
        <v>2</v>
      </c>
      <c r="F35" t="s">
        <v>47</v>
      </c>
      <c r="G35">
        <v>4</v>
      </c>
      <c r="H35" t="s">
        <v>65</v>
      </c>
      <c r="I35">
        <f t="shared" si="9"/>
        <v>2020107</v>
      </c>
      <c r="J35" t="s">
        <v>66</v>
      </c>
      <c r="K35">
        <v>0</v>
      </c>
      <c r="N35">
        <v>1</v>
      </c>
    </row>
    <row r="36" customFormat="1" ht="23" customHeight="1" spans="1:14">
      <c r="A36">
        <f t="shared" si="7"/>
        <v>1020108</v>
      </c>
      <c r="B36" s="7">
        <v>108</v>
      </c>
      <c r="C36">
        <f t="shared" si="8"/>
        <v>1200108</v>
      </c>
      <c r="D36" t="s">
        <v>73</v>
      </c>
      <c r="E36">
        <v>2</v>
      </c>
      <c r="F36" t="s">
        <v>47</v>
      </c>
      <c r="G36">
        <v>4</v>
      </c>
      <c r="H36" t="s">
        <v>65</v>
      </c>
      <c r="I36">
        <f t="shared" si="9"/>
        <v>2020108</v>
      </c>
      <c r="J36" t="s">
        <v>66</v>
      </c>
      <c r="K36">
        <v>0</v>
      </c>
      <c r="N36">
        <v>1</v>
      </c>
    </row>
    <row r="37" customFormat="1" ht="23" customHeight="1" spans="1:14">
      <c r="A37">
        <f t="shared" si="7"/>
        <v>1020109</v>
      </c>
      <c r="B37" s="7">
        <v>109</v>
      </c>
      <c r="C37">
        <f t="shared" si="8"/>
        <v>1200109</v>
      </c>
      <c r="D37" t="s">
        <v>74</v>
      </c>
      <c r="E37">
        <v>2</v>
      </c>
      <c r="F37" t="s">
        <v>47</v>
      </c>
      <c r="G37">
        <v>5</v>
      </c>
      <c r="H37" t="s">
        <v>65</v>
      </c>
      <c r="I37">
        <f t="shared" si="9"/>
        <v>2020109</v>
      </c>
      <c r="J37" t="s">
        <v>66</v>
      </c>
      <c r="K37">
        <v>0</v>
      </c>
      <c r="N37">
        <v>1</v>
      </c>
    </row>
    <row r="38" customFormat="1" ht="23" customHeight="1" spans="1:14">
      <c r="A38">
        <f t="shared" si="7"/>
        <v>1020110</v>
      </c>
      <c r="B38" s="7">
        <v>110</v>
      </c>
      <c r="C38">
        <f t="shared" si="8"/>
        <v>1200110</v>
      </c>
      <c r="D38" t="s">
        <v>75</v>
      </c>
      <c r="E38">
        <v>2</v>
      </c>
      <c r="F38" t="s">
        <v>47</v>
      </c>
      <c r="G38">
        <v>5</v>
      </c>
      <c r="H38" t="s">
        <v>65</v>
      </c>
      <c r="I38">
        <f t="shared" si="9"/>
        <v>2020110</v>
      </c>
      <c r="J38" t="s">
        <v>66</v>
      </c>
      <c r="K38">
        <v>0</v>
      </c>
      <c r="N38">
        <v>1</v>
      </c>
    </row>
    <row r="39" customFormat="1" ht="23" customHeight="1" spans="1:14">
      <c r="A39">
        <f t="shared" si="7"/>
        <v>1020111</v>
      </c>
      <c r="B39" s="7">
        <v>111</v>
      </c>
      <c r="C39">
        <f t="shared" si="8"/>
        <v>1200111</v>
      </c>
      <c r="D39" t="s">
        <v>76</v>
      </c>
      <c r="E39">
        <v>2</v>
      </c>
      <c r="F39" t="s">
        <v>47</v>
      </c>
      <c r="G39">
        <v>6</v>
      </c>
      <c r="H39" t="s">
        <v>65</v>
      </c>
      <c r="I39">
        <f t="shared" si="9"/>
        <v>2020111</v>
      </c>
      <c r="J39" t="s">
        <v>66</v>
      </c>
      <c r="K39">
        <v>0</v>
      </c>
      <c r="N39">
        <v>1</v>
      </c>
    </row>
    <row r="40" customFormat="1" ht="23" customHeight="1" spans="1:14">
      <c r="A40">
        <f t="shared" si="7"/>
        <v>1020112</v>
      </c>
      <c r="B40" s="7">
        <v>112</v>
      </c>
      <c r="C40">
        <f t="shared" si="8"/>
        <v>1200112</v>
      </c>
      <c r="D40" t="s">
        <v>77</v>
      </c>
      <c r="E40">
        <v>2</v>
      </c>
      <c r="F40" t="s">
        <v>47</v>
      </c>
      <c r="G40">
        <v>6</v>
      </c>
      <c r="H40" t="s">
        <v>65</v>
      </c>
      <c r="I40">
        <f t="shared" si="9"/>
        <v>2020112</v>
      </c>
      <c r="J40" t="s">
        <v>66</v>
      </c>
      <c r="K40">
        <v>0</v>
      </c>
      <c r="N40">
        <v>1</v>
      </c>
    </row>
    <row r="41" customFormat="1" ht="23" customHeight="1" spans="1:14">
      <c r="A41">
        <f t="shared" ref="A41:A66" si="10">1000000+E41*10000+B41</f>
        <v>1020121</v>
      </c>
      <c r="B41" s="7">
        <v>121</v>
      </c>
      <c r="C41">
        <f t="shared" ref="C41:C66" si="11">1000000+E41*100000+B41</f>
        <v>1200121</v>
      </c>
      <c r="D41" t="s">
        <v>78</v>
      </c>
      <c r="E41">
        <v>2</v>
      </c>
      <c r="F41" t="s">
        <v>47</v>
      </c>
      <c r="G41">
        <v>1</v>
      </c>
      <c r="H41" t="s">
        <v>65</v>
      </c>
      <c r="I41">
        <f t="shared" si="9"/>
        <v>2020121</v>
      </c>
      <c r="J41" t="s">
        <v>66</v>
      </c>
      <c r="K41">
        <v>0</v>
      </c>
      <c r="N41">
        <v>1</v>
      </c>
    </row>
    <row r="42" customFormat="1" ht="23" customHeight="1" spans="1:14">
      <c r="A42">
        <f t="shared" si="10"/>
        <v>1020122</v>
      </c>
      <c r="B42" s="7">
        <v>122</v>
      </c>
      <c r="C42">
        <f t="shared" si="11"/>
        <v>1200122</v>
      </c>
      <c r="D42" t="s">
        <v>79</v>
      </c>
      <c r="E42">
        <v>2</v>
      </c>
      <c r="F42" t="s">
        <v>47</v>
      </c>
      <c r="G42">
        <v>1</v>
      </c>
      <c r="H42" t="s">
        <v>65</v>
      </c>
      <c r="I42">
        <f t="shared" si="9"/>
        <v>2020122</v>
      </c>
      <c r="J42" t="s">
        <v>66</v>
      </c>
      <c r="K42">
        <v>0</v>
      </c>
      <c r="N42">
        <v>1</v>
      </c>
    </row>
    <row r="43" customFormat="1" ht="23" customHeight="1" spans="1:14">
      <c r="A43">
        <f t="shared" si="10"/>
        <v>1020123</v>
      </c>
      <c r="B43" s="7">
        <v>123</v>
      </c>
      <c r="C43">
        <f t="shared" si="11"/>
        <v>1200123</v>
      </c>
      <c r="D43" t="s">
        <v>80</v>
      </c>
      <c r="E43">
        <v>2</v>
      </c>
      <c r="F43" t="s">
        <v>47</v>
      </c>
      <c r="G43">
        <v>2</v>
      </c>
      <c r="H43" t="s">
        <v>65</v>
      </c>
      <c r="I43">
        <f t="shared" si="9"/>
        <v>2020123</v>
      </c>
      <c r="J43" t="s">
        <v>66</v>
      </c>
      <c r="K43">
        <v>0</v>
      </c>
      <c r="N43">
        <v>1</v>
      </c>
    </row>
    <row r="44" customFormat="1" ht="23" customHeight="1" spans="1:14">
      <c r="A44">
        <f t="shared" si="10"/>
        <v>1020124</v>
      </c>
      <c r="B44" s="7">
        <v>124</v>
      </c>
      <c r="C44">
        <f t="shared" si="11"/>
        <v>1200124</v>
      </c>
      <c r="D44" t="s">
        <v>81</v>
      </c>
      <c r="E44">
        <v>2</v>
      </c>
      <c r="F44" t="s">
        <v>47</v>
      </c>
      <c r="G44">
        <v>2</v>
      </c>
      <c r="H44" t="s">
        <v>65</v>
      </c>
      <c r="I44">
        <f t="shared" si="9"/>
        <v>2020124</v>
      </c>
      <c r="J44" t="s">
        <v>66</v>
      </c>
      <c r="K44">
        <v>0</v>
      </c>
      <c r="N44">
        <v>1</v>
      </c>
    </row>
    <row r="45" customFormat="1" ht="23" customHeight="1" spans="1:14">
      <c r="A45">
        <f t="shared" si="10"/>
        <v>1020125</v>
      </c>
      <c r="B45" s="7">
        <v>125</v>
      </c>
      <c r="C45">
        <f t="shared" si="11"/>
        <v>1200125</v>
      </c>
      <c r="D45" t="s">
        <v>82</v>
      </c>
      <c r="E45">
        <v>2</v>
      </c>
      <c r="F45" t="s">
        <v>47</v>
      </c>
      <c r="G45">
        <v>3</v>
      </c>
      <c r="H45" t="s">
        <v>65</v>
      </c>
      <c r="I45">
        <f t="shared" si="9"/>
        <v>2020125</v>
      </c>
      <c r="J45" t="s">
        <v>66</v>
      </c>
      <c r="K45">
        <v>0</v>
      </c>
      <c r="N45">
        <v>1</v>
      </c>
    </row>
    <row r="46" customFormat="1" ht="23" customHeight="1" spans="1:14">
      <c r="A46">
        <f t="shared" si="10"/>
        <v>1020126</v>
      </c>
      <c r="B46" s="7">
        <v>126</v>
      </c>
      <c r="C46">
        <f t="shared" si="11"/>
        <v>1200126</v>
      </c>
      <c r="D46" t="s">
        <v>83</v>
      </c>
      <c r="E46">
        <v>2</v>
      </c>
      <c r="F46" t="s">
        <v>47</v>
      </c>
      <c r="G46">
        <v>3</v>
      </c>
      <c r="H46" t="s">
        <v>65</v>
      </c>
      <c r="I46">
        <f t="shared" si="9"/>
        <v>2020126</v>
      </c>
      <c r="J46" t="s">
        <v>66</v>
      </c>
      <c r="K46">
        <v>0</v>
      </c>
      <c r="N46">
        <v>1</v>
      </c>
    </row>
    <row r="47" customFormat="1" ht="23" customHeight="1" spans="1:14">
      <c r="A47">
        <f t="shared" si="10"/>
        <v>1020127</v>
      </c>
      <c r="B47" s="7">
        <v>127</v>
      </c>
      <c r="C47">
        <f t="shared" si="11"/>
        <v>1200127</v>
      </c>
      <c r="D47" t="s">
        <v>84</v>
      </c>
      <c r="E47">
        <v>2</v>
      </c>
      <c r="F47" t="s">
        <v>47</v>
      </c>
      <c r="G47">
        <v>4</v>
      </c>
      <c r="H47" t="s">
        <v>65</v>
      </c>
      <c r="I47">
        <f t="shared" si="9"/>
        <v>2020127</v>
      </c>
      <c r="J47" t="s">
        <v>66</v>
      </c>
      <c r="K47">
        <v>0</v>
      </c>
      <c r="N47">
        <v>1</v>
      </c>
    </row>
    <row r="48" customFormat="1" ht="23" customHeight="1" spans="1:14">
      <c r="A48">
        <f t="shared" si="10"/>
        <v>1020128</v>
      </c>
      <c r="B48" s="7">
        <v>128</v>
      </c>
      <c r="C48">
        <f t="shared" si="11"/>
        <v>1200128</v>
      </c>
      <c r="D48" t="s">
        <v>85</v>
      </c>
      <c r="E48">
        <v>2</v>
      </c>
      <c r="F48" t="s">
        <v>47</v>
      </c>
      <c r="G48">
        <v>4</v>
      </c>
      <c r="H48" t="s">
        <v>65</v>
      </c>
      <c r="I48">
        <f t="shared" si="9"/>
        <v>2020128</v>
      </c>
      <c r="J48" t="s">
        <v>66</v>
      </c>
      <c r="K48">
        <v>0</v>
      </c>
      <c r="N48">
        <v>1</v>
      </c>
    </row>
    <row r="49" customFormat="1" ht="23" customHeight="1" spans="1:14">
      <c r="A49">
        <f t="shared" si="10"/>
        <v>1020129</v>
      </c>
      <c r="B49" s="7">
        <v>129</v>
      </c>
      <c r="C49">
        <f t="shared" si="11"/>
        <v>1200129</v>
      </c>
      <c r="D49" t="s">
        <v>86</v>
      </c>
      <c r="E49">
        <v>2</v>
      </c>
      <c r="F49" t="s">
        <v>47</v>
      </c>
      <c r="G49">
        <v>5</v>
      </c>
      <c r="H49" t="s">
        <v>65</v>
      </c>
      <c r="I49">
        <f t="shared" si="9"/>
        <v>2020129</v>
      </c>
      <c r="J49" t="s">
        <v>66</v>
      </c>
      <c r="K49">
        <v>0</v>
      </c>
      <c r="N49">
        <v>1</v>
      </c>
    </row>
    <row r="50" customFormat="1" ht="23" customHeight="1" spans="1:14">
      <c r="A50">
        <f t="shared" si="10"/>
        <v>1020130</v>
      </c>
      <c r="B50" s="7">
        <v>130</v>
      </c>
      <c r="C50">
        <f t="shared" si="11"/>
        <v>1200130</v>
      </c>
      <c r="D50" t="s">
        <v>87</v>
      </c>
      <c r="E50">
        <v>2</v>
      </c>
      <c r="F50" t="s">
        <v>47</v>
      </c>
      <c r="G50">
        <v>5</v>
      </c>
      <c r="H50" t="s">
        <v>65</v>
      </c>
      <c r="I50">
        <f t="shared" si="9"/>
        <v>2020130</v>
      </c>
      <c r="J50" t="s">
        <v>66</v>
      </c>
      <c r="K50">
        <v>0</v>
      </c>
      <c r="N50">
        <v>1</v>
      </c>
    </row>
    <row r="51" customFormat="1" ht="23" customHeight="1" spans="1:14">
      <c r="A51">
        <f t="shared" si="10"/>
        <v>1020131</v>
      </c>
      <c r="B51" s="7">
        <v>131</v>
      </c>
      <c r="C51">
        <f t="shared" si="11"/>
        <v>1200131</v>
      </c>
      <c r="D51" t="s">
        <v>88</v>
      </c>
      <c r="E51">
        <v>2</v>
      </c>
      <c r="F51" t="s">
        <v>47</v>
      </c>
      <c r="G51">
        <v>6</v>
      </c>
      <c r="H51" t="s">
        <v>65</v>
      </c>
      <c r="I51">
        <f t="shared" si="9"/>
        <v>2020131</v>
      </c>
      <c r="J51" t="s">
        <v>66</v>
      </c>
      <c r="K51">
        <v>0</v>
      </c>
      <c r="N51">
        <v>1</v>
      </c>
    </row>
    <row r="52" customFormat="1" ht="23" customHeight="1" spans="1:14">
      <c r="A52">
        <f t="shared" si="10"/>
        <v>1020132</v>
      </c>
      <c r="B52" s="7">
        <v>132</v>
      </c>
      <c r="C52">
        <f t="shared" si="11"/>
        <v>1200132</v>
      </c>
      <c r="D52" t="s">
        <v>89</v>
      </c>
      <c r="E52">
        <v>2</v>
      </c>
      <c r="F52" t="s">
        <v>47</v>
      </c>
      <c r="G52">
        <v>6</v>
      </c>
      <c r="H52" t="s">
        <v>65</v>
      </c>
      <c r="I52">
        <f t="shared" si="9"/>
        <v>2020132</v>
      </c>
      <c r="J52" t="s">
        <v>66</v>
      </c>
      <c r="K52">
        <v>0</v>
      </c>
      <c r="N52">
        <v>1</v>
      </c>
    </row>
    <row r="53" customFormat="1" ht="23" customHeight="1" spans="1:14">
      <c r="A53">
        <f t="shared" si="10"/>
        <v>1020141</v>
      </c>
      <c r="B53" s="7">
        <v>141</v>
      </c>
      <c r="C53">
        <f t="shared" si="11"/>
        <v>1200141</v>
      </c>
      <c r="D53" t="s">
        <v>90</v>
      </c>
      <c r="E53">
        <v>2</v>
      </c>
      <c r="F53" t="s">
        <v>47</v>
      </c>
      <c r="G53">
        <v>1</v>
      </c>
      <c r="H53" t="s">
        <v>65</v>
      </c>
      <c r="I53">
        <f t="shared" si="9"/>
        <v>2020141</v>
      </c>
      <c r="J53" t="s">
        <v>66</v>
      </c>
      <c r="K53">
        <v>0</v>
      </c>
      <c r="N53">
        <v>1</v>
      </c>
    </row>
    <row r="54" customFormat="1" ht="23" customHeight="1" spans="1:14">
      <c r="A54">
        <f t="shared" si="10"/>
        <v>1020142</v>
      </c>
      <c r="B54" s="7">
        <v>142</v>
      </c>
      <c r="C54">
        <f t="shared" si="11"/>
        <v>1200142</v>
      </c>
      <c r="D54" t="s">
        <v>91</v>
      </c>
      <c r="E54">
        <v>2</v>
      </c>
      <c r="F54" t="s">
        <v>47</v>
      </c>
      <c r="G54">
        <v>1</v>
      </c>
      <c r="H54" t="s">
        <v>65</v>
      </c>
      <c r="I54">
        <f t="shared" si="9"/>
        <v>2020142</v>
      </c>
      <c r="J54" t="s">
        <v>66</v>
      </c>
      <c r="K54">
        <v>0</v>
      </c>
      <c r="N54">
        <v>1</v>
      </c>
    </row>
    <row r="55" customFormat="1" ht="23" customHeight="1" spans="1:14">
      <c r="A55">
        <f t="shared" si="10"/>
        <v>1020143</v>
      </c>
      <c r="B55" s="7">
        <v>143</v>
      </c>
      <c r="C55">
        <f t="shared" si="11"/>
        <v>1200143</v>
      </c>
      <c r="D55" t="s">
        <v>92</v>
      </c>
      <c r="E55">
        <v>2</v>
      </c>
      <c r="F55" t="s">
        <v>47</v>
      </c>
      <c r="G55">
        <v>2</v>
      </c>
      <c r="H55" t="s">
        <v>65</v>
      </c>
      <c r="I55">
        <f t="shared" si="9"/>
        <v>2020143</v>
      </c>
      <c r="J55" t="s">
        <v>66</v>
      </c>
      <c r="K55">
        <v>0</v>
      </c>
      <c r="N55">
        <v>1</v>
      </c>
    </row>
    <row r="56" customFormat="1" ht="23" customHeight="1" spans="1:14">
      <c r="A56">
        <f t="shared" si="10"/>
        <v>1020144</v>
      </c>
      <c r="B56" s="7">
        <v>144</v>
      </c>
      <c r="C56">
        <f t="shared" si="11"/>
        <v>1200144</v>
      </c>
      <c r="D56" t="s">
        <v>93</v>
      </c>
      <c r="E56">
        <v>2</v>
      </c>
      <c r="F56" t="s">
        <v>47</v>
      </c>
      <c r="G56">
        <v>2</v>
      </c>
      <c r="H56" t="s">
        <v>65</v>
      </c>
      <c r="I56">
        <f t="shared" si="9"/>
        <v>2020144</v>
      </c>
      <c r="J56" t="s">
        <v>66</v>
      </c>
      <c r="K56">
        <v>0</v>
      </c>
      <c r="N56">
        <v>1</v>
      </c>
    </row>
    <row r="57" customFormat="1" ht="23" customHeight="1" spans="1:14">
      <c r="A57">
        <f t="shared" si="10"/>
        <v>1020145</v>
      </c>
      <c r="B57" s="7">
        <v>145</v>
      </c>
      <c r="C57">
        <f t="shared" si="11"/>
        <v>1200145</v>
      </c>
      <c r="D57" t="s">
        <v>94</v>
      </c>
      <c r="E57">
        <v>2</v>
      </c>
      <c r="F57" t="s">
        <v>47</v>
      </c>
      <c r="G57">
        <v>3</v>
      </c>
      <c r="H57" t="s">
        <v>65</v>
      </c>
      <c r="I57">
        <f t="shared" si="9"/>
        <v>2020145</v>
      </c>
      <c r="J57" t="s">
        <v>66</v>
      </c>
      <c r="K57">
        <v>0</v>
      </c>
      <c r="N57">
        <v>1</v>
      </c>
    </row>
    <row r="58" customFormat="1" ht="23" customHeight="1" spans="1:14">
      <c r="A58">
        <f t="shared" si="10"/>
        <v>1020146</v>
      </c>
      <c r="B58" s="7">
        <v>146</v>
      </c>
      <c r="C58">
        <f t="shared" si="11"/>
        <v>1200146</v>
      </c>
      <c r="D58" t="s">
        <v>95</v>
      </c>
      <c r="E58">
        <v>2</v>
      </c>
      <c r="F58" t="s">
        <v>47</v>
      </c>
      <c r="G58">
        <v>3</v>
      </c>
      <c r="H58" t="s">
        <v>65</v>
      </c>
      <c r="I58">
        <f t="shared" si="9"/>
        <v>2020146</v>
      </c>
      <c r="J58" t="s">
        <v>66</v>
      </c>
      <c r="K58">
        <v>0</v>
      </c>
      <c r="N58">
        <v>1</v>
      </c>
    </row>
    <row r="59" customFormat="1" ht="23" customHeight="1" spans="1:14">
      <c r="A59">
        <f t="shared" si="10"/>
        <v>1020147</v>
      </c>
      <c r="B59" s="7">
        <v>147</v>
      </c>
      <c r="C59">
        <f t="shared" si="11"/>
        <v>1200147</v>
      </c>
      <c r="D59" t="s">
        <v>96</v>
      </c>
      <c r="E59">
        <v>2</v>
      </c>
      <c r="F59" t="s">
        <v>47</v>
      </c>
      <c r="G59">
        <v>4</v>
      </c>
      <c r="H59" t="s">
        <v>65</v>
      </c>
      <c r="I59">
        <f t="shared" si="9"/>
        <v>2020147</v>
      </c>
      <c r="J59" t="s">
        <v>66</v>
      </c>
      <c r="K59">
        <v>0</v>
      </c>
      <c r="N59">
        <v>1</v>
      </c>
    </row>
    <row r="60" customFormat="1" ht="23" customHeight="1" spans="1:14">
      <c r="A60">
        <f t="shared" si="10"/>
        <v>1020148</v>
      </c>
      <c r="B60" s="7">
        <v>148</v>
      </c>
      <c r="C60">
        <f t="shared" si="11"/>
        <v>1200148</v>
      </c>
      <c r="D60" t="s">
        <v>97</v>
      </c>
      <c r="E60">
        <v>2</v>
      </c>
      <c r="F60" t="s">
        <v>47</v>
      </c>
      <c r="G60">
        <v>4</v>
      </c>
      <c r="H60" t="s">
        <v>65</v>
      </c>
      <c r="I60">
        <f t="shared" si="9"/>
        <v>2020148</v>
      </c>
      <c r="J60" t="s">
        <v>66</v>
      </c>
      <c r="K60">
        <v>0</v>
      </c>
      <c r="N60">
        <v>1</v>
      </c>
    </row>
    <row r="61" customFormat="1" ht="23" customHeight="1" spans="1:14">
      <c r="A61">
        <f t="shared" si="10"/>
        <v>1020149</v>
      </c>
      <c r="B61" s="7">
        <v>149</v>
      </c>
      <c r="C61">
        <f t="shared" si="11"/>
        <v>1200149</v>
      </c>
      <c r="D61" t="s">
        <v>98</v>
      </c>
      <c r="E61">
        <v>2</v>
      </c>
      <c r="F61" t="s">
        <v>47</v>
      </c>
      <c r="G61">
        <v>5</v>
      </c>
      <c r="H61" t="s">
        <v>65</v>
      </c>
      <c r="I61">
        <f t="shared" si="9"/>
        <v>2020149</v>
      </c>
      <c r="J61" t="s">
        <v>66</v>
      </c>
      <c r="K61">
        <v>0</v>
      </c>
      <c r="N61">
        <v>1</v>
      </c>
    </row>
    <row r="62" customFormat="1" ht="23" customHeight="1" spans="1:14">
      <c r="A62">
        <f t="shared" si="10"/>
        <v>1020150</v>
      </c>
      <c r="B62" s="7">
        <v>150</v>
      </c>
      <c r="C62">
        <f t="shared" si="11"/>
        <v>1200150</v>
      </c>
      <c r="D62" t="s">
        <v>99</v>
      </c>
      <c r="E62">
        <v>2</v>
      </c>
      <c r="F62" t="s">
        <v>47</v>
      </c>
      <c r="G62">
        <v>5</v>
      </c>
      <c r="H62" t="s">
        <v>65</v>
      </c>
      <c r="I62">
        <f t="shared" ref="I62:I93" si="12">2000000+E62*10000+B62</f>
        <v>2020150</v>
      </c>
      <c r="J62" t="s">
        <v>66</v>
      </c>
      <c r="K62">
        <v>0</v>
      </c>
      <c r="N62">
        <v>1</v>
      </c>
    </row>
    <row r="63" customFormat="1" ht="23" customHeight="1" spans="1:14">
      <c r="A63">
        <f t="shared" si="10"/>
        <v>1020151</v>
      </c>
      <c r="B63" s="7">
        <v>151</v>
      </c>
      <c r="C63">
        <f t="shared" si="11"/>
        <v>1200151</v>
      </c>
      <c r="D63" t="s">
        <v>100</v>
      </c>
      <c r="E63">
        <v>2</v>
      </c>
      <c r="F63" t="s">
        <v>47</v>
      </c>
      <c r="G63">
        <v>6</v>
      </c>
      <c r="H63" t="s">
        <v>65</v>
      </c>
      <c r="I63">
        <f t="shared" si="12"/>
        <v>2020151</v>
      </c>
      <c r="J63" t="s">
        <v>66</v>
      </c>
      <c r="K63">
        <v>0</v>
      </c>
      <c r="N63">
        <v>1</v>
      </c>
    </row>
    <row r="64" customFormat="1" ht="23" customHeight="1" spans="1:14">
      <c r="A64">
        <f t="shared" si="10"/>
        <v>1020152</v>
      </c>
      <c r="B64" s="7">
        <v>152</v>
      </c>
      <c r="C64">
        <f t="shared" si="11"/>
        <v>1200152</v>
      </c>
      <c r="D64" t="s">
        <v>101</v>
      </c>
      <c r="E64">
        <v>2</v>
      </c>
      <c r="F64" t="s">
        <v>47</v>
      </c>
      <c r="G64">
        <v>6</v>
      </c>
      <c r="H64" t="s">
        <v>65</v>
      </c>
      <c r="I64">
        <f t="shared" si="12"/>
        <v>2020152</v>
      </c>
      <c r="J64" t="s">
        <v>66</v>
      </c>
      <c r="K64">
        <v>0</v>
      </c>
      <c r="N64">
        <v>1</v>
      </c>
    </row>
    <row r="65" customFormat="1" ht="23" customHeight="1" spans="1:14">
      <c r="A65">
        <f t="shared" si="10"/>
        <v>1020161</v>
      </c>
      <c r="B65" s="7">
        <v>161</v>
      </c>
      <c r="C65">
        <f t="shared" si="11"/>
        <v>1200161</v>
      </c>
      <c r="D65" t="s">
        <v>102</v>
      </c>
      <c r="E65">
        <v>2</v>
      </c>
      <c r="F65" t="s">
        <v>47</v>
      </c>
      <c r="G65">
        <v>1</v>
      </c>
      <c r="H65" t="s">
        <v>65</v>
      </c>
      <c r="I65">
        <f t="shared" si="12"/>
        <v>2020161</v>
      </c>
      <c r="J65" t="s">
        <v>66</v>
      </c>
      <c r="K65">
        <v>0</v>
      </c>
      <c r="N65">
        <v>1</v>
      </c>
    </row>
    <row r="66" customFormat="1" ht="23" customHeight="1" spans="1:14">
      <c r="A66">
        <f t="shared" si="10"/>
        <v>1020162</v>
      </c>
      <c r="B66" s="7">
        <v>162</v>
      </c>
      <c r="C66">
        <f t="shared" si="11"/>
        <v>1200162</v>
      </c>
      <c r="D66" t="s">
        <v>103</v>
      </c>
      <c r="E66">
        <v>2</v>
      </c>
      <c r="F66" t="s">
        <v>47</v>
      </c>
      <c r="G66">
        <v>1</v>
      </c>
      <c r="H66" t="s">
        <v>65</v>
      </c>
      <c r="I66">
        <f t="shared" si="12"/>
        <v>2020162</v>
      </c>
      <c r="J66" t="s">
        <v>66</v>
      </c>
      <c r="K66">
        <v>0</v>
      </c>
      <c r="N66">
        <v>1</v>
      </c>
    </row>
    <row r="67" customFormat="1" ht="23" customHeight="1" spans="1:14">
      <c r="A67">
        <f t="shared" ref="A67:A98" si="13">1000000+E67*10000+B67</f>
        <v>1020163</v>
      </c>
      <c r="B67" s="7">
        <v>163</v>
      </c>
      <c r="C67">
        <f t="shared" ref="C67:C98" si="14">1000000+E67*100000+B67</f>
        <v>1200163</v>
      </c>
      <c r="D67" t="s">
        <v>104</v>
      </c>
      <c r="E67">
        <v>2</v>
      </c>
      <c r="F67" t="s">
        <v>47</v>
      </c>
      <c r="G67">
        <v>2</v>
      </c>
      <c r="H67" t="s">
        <v>65</v>
      </c>
      <c r="I67">
        <f t="shared" si="12"/>
        <v>2020163</v>
      </c>
      <c r="J67" t="s">
        <v>66</v>
      </c>
      <c r="K67">
        <v>0</v>
      </c>
      <c r="N67">
        <v>1</v>
      </c>
    </row>
    <row r="68" customFormat="1" ht="23" customHeight="1" spans="1:14">
      <c r="A68">
        <f t="shared" si="13"/>
        <v>1020164</v>
      </c>
      <c r="B68" s="7">
        <v>164</v>
      </c>
      <c r="C68">
        <f t="shared" si="14"/>
        <v>1200164</v>
      </c>
      <c r="D68" t="s">
        <v>105</v>
      </c>
      <c r="E68">
        <v>2</v>
      </c>
      <c r="F68" t="s">
        <v>47</v>
      </c>
      <c r="G68">
        <v>2</v>
      </c>
      <c r="H68" t="s">
        <v>65</v>
      </c>
      <c r="I68">
        <f t="shared" si="12"/>
        <v>2020164</v>
      </c>
      <c r="J68" t="s">
        <v>66</v>
      </c>
      <c r="K68">
        <v>0</v>
      </c>
      <c r="N68">
        <v>1</v>
      </c>
    </row>
    <row r="69" customFormat="1" ht="23" customHeight="1" spans="1:14">
      <c r="A69">
        <f t="shared" si="13"/>
        <v>1020165</v>
      </c>
      <c r="B69" s="7">
        <v>165</v>
      </c>
      <c r="C69">
        <f t="shared" si="14"/>
        <v>1200165</v>
      </c>
      <c r="D69" t="s">
        <v>106</v>
      </c>
      <c r="E69">
        <v>2</v>
      </c>
      <c r="F69" t="s">
        <v>47</v>
      </c>
      <c r="G69">
        <v>3</v>
      </c>
      <c r="H69" t="s">
        <v>65</v>
      </c>
      <c r="I69">
        <f t="shared" si="12"/>
        <v>2020165</v>
      </c>
      <c r="J69" t="s">
        <v>66</v>
      </c>
      <c r="K69">
        <v>0</v>
      </c>
      <c r="N69">
        <v>1</v>
      </c>
    </row>
    <row r="70" customFormat="1" ht="23" customHeight="1" spans="1:14">
      <c r="A70">
        <f t="shared" si="13"/>
        <v>1020166</v>
      </c>
      <c r="B70" s="7">
        <v>166</v>
      </c>
      <c r="C70">
        <f t="shared" si="14"/>
        <v>1200166</v>
      </c>
      <c r="D70" t="s">
        <v>107</v>
      </c>
      <c r="E70">
        <v>2</v>
      </c>
      <c r="F70" t="s">
        <v>47</v>
      </c>
      <c r="G70">
        <v>3</v>
      </c>
      <c r="H70" t="s">
        <v>65</v>
      </c>
      <c r="I70">
        <f t="shared" si="12"/>
        <v>2020166</v>
      </c>
      <c r="J70" t="s">
        <v>66</v>
      </c>
      <c r="K70">
        <v>0</v>
      </c>
      <c r="N70">
        <v>1</v>
      </c>
    </row>
    <row r="71" customFormat="1" ht="23" customHeight="1" spans="1:14">
      <c r="A71">
        <f t="shared" si="13"/>
        <v>1020167</v>
      </c>
      <c r="B71" s="7">
        <v>167</v>
      </c>
      <c r="C71">
        <f t="shared" si="14"/>
        <v>1200167</v>
      </c>
      <c r="D71" t="s">
        <v>108</v>
      </c>
      <c r="E71">
        <v>2</v>
      </c>
      <c r="F71" t="s">
        <v>47</v>
      </c>
      <c r="G71">
        <v>4</v>
      </c>
      <c r="H71" t="s">
        <v>65</v>
      </c>
      <c r="I71">
        <f t="shared" si="12"/>
        <v>2020167</v>
      </c>
      <c r="J71" t="s">
        <v>66</v>
      </c>
      <c r="K71">
        <v>0</v>
      </c>
      <c r="N71">
        <v>1</v>
      </c>
    </row>
    <row r="72" customFormat="1" ht="23" customHeight="1" spans="1:14">
      <c r="A72">
        <f t="shared" si="13"/>
        <v>1020168</v>
      </c>
      <c r="B72" s="7">
        <v>168</v>
      </c>
      <c r="C72">
        <f t="shared" si="14"/>
        <v>1200168</v>
      </c>
      <c r="D72" t="s">
        <v>109</v>
      </c>
      <c r="E72">
        <v>2</v>
      </c>
      <c r="F72" t="s">
        <v>47</v>
      </c>
      <c r="G72">
        <v>4</v>
      </c>
      <c r="H72" t="s">
        <v>65</v>
      </c>
      <c r="I72">
        <f t="shared" si="12"/>
        <v>2020168</v>
      </c>
      <c r="J72" t="s">
        <v>66</v>
      </c>
      <c r="K72">
        <v>0</v>
      </c>
      <c r="N72">
        <v>1</v>
      </c>
    </row>
    <row r="73" customFormat="1" ht="23" customHeight="1" spans="1:14">
      <c r="A73">
        <f t="shared" si="13"/>
        <v>1020169</v>
      </c>
      <c r="B73" s="7">
        <v>169</v>
      </c>
      <c r="C73">
        <f t="shared" si="14"/>
        <v>1200169</v>
      </c>
      <c r="D73" t="s">
        <v>110</v>
      </c>
      <c r="E73">
        <v>2</v>
      </c>
      <c r="F73" t="s">
        <v>47</v>
      </c>
      <c r="G73">
        <v>5</v>
      </c>
      <c r="H73" t="s">
        <v>65</v>
      </c>
      <c r="I73">
        <f t="shared" si="12"/>
        <v>2020169</v>
      </c>
      <c r="J73" t="s">
        <v>66</v>
      </c>
      <c r="K73">
        <v>0</v>
      </c>
      <c r="N73">
        <v>1</v>
      </c>
    </row>
    <row r="74" customFormat="1" ht="23" customHeight="1" spans="1:14">
      <c r="A74">
        <f t="shared" si="13"/>
        <v>1020170</v>
      </c>
      <c r="B74" s="7">
        <v>170</v>
      </c>
      <c r="C74">
        <f t="shared" si="14"/>
        <v>1200170</v>
      </c>
      <c r="D74" t="s">
        <v>111</v>
      </c>
      <c r="E74">
        <v>2</v>
      </c>
      <c r="F74" t="s">
        <v>47</v>
      </c>
      <c r="G74">
        <v>5</v>
      </c>
      <c r="H74" t="s">
        <v>65</v>
      </c>
      <c r="I74">
        <f t="shared" si="12"/>
        <v>2020170</v>
      </c>
      <c r="J74" t="s">
        <v>66</v>
      </c>
      <c r="K74">
        <v>0</v>
      </c>
      <c r="N74">
        <v>1</v>
      </c>
    </row>
    <row r="75" customFormat="1" ht="23" customHeight="1" spans="1:14">
      <c r="A75">
        <f t="shared" si="13"/>
        <v>1020171</v>
      </c>
      <c r="B75" s="7">
        <v>171</v>
      </c>
      <c r="C75">
        <f t="shared" si="14"/>
        <v>1200171</v>
      </c>
      <c r="D75" t="s">
        <v>112</v>
      </c>
      <c r="E75">
        <v>2</v>
      </c>
      <c r="F75" t="s">
        <v>47</v>
      </c>
      <c r="G75">
        <v>6</v>
      </c>
      <c r="H75" t="s">
        <v>65</v>
      </c>
      <c r="I75">
        <f t="shared" si="12"/>
        <v>2020171</v>
      </c>
      <c r="J75" t="s">
        <v>66</v>
      </c>
      <c r="K75">
        <v>0</v>
      </c>
      <c r="N75">
        <v>1</v>
      </c>
    </row>
    <row r="76" customFormat="1" ht="23" customHeight="1" spans="1:14">
      <c r="A76">
        <f t="shared" si="13"/>
        <v>1020172</v>
      </c>
      <c r="B76" s="7">
        <v>172</v>
      </c>
      <c r="C76">
        <f t="shared" si="14"/>
        <v>1200172</v>
      </c>
      <c r="D76" t="s">
        <v>113</v>
      </c>
      <c r="E76">
        <v>2</v>
      </c>
      <c r="F76" t="s">
        <v>47</v>
      </c>
      <c r="G76">
        <v>6</v>
      </c>
      <c r="H76" t="s">
        <v>65</v>
      </c>
      <c r="I76">
        <f t="shared" si="12"/>
        <v>2020172</v>
      </c>
      <c r="J76" t="s">
        <v>66</v>
      </c>
      <c r="K76">
        <v>0</v>
      </c>
      <c r="N76">
        <v>1</v>
      </c>
    </row>
    <row r="77" customFormat="1" ht="23" customHeight="1" spans="1:14">
      <c r="A77">
        <f t="shared" si="13"/>
        <v>1020181</v>
      </c>
      <c r="B77" s="7">
        <v>181</v>
      </c>
      <c r="C77">
        <f t="shared" si="14"/>
        <v>1200181</v>
      </c>
      <c r="D77" t="s">
        <v>114</v>
      </c>
      <c r="E77">
        <v>2</v>
      </c>
      <c r="F77" t="s">
        <v>47</v>
      </c>
      <c r="G77">
        <v>1</v>
      </c>
      <c r="H77" t="s">
        <v>65</v>
      </c>
      <c r="I77">
        <f t="shared" si="12"/>
        <v>2020181</v>
      </c>
      <c r="J77" t="s">
        <v>66</v>
      </c>
      <c r="K77">
        <v>0</v>
      </c>
      <c r="N77">
        <v>1</v>
      </c>
    </row>
    <row r="78" customFormat="1" ht="23" customHeight="1" spans="1:14">
      <c r="A78">
        <f t="shared" si="13"/>
        <v>1020182</v>
      </c>
      <c r="B78" s="7">
        <v>182</v>
      </c>
      <c r="C78">
        <f t="shared" si="14"/>
        <v>1200182</v>
      </c>
      <c r="D78" t="s">
        <v>115</v>
      </c>
      <c r="E78">
        <v>2</v>
      </c>
      <c r="F78" t="s">
        <v>47</v>
      </c>
      <c r="G78">
        <v>1</v>
      </c>
      <c r="H78" t="s">
        <v>65</v>
      </c>
      <c r="I78">
        <f t="shared" si="12"/>
        <v>2020182</v>
      </c>
      <c r="J78" t="s">
        <v>66</v>
      </c>
      <c r="K78">
        <v>0</v>
      </c>
      <c r="N78">
        <v>1</v>
      </c>
    </row>
    <row r="79" customFormat="1" ht="23" customHeight="1" spans="1:14">
      <c r="A79">
        <f t="shared" si="13"/>
        <v>1020183</v>
      </c>
      <c r="B79" s="7">
        <v>183</v>
      </c>
      <c r="C79">
        <f t="shared" si="14"/>
        <v>1200183</v>
      </c>
      <c r="D79" t="s">
        <v>116</v>
      </c>
      <c r="E79">
        <v>2</v>
      </c>
      <c r="F79" t="s">
        <v>47</v>
      </c>
      <c r="G79">
        <v>2</v>
      </c>
      <c r="H79" t="s">
        <v>65</v>
      </c>
      <c r="I79">
        <f t="shared" si="12"/>
        <v>2020183</v>
      </c>
      <c r="J79" t="s">
        <v>66</v>
      </c>
      <c r="K79">
        <v>0</v>
      </c>
      <c r="N79">
        <v>1</v>
      </c>
    </row>
    <row r="80" customFormat="1" ht="23" customHeight="1" spans="1:14">
      <c r="A80">
        <f t="shared" si="13"/>
        <v>1020184</v>
      </c>
      <c r="B80" s="7">
        <v>184</v>
      </c>
      <c r="C80">
        <f t="shared" si="14"/>
        <v>1200184</v>
      </c>
      <c r="D80" t="s">
        <v>117</v>
      </c>
      <c r="E80">
        <v>2</v>
      </c>
      <c r="F80" t="s">
        <v>47</v>
      </c>
      <c r="G80">
        <v>2</v>
      </c>
      <c r="H80" t="s">
        <v>65</v>
      </c>
      <c r="I80">
        <f t="shared" si="12"/>
        <v>2020184</v>
      </c>
      <c r="J80" t="s">
        <v>66</v>
      </c>
      <c r="K80">
        <v>0</v>
      </c>
      <c r="N80">
        <v>1</v>
      </c>
    </row>
    <row r="81" customFormat="1" ht="23" customHeight="1" spans="1:14">
      <c r="A81">
        <f t="shared" si="13"/>
        <v>1020185</v>
      </c>
      <c r="B81" s="7">
        <v>185</v>
      </c>
      <c r="C81">
        <f t="shared" si="14"/>
        <v>1200185</v>
      </c>
      <c r="D81" t="s">
        <v>118</v>
      </c>
      <c r="E81">
        <v>2</v>
      </c>
      <c r="F81" t="s">
        <v>47</v>
      </c>
      <c r="G81">
        <v>3</v>
      </c>
      <c r="H81" t="s">
        <v>65</v>
      </c>
      <c r="I81">
        <f t="shared" si="12"/>
        <v>2020185</v>
      </c>
      <c r="J81" t="s">
        <v>66</v>
      </c>
      <c r="K81">
        <v>0</v>
      </c>
      <c r="N81">
        <v>1</v>
      </c>
    </row>
    <row r="82" customFormat="1" ht="23" customHeight="1" spans="1:14">
      <c r="A82">
        <f t="shared" si="13"/>
        <v>1020186</v>
      </c>
      <c r="B82" s="7">
        <v>186</v>
      </c>
      <c r="C82">
        <f t="shared" si="14"/>
        <v>1200186</v>
      </c>
      <c r="D82" t="s">
        <v>119</v>
      </c>
      <c r="E82">
        <v>2</v>
      </c>
      <c r="F82" t="s">
        <v>47</v>
      </c>
      <c r="G82">
        <v>3</v>
      </c>
      <c r="H82" t="s">
        <v>65</v>
      </c>
      <c r="I82">
        <f t="shared" si="12"/>
        <v>2020186</v>
      </c>
      <c r="J82" t="s">
        <v>66</v>
      </c>
      <c r="K82">
        <v>0</v>
      </c>
      <c r="N82">
        <v>1</v>
      </c>
    </row>
    <row r="83" customFormat="1" ht="23" customHeight="1" spans="1:14">
      <c r="A83">
        <f t="shared" si="13"/>
        <v>1020187</v>
      </c>
      <c r="B83" s="7">
        <v>187</v>
      </c>
      <c r="C83">
        <f t="shared" si="14"/>
        <v>1200187</v>
      </c>
      <c r="D83" t="s">
        <v>120</v>
      </c>
      <c r="E83">
        <v>2</v>
      </c>
      <c r="F83" t="s">
        <v>47</v>
      </c>
      <c r="G83">
        <v>4</v>
      </c>
      <c r="H83" t="s">
        <v>65</v>
      </c>
      <c r="I83">
        <f t="shared" si="12"/>
        <v>2020187</v>
      </c>
      <c r="J83" t="s">
        <v>66</v>
      </c>
      <c r="K83">
        <v>0</v>
      </c>
      <c r="N83">
        <v>1</v>
      </c>
    </row>
    <row r="84" customFormat="1" ht="23" customHeight="1" spans="1:14">
      <c r="A84">
        <f t="shared" si="13"/>
        <v>1020188</v>
      </c>
      <c r="B84" s="7">
        <v>188</v>
      </c>
      <c r="C84">
        <f t="shared" si="14"/>
        <v>1200188</v>
      </c>
      <c r="D84" t="s">
        <v>121</v>
      </c>
      <c r="E84">
        <v>2</v>
      </c>
      <c r="F84" t="s">
        <v>47</v>
      </c>
      <c r="G84">
        <v>4</v>
      </c>
      <c r="H84" t="s">
        <v>65</v>
      </c>
      <c r="I84">
        <f t="shared" si="12"/>
        <v>2020188</v>
      </c>
      <c r="J84" t="s">
        <v>66</v>
      </c>
      <c r="K84">
        <v>0</v>
      </c>
      <c r="N84">
        <v>1</v>
      </c>
    </row>
    <row r="85" customFormat="1" ht="23" customHeight="1" spans="1:14">
      <c r="A85">
        <f t="shared" si="13"/>
        <v>1020189</v>
      </c>
      <c r="B85" s="7">
        <v>189</v>
      </c>
      <c r="C85">
        <f t="shared" si="14"/>
        <v>1200189</v>
      </c>
      <c r="D85" t="s">
        <v>122</v>
      </c>
      <c r="E85">
        <v>2</v>
      </c>
      <c r="F85" t="s">
        <v>47</v>
      </c>
      <c r="G85">
        <v>5</v>
      </c>
      <c r="H85" t="s">
        <v>65</v>
      </c>
      <c r="I85">
        <f t="shared" si="12"/>
        <v>2020189</v>
      </c>
      <c r="J85" t="s">
        <v>66</v>
      </c>
      <c r="K85">
        <v>0</v>
      </c>
      <c r="N85">
        <v>1</v>
      </c>
    </row>
    <row r="86" customFormat="1" ht="23" customHeight="1" spans="1:14">
      <c r="A86">
        <f t="shared" si="13"/>
        <v>1020190</v>
      </c>
      <c r="B86" s="7">
        <v>190</v>
      </c>
      <c r="C86">
        <f t="shared" si="14"/>
        <v>1200190</v>
      </c>
      <c r="D86" t="s">
        <v>123</v>
      </c>
      <c r="E86">
        <v>2</v>
      </c>
      <c r="F86" t="s">
        <v>47</v>
      </c>
      <c r="G86">
        <v>5</v>
      </c>
      <c r="H86" t="s">
        <v>65</v>
      </c>
      <c r="I86">
        <f t="shared" si="12"/>
        <v>2020190</v>
      </c>
      <c r="J86" t="s">
        <v>66</v>
      </c>
      <c r="K86">
        <v>0</v>
      </c>
      <c r="N86">
        <v>1</v>
      </c>
    </row>
    <row r="87" customFormat="1" ht="23" customHeight="1" spans="1:14">
      <c r="A87">
        <f t="shared" si="13"/>
        <v>1020191</v>
      </c>
      <c r="B87" s="7">
        <v>191</v>
      </c>
      <c r="C87">
        <f t="shared" si="14"/>
        <v>1200191</v>
      </c>
      <c r="D87" t="s">
        <v>124</v>
      </c>
      <c r="E87">
        <v>2</v>
      </c>
      <c r="F87" t="s">
        <v>47</v>
      </c>
      <c r="G87">
        <v>6</v>
      </c>
      <c r="H87" t="s">
        <v>65</v>
      </c>
      <c r="I87">
        <f t="shared" si="12"/>
        <v>2020191</v>
      </c>
      <c r="J87" t="s">
        <v>66</v>
      </c>
      <c r="K87">
        <v>0</v>
      </c>
      <c r="N87">
        <v>1</v>
      </c>
    </row>
    <row r="88" customFormat="1" ht="23" customHeight="1" spans="1:14">
      <c r="A88">
        <f t="shared" si="13"/>
        <v>1020192</v>
      </c>
      <c r="B88" s="7">
        <v>192</v>
      </c>
      <c r="C88">
        <f t="shared" si="14"/>
        <v>1200192</v>
      </c>
      <c r="D88" t="s">
        <v>125</v>
      </c>
      <c r="E88">
        <v>2</v>
      </c>
      <c r="F88" t="s">
        <v>47</v>
      </c>
      <c r="G88">
        <v>6</v>
      </c>
      <c r="H88" t="s">
        <v>65</v>
      </c>
      <c r="I88">
        <f t="shared" si="12"/>
        <v>2020192</v>
      </c>
      <c r="J88" t="s">
        <v>66</v>
      </c>
      <c r="K88">
        <v>0</v>
      </c>
      <c r="N88">
        <v>1</v>
      </c>
    </row>
    <row r="89" customFormat="1" ht="23" customHeight="1" spans="1:14">
      <c r="A89">
        <f t="shared" si="13"/>
        <v>1020201</v>
      </c>
      <c r="B89" s="7">
        <v>201</v>
      </c>
      <c r="C89">
        <f t="shared" si="14"/>
        <v>1200201</v>
      </c>
      <c r="D89" t="s">
        <v>126</v>
      </c>
      <c r="E89">
        <v>2</v>
      </c>
      <c r="F89" t="s">
        <v>47</v>
      </c>
      <c r="G89">
        <v>1</v>
      </c>
      <c r="H89" t="s">
        <v>65</v>
      </c>
      <c r="I89">
        <f t="shared" si="12"/>
        <v>2020201</v>
      </c>
      <c r="J89" t="s">
        <v>66</v>
      </c>
      <c r="K89">
        <v>0</v>
      </c>
      <c r="N89">
        <v>1</v>
      </c>
    </row>
    <row r="90" customFormat="1" ht="23" customHeight="1" spans="1:14">
      <c r="A90">
        <f t="shared" si="13"/>
        <v>1020202</v>
      </c>
      <c r="B90" s="7">
        <v>202</v>
      </c>
      <c r="C90">
        <f t="shared" si="14"/>
        <v>1200202</v>
      </c>
      <c r="D90" t="s">
        <v>127</v>
      </c>
      <c r="E90">
        <v>2</v>
      </c>
      <c r="F90" t="s">
        <v>47</v>
      </c>
      <c r="G90">
        <v>1</v>
      </c>
      <c r="H90" t="s">
        <v>65</v>
      </c>
      <c r="I90">
        <f t="shared" si="12"/>
        <v>2020202</v>
      </c>
      <c r="J90" t="s">
        <v>66</v>
      </c>
      <c r="K90">
        <v>0</v>
      </c>
      <c r="N90">
        <v>1</v>
      </c>
    </row>
    <row r="91" customFormat="1" ht="23" customHeight="1" spans="1:14">
      <c r="A91">
        <f t="shared" si="13"/>
        <v>1020203</v>
      </c>
      <c r="B91" s="7">
        <v>203</v>
      </c>
      <c r="C91">
        <f t="shared" si="14"/>
        <v>1200203</v>
      </c>
      <c r="D91" t="s">
        <v>128</v>
      </c>
      <c r="E91">
        <v>2</v>
      </c>
      <c r="F91" t="s">
        <v>47</v>
      </c>
      <c r="G91">
        <v>2</v>
      </c>
      <c r="H91" t="s">
        <v>65</v>
      </c>
      <c r="I91">
        <f t="shared" si="12"/>
        <v>2020203</v>
      </c>
      <c r="J91" t="s">
        <v>66</v>
      </c>
      <c r="K91">
        <v>0</v>
      </c>
      <c r="N91">
        <v>1</v>
      </c>
    </row>
    <row r="92" customFormat="1" ht="23" customHeight="1" spans="1:14">
      <c r="A92">
        <f t="shared" si="13"/>
        <v>1020204</v>
      </c>
      <c r="B92" s="7">
        <v>204</v>
      </c>
      <c r="C92">
        <f t="shared" si="14"/>
        <v>1200204</v>
      </c>
      <c r="D92" t="s">
        <v>129</v>
      </c>
      <c r="E92">
        <v>2</v>
      </c>
      <c r="F92" t="s">
        <v>47</v>
      </c>
      <c r="G92">
        <v>2</v>
      </c>
      <c r="H92" t="s">
        <v>65</v>
      </c>
      <c r="I92">
        <f t="shared" si="12"/>
        <v>2020204</v>
      </c>
      <c r="J92" t="s">
        <v>66</v>
      </c>
      <c r="K92">
        <v>0</v>
      </c>
      <c r="N92">
        <v>1</v>
      </c>
    </row>
    <row r="93" customFormat="1" ht="23" customHeight="1" spans="1:14">
      <c r="A93">
        <f t="shared" si="13"/>
        <v>1020205</v>
      </c>
      <c r="B93" s="7">
        <v>205</v>
      </c>
      <c r="C93">
        <f t="shared" si="14"/>
        <v>1200205</v>
      </c>
      <c r="D93" t="s">
        <v>130</v>
      </c>
      <c r="E93">
        <v>2</v>
      </c>
      <c r="F93" t="s">
        <v>47</v>
      </c>
      <c r="G93">
        <v>3</v>
      </c>
      <c r="H93" t="s">
        <v>65</v>
      </c>
      <c r="I93">
        <f t="shared" si="12"/>
        <v>2020205</v>
      </c>
      <c r="J93" t="s">
        <v>66</v>
      </c>
      <c r="K93">
        <v>0</v>
      </c>
      <c r="N93">
        <v>1</v>
      </c>
    </row>
    <row r="94" customFormat="1" ht="23" customHeight="1" spans="1:14">
      <c r="A94">
        <f t="shared" si="13"/>
        <v>1020206</v>
      </c>
      <c r="B94" s="7">
        <v>206</v>
      </c>
      <c r="C94">
        <f t="shared" si="14"/>
        <v>1200206</v>
      </c>
      <c r="D94" t="s">
        <v>131</v>
      </c>
      <c r="E94">
        <v>2</v>
      </c>
      <c r="F94" t="s">
        <v>47</v>
      </c>
      <c r="G94">
        <v>3</v>
      </c>
      <c r="H94" t="s">
        <v>65</v>
      </c>
      <c r="I94">
        <f t="shared" ref="I94:I128" si="15">2000000+E94*10000+B94</f>
        <v>2020206</v>
      </c>
      <c r="J94" t="s">
        <v>66</v>
      </c>
      <c r="K94">
        <v>0</v>
      </c>
      <c r="N94">
        <v>1</v>
      </c>
    </row>
    <row r="95" customFormat="1" ht="23" customHeight="1" spans="1:14">
      <c r="A95">
        <f t="shared" si="13"/>
        <v>1020207</v>
      </c>
      <c r="B95" s="7">
        <v>207</v>
      </c>
      <c r="C95">
        <f t="shared" si="14"/>
        <v>1200207</v>
      </c>
      <c r="D95" t="s">
        <v>132</v>
      </c>
      <c r="E95">
        <v>2</v>
      </c>
      <c r="F95" t="s">
        <v>47</v>
      </c>
      <c r="G95">
        <v>4</v>
      </c>
      <c r="H95" t="s">
        <v>65</v>
      </c>
      <c r="I95">
        <f t="shared" si="15"/>
        <v>2020207</v>
      </c>
      <c r="J95" t="s">
        <v>66</v>
      </c>
      <c r="K95">
        <v>0</v>
      </c>
      <c r="N95">
        <v>1</v>
      </c>
    </row>
    <row r="96" customFormat="1" ht="23" customHeight="1" spans="1:14">
      <c r="A96">
        <f t="shared" si="13"/>
        <v>1020208</v>
      </c>
      <c r="B96" s="7">
        <v>208</v>
      </c>
      <c r="C96">
        <f t="shared" si="14"/>
        <v>1200208</v>
      </c>
      <c r="D96" t="s">
        <v>133</v>
      </c>
      <c r="E96">
        <v>2</v>
      </c>
      <c r="F96" t="s">
        <v>47</v>
      </c>
      <c r="G96">
        <v>4</v>
      </c>
      <c r="H96" t="s">
        <v>65</v>
      </c>
      <c r="I96">
        <f t="shared" si="15"/>
        <v>2020208</v>
      </c>
      <c r="J96" t="s">
        <v>66</v>
      </c>
      <c r="K96">
        <v>0</v>
      </c>
      <c r="N96">
        <v>1</v>
      </c>
    </row>
    <row r="97" customFormat="1" ht="23" customHeight="1" spans="1:14">
      <c r="A97">
        <f t="shared" si="13"/>
        <v>1020209</v>
      </c>
      <c r="B97" s="7">
        <v>209</v>
      </c>
      <c r="C97">
        <f t="shared" si="14"/>
        <v>1200209</v>
      </c>
      <c r="D97" t="s">
        <v>134</v>
      </c>
      <c r="E97">
        <v>2</v>
      </c>
      <c r="F97" t="s">
        <v>47</v>
      </c>
      <c r="G97">
        <v>5</v>
      </c>
      <c r="H97" t="s">
        <v>65</v>
      </c>
      <c r="I97">
        <f t="shared" si="15"/>
        <v>2020209</v>
      </c>
      <c r="J97" t="s">
        <v>66</v>
      </c>
      <c r="K97">
        <v>0</v>
      </c>
      <c r="N97">
        <v>1</v>
      </c>
    </row>
    <row r="98" customFormat="1" ht="23" customHeight="1" spans="1:14">
      <c r="A98">
        <f t="shared" si="13"/>
        <v>1020210</v>
      </c>
      <c r="B98" s="7">
        <v>210</v>
      </c>
      <c r="C98">
        <f t="shared" si="14"/>
        <v>1200210</v>
      </c>
      <c r="D98" t="s">
        <v>135</v>
      </c>
      <c r="E98">
        <v>2</v>
      </c>
      <c r="F98" t="s">
        <v>47</v>
      </c>
      <c r="G98">
        <v>5</v>
      </c>
      <c r="H98" t="s">
        <v>65</v>
      </c>
      <c r="I98">
        <f t="shared" si="15"/>
        <v>2020210</v>
      </c>
      <c r="J98" t="s">
        <v>66</v>
      </c>
      <c r="K98">
        <v>0</v>
      </c>
      <c r="N98">
        <v>1</v>
      </c>
    </row>
    <row r="99" customFormat="1" ht="23" customHeight="1" spans="1:14">
      <c r="A99">
        <f t="shared" ref="A99:A130" si="16">1000000+E99*10000+B99</f>
        <v>1020211</v>
      </c>
      <c r="B99" s="7">
        <v>211</v>
      </c>
      <c r="C99">
        <f t="shared" ref="C99:C128" si="17">1000000+E99*100000+B99</f>
        <v>1200211</v>
      </c>
      <c r="D99" t="s">
        <v>136</v>
      </c>
      <c r="E99">
        <v>2</v>
      </c>
      <c r="F99" t="s">
        <v>47</v>
      </c>
      <c r="G99">
        <v>6</v>
      </c>
      <c r="H99" t="s">
        <v>65</v>
      </c>
      <c r="I99">
        <f t="shared" si="15"/>
        <v>2020211</v>
      </c>
      <c r="J99" t="s">
        <v>66</v>
      </c>
      <c r="K99">
        <v>0</v>
      </c>
      <c r="N99">
        <v>1</v>
      </c>
    </row>
    <row r="100" customFormat="1" ht="23" customHeight="1" spans="1:14">
      <c r="A100">
        <f t="shared" si="16"/>
        <v>1020212</v>
      </c>
      <c r="B100" s="7">
        <v>212</v>
      </c>
      <c r="C100">
        <f t="shared" si="17"/>
        <v>1200212</v>
      </c>
      <c r="D100" t="s">
        <v>137</v>
      </c>
      <c r="E100">
        <v>2</v>
      </c>
      <c r="F100" t="s">
        <v>47</v>
      </c>
      <c r="G100">
        <v>6</v>
      </c>
      <c r="H100" t="s">
        <v>65</v>
      </c>
      <c r="I100">
        <f t="shared" si="15"/>
        <v>2020212</v>
      </c>
      <c r="J100" t="s">
        <v>66</v>
      </c>
      <c r="K100">
        <v>0</v>
      </c>
      <c r="N100">
        <v>1</v>
      </c>
    </row>
    <row r="101" customFormat="1" ht="23" customHeight="1" spans="1:14">
      <c r="A101">
        <f t="shared" si="16"/>
        <v>1020221</v>
      </c>
      <c r="B101" s="7">
        <v>221</v>
      </c>
      <c r="C101">
        <f t="shared" si="17"/>
        <v>1200221</v>
      </c>
      <c r="D101" t="s">
        <v>138</v>
      </c>
      <c r="E101">
        <v>2</v>
      </c>
      <c r="F101" t="s">
        <v>47</v>
      </c>
      <c r="G101">
        <v>1</v>
      </c>
      <c r="H101" t="s">
        <v>65</v>
      </c>
      <c r="I101">
        <f t="shared" si="15"/>
        <v>2020221</v>
      </c>
      <c r="J101" t="s">
        <v>66</v>
      </c>
      <c r="K101">
        <v>0</v>
      </c>
      <c r="N101">
        <v>1</v>
      </c>
    </row>
    <row r="102" customFormat="1" ht="23" customHeight="1" spans="1:14">
      <c r="A102">
        <f t="shared" si="16"/>
        <v>1020222</v>
      </c>
      <c r="B102" s="7">
        <v>222</v>
      </c>
      <c r="C102">
        <f t="shared" si="17"/>
        <v>1200222</v>
      </c>
      <c r="D102" t="s">
        <v>139</v>
      </c>
      <c r="E102">
        <v>2</v>
      </c>
      <c r="F102" t="s">
        <v>47</v>
      </c>
      <c r="G102">
        <v>1</v>
      </c>
      <c r="H102" t="s">
        <v>65</v>
      </c>
      <c r="I102">
        <f t="shared" si="15"/>
        <v>2020222</v>
      </c>
      <c r="J102" t="s">
        <v>66</v>
      </c>
      <c r="K102">
        <v>0</v>
      </c>
      <c r="N102">
        <v>1</v>
      </c>
    </row>
    <row r="103" customFormat="1" ht="23" customHeight="1" spans="1:14">
      <c r="A103">
        <f t="shared" si="16"/>
        <v>1020223</v>
      </c>
      <c r="B103" s="7">
        <v>223</v>
      </c>
      <c r="C103">
        <f t="shared" si="17"/>
        <v>1200223</v>
      </c>
      <c r="D103" t="s">
        <v>140</v>
      </c>
      <c r="E103">
        <v>2</v>
      </c>
      <c r="F103" t="s">
        <v>47</v>
      </c>
      <c r="G103">
        <v>2</v>
      </c>
      <c r="H103" t="s">
        <v>65</v>
      </c>
      <c r="I103">
        <f t="shared" si="15"/>
        <v>2020223</v>
      </c>
      <c r="J103" t="s">
        <v>66</v>
      </c>
      <c r="K103">
        <v>0</v>
      </c>
      <c r="N103">
        <v>1</v>
      </c>
    </row>
    <row r="104" customFormat="1" ht="23" customHeight="1" spans="1:14">
      <c r="A104">
        <f t="shared" si="16"/>
        <v>1020224</v>
      </c>
      <c r="B104" s="7">
        <v>224</v>
      </c>
      <c r="C104">
        <f t="shared" si="17"/>
        <v>1200224</v>
      </c>
      <c r="D104" t="s">
        <v>141</v>
      </c>
      <c r="E104">
        <v>2</v>
      </c>
      <c r="F104" t="s">
        <v>47</v>
      </c>
      <c r="G104">
        <v>2</v>
      </c>
      <c r="H104" t="s">
        <v>65</v>
      </c>
      <c r="I104">
        <f t="shared" si="15"/>
        <v>2020224</v>
      </c>
      <c r="J104" t="s">
        <v>66</v>
      </c>
      <c r="K104">
        <v>0</v>
      </c>
      <c r="N104">
        <v>1</v>
      </c>
    </row>
    <row r="105" customFormat="1" ht="23" customHeight="1" spans="1:14">
      <c r="A105">
        <f t="shared" si="16"/>
        <v>1020225</v>
      </c>
      <c r="B105" s="7">
        <v>225</v>
      </c>
      <c r="C105">
        <f t="shared" si="17"/>
        <v>1200225</v>
      </c>
      <c r="D105" t="s">
        <v>142</v>
      </c>
      <c r="E105">
        <v>2</v>
      </c>
      <c r="F105" t="s">
        <v>47</v>
      </c>
      <c r="G105">
        <v>3</v>
      </c>
      <c r="H105" t="s">
        <v>65</v>
      </c>
      <c r="I105">
        <f t="shared" si="15"/>
        <v>2020225</v>
      </c>
      <c r="J105" t="s">
        <v>66</v>
      </c>
      <c r="K105">
        <v>0</v>
      </c>
      <c r="N105">
        <v>1</v>
      </c>
    </row>
    <row r="106" customFormat="1" ht="23" customHeight="1" spans="1:14">
      <c r="A106">
        <f t="shared" si="16"/>
        <v>1020226</v>
      </c>
      <c r="B106" s="7">
        <v>226</v>
      </c>
      <c r="C106">
        <f t="shared" si="17"/>
        <v>1200226</v>
      </c>
      <c r="D106" t="s">
        <v>143</v>
      </c>
      <c r="E106">
        <v>2</v>
      </c>
      <c r="F106" t="s">
        <v>47</v>
      </c>
      <c r="G106">
        <v>3</v>
      </c>
      <c r="H106" t="s">
        <v>65</v>
      </c>
      <c r="I106">
        <f t="shared" si="15"/>
        <v>2020226</v>
      </c>
      <c r="J106" t="s">
        <v>66</v>
      </c>
      <c r="K106">
        <v>0</v>
      </c>
      <c r="N106">
        <v>1</v>
      </c>
    </row>
    <row r="107" customFormat="1" ht="23" customHeight="1" spans="1:14">
      <c r="A107">
        <f t="shared" si="16"/>
        <v>1020227</v>
      </c>
      <c r="B107" s="7">
        <v>227</v>
      </c>
      <c r="C107">
        <f t="shared" si="17"/>
        <v>1200227</v>
      </c>
      <c r="D107" t="s">
        <v>144</v>
      </c>
      <c r="E107">
        <v>2</v>
      </c>
      <c r="F107" t="s">
        <v>47</v>
      </c>
      <c r="G107">
        <v>4</v>
      </c>
      <c r="H107" t="s">
        <v>65</v>
      </c>
      <c r="I107">
        <f t="shared" si="15"/>
        <v>2020227</v>
      </c>
      <c r="J107" t="s">
        <v>66</v>
      </c>
      <c r="K107">
        <v>0</v>
      </c>
      <c r="N107">
        <v>1</v>
      </c>
    </row>
    <row r="108" customFormat="1" ht="23" customHeight="1" spans="1:14">
      <c r="A108">
        <f t="shared" si="16"/>
        <v>1020228</v>
      </c>
      <c r="B108" s="7">
        <v>228</v>
      </c>
      <c r="C108">
        <f t="shared" si="17"/>
        <v>1200228</v>
      </c>
      <c r="D108" t="s">
        <v>145</v>
      </c>
      <c r="E108">
        <v>2</v>
      </c>
      <c r="F108" t="s">
        <v>47</v>
      </c>
      <c r="G108">
        <v>4</v>
      </c>
      <c r="H108" t="s">
        <v>65</v>
      </c>
      <c r="I108">
        <f t="shared" si="15"/>
        <v>2020228</v>
      </c>
      <c r="J108" t="s">
        <v>66</v>
      </c>
      <c r="K108">
        <v>0</v>
      </c>
      <c r="N108">
        <v>1</v>
      </c>
    </row>
    <row r="109" customFormat="1" ht="23" customHeight="1" spans="1:14">
      <c r="A109">
        <f t="shared" si="16"/>
        <v>1020229</v>
      </c>
      <c r="B109" s="7">
        <v>229</v>
      </c>
      <c r="C109">
        <f t="shared" si="17"/>
        <v>1200229</v>
      </c>
      <c r="D109" t="s">
        <v>146</v>
      </c>
      <c r="E109">
        <v>2</v>
      </c>
      <c r="F109" t="s">
        <v>47</v>
      </c>
      <c r="G109">
        <v>5</v>
      </c>
      <c r="H109" t="s">
        <v>65</v>
      </c>
      <c r="I109">
        <f t="shared" si="15"/>
        <v>2020229</v>
      </c>
      <c r="J109" t="s">
        <v>66</v>
      </c>
      <c r="K109">
        <v>0</v>
      </c>
      <c r="N109">
        <v>1</v>
      </c>
    </row>
    <row r="110" customFormat="1" ht="23" customHeight="1" spans="1:14">
      <c r="A110">
        <f t="shared" si="16"/>
        <v>1020230</v>
      </c>
      <c r="B110" s="7">
        <v>230</v>
      </c>
      <c r="C110">
        <f t="shared" si="17"/>
        <v>1200230</v>
      </c>
      <c r="D110" t="s">
        <v>147</v>
      </c>
      <c r="E110">
        <v>2</v>
      </c>
      <c r="F110" t="s">
        <v>47</v>
      </c>
      <c r="G110">
        <v>5</v>
      </c>
      <c r="H110" t="s">
        <v>65</v>
      </c>
      <c r="I110">
        <f t="shared" si="15"/>
        <v>2020230</v>
      </c>
      <c r="J110" t="s">
        <v>66</v>
      </c>
      <c r="K110">
        <v>0</v>
      </c>
      <c r="N110">
        <v>1</v>
      </c>
    </row>
    <row r="111" customFormat="1" ht="23" customHeight="1" spans="1:14">
      <c r="A111">
        <f t="shared" si="16"/>
        <v>1020231</v>
      </c>
      <c r="B111" s="7">
        <v>231</v>
      </c>
      <c r="C111">
        <f t="shared" si="17"/>
        <v>1200231</v>
      </c>
      <c r="D111" t="s">
        <v>148</v>
      </c>
      <c r="E111">
        <v>2</v>
      </c>
      <c r="F111" t="s">
        <v>47</v>
      </c>
      <c r="G111">
        <v>6</v>
      </c>
      <c r="H111" t="s">
        <v>65</v>
      </c>
      <c r="I111">
        <f t="shared" si="15"/>
        <v>2020231</v>
      </c>
      <c r="J111" t="s">
        <v>66</v>
      </c>
      <c r="K111">
        <v>0</v>
      </c>
      <c r="N111">
        <v>1</v>
      </c>
    </row>
    <row r="112" customFormat="1" ht="23" customHeight="1" spans="1:14">
      <c r="A112">
        <f t="shared" si="16"/>
        <v>1020232</v>
      </c>
      <c r="B112" s="7">
        <v>232</v>
      </c>
      <c r="C112">
        <f t="shared" si="17"/>
        <v>1200232</v>
      </c>
      <c r="D112" t="s">
        <v>149</v>
      </c>
      <c r="E112">
        <v>2</v>
      </c>
      <c r="F112" t="s">
        <v>47</v>
      </c>
      <c r="G112">
        <v>6</v>
      </c>
      <c r="H112" t="s">
        <v>65</v>
      </c>
      <c r="I112">
        <f t="shared" si="15"/>
        <v>2020232</v>
      </c>
      <c r="J112" t="s">
        <v>66</v>
      </c>
      <c r="K112">
        <v>0</v>
      </c>
      <c r="N112">
        <v>1</v>
      </c>
    </row>
    <row r="113" customFormat="1" ht="23" customHeight="1" spans="1:14">
      <c r="A113">
        <f t="shared" si="16"/>
        <v>1020241</v>
      </c>
      <c r="B113" s="7">
        <v>241</v>
      </c>
      <c r="C113">
        <f t="shared" si="17"/>
        <v>1200241</v>
      </c>
      <c r="D113" t="s">
        <v>150</v>
      </c>
      <c r="E113">
        <v>2</v>
      </c>
      <c r="F113" t="s">
        <v>47</v>
      </c>
      <c r="G113">
        <v>1</v>
      </c>
      <c r="H113" t="s">
        <v>65</v>
      </c>
      <c r="I113">
        <f t="shared" si="15"/>
        <v>2020241</v>
      </c>
      <c r="J113" t="s">
        <v>66</v>
      </c>
      <c r="K113">
        <v>0</v>
      </c>
      <c r="N113">
        <v>1</v>
      </c>
    </row>
    <row r="114" customFormat="1" ht="23" customHeight="1" spans="1:14">
      <c r="A114">
        <f t="shared" si="16"/>
        <v>1020242</v>
      </c>
      <c r="B114" s="7">
        <v>242</v>
      </c>
      <c r="C114">
        <f t="shared" si="17"/>
        <v>1200242</v>
      </c>
      <c r="D114" t="s">
        <v>151</v>
      </c>
      <c r="E114">
        <v>2</v>
      </c>
      <c r="F114" t="s">
        <v>47</v>
      </c>
      <c r="G114">
        <v>1</v>
      </c>
      <c r="H114" t="s">
        <v>65</v>
      </c>
      <c r="I114">
        <f t="shared" si="15"/>
        <v>2020242</v>
      </c>
      <c r="J114" t="s">
        <v>66</v>
      </c>
      <c r="K114">
        <v>0</v>
      </c>
      <c r="N114">
        <v>1</v>
      </c>
    </row>
    <row r="115" customFormat="1" ht="23" customHeight="1" spans="1:14">
      <c r="A115">
        <f t="shared" si="16"/>
        <v>1020243</v>
      </c>
      <c r="B115" s="7">
        <v>243</v>
      </c>
      <c r="C115">
        <f t="shared" si="17"/>
        <v>1200243</v>
      </c>
      <c r="D115" t="s">
        <v>152</v>
      </c>
      <c r="E115">
        <v>2</v>
      </c>
      <c r="F115" t="s">
        <v>47</v>
      </c>
      <c r="G115">
        <v>2</v>
      </c>
      <c r="H115" t="s">
        <v>65</v>
      </c>
      <c r="I115">
        <f t="shared" si="15"/>
        <v>2020243</v>
      </c>
      <c r="J115" t="s">
        <v>66</v>
      </c>
      <c r="K115">
        <v>0</v>
      </c>
      <c r="N115">
        <v>1</v>
      </c>
    </row>
    <row r="116" customFormat="1" ht="23" customHeight="1" spans="1:14">
      <c r="A116">
        <f t="shared" si="16"/>
        <v>1020244</v>
      </c>
      <c r="B116" s="7">
        <v>244</v>
      </c>
      <c r="C116">
        <f t="shared" si="17"/>
        <v>1200244</v>
      </c>
      <c r="D116" t="s">
        <v>153</v>
      </c>
      <c r="E116">
        <v>2</v>
      </c>
      <c r="F116" t="s">
        <v>47</v>
      </c>
      <c r="G116">
        <v>2</v>
      </c>
      <c r="H116" t="s">
        <v>65</v>
      </c>
      <c r="I116">
        <f t="shared" si="15"/>
        <v>2020244</v>
      </c>
      <c r="J116" t="s">
        <v>66</v>
      </c>
      <c r="K116">
        <v>0</v>
      </c>
      <c r="N116">
        <v>1</v>
      </c>
    </row>
    <row r="117" customFormat="1" ht="23" customHeight="1" spans="1:14">
      <c r="A117">
        <f t="shared" si="16"/>
        <v>1020245</v>
      </c>
      <c r="B117" s="7">
        <v>245</v>
      </c>
      <c r="C117">
        <f t="shared" si="17"/>
        <v>1200245</v>
      </c>
      <c r="D117" t="s">
        <v>154</v>
      </c>
      <c r="E117">
        <v>2</v>
      </c>
      <c r="F117" t="s">
        <v>47</v>
      </c>
      <c r="G117">
        <v>3</v>
      </c>
      <c r="H117" t="s">
        <v>65</v>
      </c>
      <c r="I117">
        <f t="shared" si="15"/>
        <v>2020245</v>
      </c>
      <c r="J117" t="s">
        <v>66</v>
      </c>
      <c r="K117">
        <v>0</v>
      </c>
      <c r="N117">
        <v>1</v>
      </c>
    </row>
    <row r="118" customFormat="1" ht="23" customHeight="1" spans="1:14">
      <c r="A118">
        <f t="shared" si="16"/>
        <v>1020246</v>
      </c>
      <c r="B118" s="7">
        <v>246</v>
      </c>
      <c r="C118">
        <f t="shared" si="17"/>
        <v>1200246</v>
      </c>
      <c r="D118" t="s">
        <v>155</v>
      </c>
      <c r="E118">
        <v>2</v>
      </c>
      <c r="F118" t="s">
        <v>47</v>
      </c>
      <c r="G118">
        <v>3</v>
      </c>
      <c r="H118" t="s">
        <v>65</v>
      </c>
      <c r="I118">
        <f t="shared" si="15"/>
        <v>2020246</v>
      </c>
      <c r="J118" t="s">
        <v>66</v>
      </c>
      <c r="K118">
        <v>0</v>
      </c>
      <c r="N118">
        <v>1</v>
      </c>
    </row>
    <row r="119" customFormat="1" ht="23" customHeight="1" spans="1:14">
      <c r="A119">
        <f t="shared" si="16"/>
        <v>1020247</v>
      </c>
      <c r="B119" s="7">
        <v>247</v>
      </c>
      <c r="C119">
        <f t="shared" si="17"/>
        <v>1200247</v>
      </c>
      <c r="D119" t="s">
        <v>156</v>
      </c>
      <c r="E119">
        <v>2</v>
      </c>
      <c r="F119" t="s">
        <v>47</v>
      </c>
      <c r="G119">
        <v>4</v>
      </c>
      <c r="H119" t="s">
        <v>65</v>
      </c>
      <c r="I119">
        <f t="shared" si="15"/>
        <v>2020247</v>
      </c>
      <c r="J119" t="s">
        <v>66</v>
      </c>
      <c r="K119">
        <v>0</v>
      </c>
      <c r="N119">
        <v>1</v>
      </c>
    </row>
    <row r="120" customFormat="1" ht="23" customHeight="1" spans="1:14">
      <c r="A120">
        <f t="shared" si="16"/>
        <v>1020248</v>
      </c>
      <c r="B120" s="7">
        <v>248</v>
      </c>
      <c r="C120">
        <f t="shared" si="17"/>
        <v>1200248</v>
      </c>
      <c r="D120" t="s">
        <v>157</v>
      </c>
      <c r="E120">
        <v>2</v>
      </c>
      <c r="F120" t="s">
        <v>47</v>
      </c>
      <c r="G120">
        <v>4</v>
      </c>
      <c r="H120" t="s">
        <v>65</v>
      </c>
      <c r="I120">
        <f t="shared" si="15"/>
        <v>2020248</v>
      </c>
      <c r="J120" t="s">
        <v>66</v>
      </c>
      <c r="K120">
        <v>0</v>
      </c>
      <c r="N120">
        <v>1</v>
      </c>
    </row>
    <row r="121" customFormat="1" ht="23" customHeight="1" spans="1:14">
      <c r="A121">
        <f t="shared" si="16"/>
        <v>1020249</v>
      </c>
      <c r="B121" s="7">
        <v>249</v>
      </c>
      <c r="C121">
        <f t="shared" si="17"/>
        <v>1200249</v>
      </c>
      <c r="D121" t="s">
        <v>158</v>
      </c>
      <c r="E121">
        <v>2</v>
      </c>
      <c r="F121" t="s">
        <v>47</v>
      </c>
      <c r="G121">
        <v>5</v>
      </c>
      <c r="H121" t="s">
        <v>65</v>
      </c>
      <c r="I121">
        <f t="shared" si="15"/>
        <v>2020249</v>
      </c>
      <c r="J121" t="s">
        <v>66</v>
      </c>
      <c r="K121">
        <v>0</v>
      </c>
      <c r="N121">
        <v>1</v>
      </c>
    </row>
    <row r="122" customFormat="1" ht="23" customHeight="1" spans="1:14">
      <c r="A122">
        <f t="shared" si="16"/>
        <v>1020250</v>
      </c>
      <c r="B122" s="7">
        <v>250</v>
      </c>
      <c r="C122">
        <f t="shared" si="17"/>
        <v>1200250</v>
      </c>
      <c r="D122" t="s">
        <v>159</v>
      </c>
      <c r="E122">
        <v>2</v>
      </c>
      <c r="F122" t="s">
        <v>47</v>
      </c>
      <c r="G122">
        <v>5</v>
      </c>
      <c r="H122" t="s">
        <v>65</v>
      </c>
      <c r="I122">
        <f t="shared" si="15"/>
        <v>2020250</v>
      </c>
      <c r="J122" t="s">
        <v>66</v>
      </c>
      <c r="K122">
        <v>0</v>
      </c>
      <c r="N122">
        <v>1</v>
      </c>
    </row>
    <row r="123" customFormat="1" ht="23" customHeight="1" spans="1:14">
      <c r="A123">
        <f t="shared" si="16"/>
        <v>1020251</v>
      </c>
      <c r="B123" s="7">
        <v>251</v>
      </c>
      <c r="C123">
        <f t="shared" si="17"/>
        <v>1200251</v>
      </c>
      <c r="D123" t="s">
        <v>160</v>
      </c>
      <c r="E123">
        <v>2</v>
      </c>
      <c r="F123" t="s">
        <v>47</v>
      </c>
      <c r="G123">
        <v>6</v>
      </c>
      <c r="H123" t="s">
        <v>65</v>
      </c>
      <c r="I123">
        <f t="shared" si="15"/>
        <v>2020251</v>
      </c>
      <c r="J123" t="s">
        <v>66</v>
      </c>
      <c r="K123">
        <v>0</v>
      </c>
      <c r="N123">
        <v>1</v>
      </c>
    </row>
    <row r="124" customFormat="1" ht="23" customHeight="1" spans="1:14">
      <c r="A124">
        <f t="shared" si="16"/>
        <v>1020252</v>
      </c>
      <c r="B124" s="7">
        <v>252</v>
      </c>
      <c r="C124">
        <f t="shared" si="17"/>
        <v>1200252</v>
      </c>
      <c r="D124" t="s">
        <v>161</v>
      </c>
      <c r="E124">
        <v>2</v>
      </c>
      <c r="F124" t="s">
        <v>47</v>
      </c>
      <c r="G124">
        <v>6</v>
      </c>
      <c r="H124" t="s">
        <v>65</v>
      </c>
      <c r="I124">
        <f t="shared" si="15"/>
        <v>2020252</v>
      </c>
      <c r="J124" t="s">
        <v>66</v>
      </c>
      <c r="K124">
        <v>0</v>
      </c>
      <c r="N124">
        <v>1</v>
      </c>
    </row>
    <row r="125" customFormat="1" ht="23" customHeight="1" spans="1:14">
      <c r="A125">
        <f t="shared" si="16"/>
        <v>1021001</v>
      </c>
      <c r="B125" s="7">
        <v>1001</v>
      </c>
      <c r="C125">
        <f t="shared" si="17"/>
        <v>1201001</v>
      </c>
      <c r="D125" s="7" t="s">
        <v>162</v>
      </c>
      <c r="E125">
        <v>2</v>
      </c>
      <c r="F125" t="s">
        <v>47</v>
      </c>
      <c r="G125">
        <v>1</v>
      </c>
      <c r="H125" t="str">
        <f>"itemicon_"&amp;A125&amp;".png"</f>
        <v>itemicon_1021001.png</v>
      </c>
      <c r="I125">
        <f t="shared" si="15"/>
        <v>2021001</v>
      </c>
      <c r="K125" s="7">
        <v>1</v>
      </c>
      <c r="L125">
        <v>2</v>
      </c>
      <c r="M125"/>
      <c r="N125">
        <v>1</v>
      </c>
    </row>
    <row r="126" customFormat="1" ht="23" customHeight="1" spans="1:14">
      <c r="A126">
        <f t="shared" si="16"/>
        <v>1021002</v>
      </c>
      <c r="B126" s="7">
        <v>1002</v>
      </c>
      <c r="C126">
        <f t="shared" si="17"/>
        <v>1201002</v>
      </c>
      <c r="D126" s="7" t="s">
        <v>163</v>
      </c>
      <c r="E126">
        <v>2</v>
      </c>
      <c r="F126" t="s">
        <v>47</v>
      </c>
      <c r="G126">
        <v>1</v>
      </c>
      <c r="H126" t="str">
        <f>"itemicon_"&amp;A126&amp;".png"</f>
        <v>itemicon_1021002.png</v>
      </c>
      <c r="I126">
        <f t="shared" si="15"/>
        <v>2021002</v>
      </c>
      <c r="K126" s="7">
        <v>1</v>
      </c>
      <c r="L126">
        <v>3</v>
      </c>
      <c r="M126"/>
      <c r="N126">
        <v>1</v>
      </c>
    </row>
    <row r="127" customFormat="1" ht="23" customHeight="1" spans="1:14">
      <c r="A127">
        <f t="shared" si="16"/>
        <v>1021201</v>
      </c>
      <c r="B127" s="7">
        <v>1201</v>
      </c>
      <c r="C127">
        <f t="shared" si="17"/>
        <v>1201201</v>
      </c>
      <c r="D127" t="s">
        <v>164</v>
      </c>
      <c r="E127">
        <v>2</v>
      </c>
      <c r="F127" t="s">
        <v>47</v>
      </c>
      <c r="G127">
        <v>1</v>
      </c>
      <c r="H127" t="str">
        <f>"itemicon_"&amp;A127&amp;".png"</f>
        <v>itemicon_1021201.png</v>
      </c>
      <c r="I127">
        <f t="shared" si="15"/>
        <v>2021201</v>
      </c>
      <c r="K127" s="7">
        <v>1</v>
      </c>
      <c r="L127">
        <v>1002</v>
      </c>
      <c r="M127"/>
      <c r="N127">
        <v>1</v>
      </c>
    </row>
    <row r="128" customFormat="1" ht="23" customHeight="1" spans="1:14">
      <c r="A128">
        <f t="shared" si="16"/>
        <v>1021202</v>
      </c>
      <c r="B128" s="7">
        <v>1202</v>
      </c>
      <c r="C128">
        <f t="shared" si="17"/>
        <v>1201202</v>
      </c>
      <c r="D128" t="s">
        <v>165</v>
      </c>
      <c r="E128">
        <v>2</v>
      </c>
      <c r="F128" t="s">
        <v>47</v>
      </c>
      <c r="G128">
        <v>1</v>
      </c>
      <c r="H128" t="str">
        <f>"itemicon_"&amp;A128&amp;".png"</f>
        <v>itemicon_1021202.png</v>
      </c>
      <c r="I128">
        <f t="shared" si="15"/>
        <v>2021202</v>
      </c>
      <c r="K128" s="7">
        <v>1</v>
      </c>
      <c r="L128">
        <v>1003</v>
      </c>
      <c r="M128"/>
      <c r="N128">
        <v>1</v>
      </c>
    </row>
    <row r="129" customFormat="1" ht="23" customHeight="1" spans="1:14">
      <c r="A129">
        <f t="shared" si="16"/>
        <v>1021350</v>
      </c>
      <c r="B129" s="7">
        <v>1350</v>
      </c>
      <c r="C129">
        <v>101801</v>
      </c>
      <c r="D129" t="s">
        <v>166</v>
      </c>
      <c r="E129">
        <v>2</v>
      </c>
      <c r="F129" t="s">
        <v>47</v>
      </c>
      <c r="G129">
        <v>1</v>
      </c>
      <c r="H129" t="s">
        <v>167</v>
      </c>
      <c r="I129">
        <v>201801</v>
      </c>
      <c r="K129" s="7">
        <v>1</v>
      </c>
      <c r="L129">
        <v>1801</v>
      </c>
      <c r="N129">
        <v>1</v>
      </c>
    </row>
    <row r="130" customFormat="1" ht="23" customHeight="1" spans="1:14">
      <c r="A130">
        <f t="shared" si="16"/>
        <v>1021351</v>
      </c>
      <c r="B130" s="7">
        <v>1351</v>
      </c>
      <c r="C130">
        <v>101802</v>
      </c>
      <c r="D130" t="s">
        <v>168</v>
      </c>
      <c r="E130">
        <v>2</v>
      </c>
      <c r="F130" t="s">
        <v>47</v>
      </c>
      <c r="G130">
        <v>1</v>
      </c>
      <c r="H130" t="s">
        <v>169</v>
      </c>
      <c r="I130">
        <v>201802</v>
      </c>
      <c r="K130" s="7">
        <v>1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2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 t="str">
        <f t="shared" ref="H131:H144" si="20">"itemicon_"&amp;A131&amp;".png"</f>
        <v>itemicon_1021401.png</v>
      </c>
      <c r="I131">
        <f t="shared" ref="I131:I144" si="21">2000000+E131*10000+B131</f>
        <v>2021401</v>
      </c>
      <c r="K131" s="7">
        <v>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 t="str">
        <f t="shared" si="20"/>
        <v>itemicon_1021402.png</v>
      </c>
      <c r="I132">
        <f t="shared" si="21"/>
        <v>2021402</v>
      </c>
      <c r="K132" s="7">
        <v>1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1021601</v>
      </c>
      <c r="B133" s="7">
        <v>1601</v>
      </c>
      <c r="C133">
        <f t="shared" si="19"/>
        <v>1201601</v>
      </c>
      <c r="D133" s="11" t="s">
        <v>172</v>
      </c>
      <c r="E133">
        <v>2</v>
      </c>
      <c r="F133" t="s">
        <v>47</v>
      </c>
      <c r="G133">
        <v>1</v>
      </c>
      <c r="H133" t="str">
        <f t="shared" si="20"/>
        <v>itemicon_1021601.png</v>
      </c>
      <c r="I133">
        <f t="shared" si="21"/>
        <v>2021601</v>
      </c>
      <c r="K133" s="7">
        <v>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1021602</v>
      </c>
      <c r="B134" s="7">
        <v>1602</v>
      </c>
      <c r="C134">
        <f t="shared" si="19"/>
        <v>1201602</v>
      </c>
      <c r="D134" s="11" t="s">
        <v>173</v>
      </c>
      <c r="E134">
        <v>2</v>
      </c>
      <c r="F134" t="s">
        <v>47</v>
      </c>
      <c r="G134">
        <v>1</v>
      </c>
      <c r="H134" t="str">
        <f t="shared" si="20"/>
        <v>itemicon_1021602.png</v>
      </c>
      <c r="I134">
        <f t="shared" si="21"/>
        <v>2021602</v>
      </c>
      <c r="K134" s="7">
        <v>1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1021801</v>
      </c>
      <c r="B135" s="7">
        <v>1801</v>
      </c>
      <c r="C135">
        <f t="shared" si="19"/>
        <v>1201801</v>
      </c>
      <c r="D135" s="12" t="s">
        <v>174</v>
      </c>
      <c r="E135">
        <v>2</v>
      </c>
      <c r="F135" t="s">
        <v>47</v>
      </c>
      <c r="G135">
        <v>1</v>
      </c>
      <c r="H135" t="str">
        <f t="shared" si="20"/>
        <v>itemicon_1021801.png</v>
      </c>
      <c r="I135">
        <f t="shared" si="21"/>
        <v>2021801</v>
      </c>
      <c r="K135" s="7">
        <v>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1021802</v>
      </c>
      <c r="B136" s="7">
        <v>1802</v>
      </c>
      <c r="C136">
        <f t="shared" si="19"/>
        <v>1201802</v>
      </c>
      <c r="D136" s="12" t="s">
        <v>175</v>
      </c>
      <c r="E136">
        <v>2</v>
      </c>
      <c r="F136" t="s">
        <v>47</v>
      </c>
      <c r="G136">
        <v>1</v>
      </c>
      <c r="H136" t="str">
        <f t="shared" si="20"/>
        <v>itemicon_1021802.png</v>
      </c>
      <c r="I136">
        <f t="shared" si="21"/>
        <v>2021802</v>
      </c>
      <c r="K136" s="7">
        <v>1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1022001</v>
      </c>
      <c r="B137" s="7">
        <v>2001</v>
      </c>
      <c r="C137">
        <f t="shared" si="19"/>
        <v>1202001</v>
      </c>
      <c r="D137" s="13" t="s">
        <v>176</v>
      </c>
      <c r="E137">
        <v>2</v>
      </c>
      <c r="F137" t="s">
        <v>47</v>
      </c>
      <c r="G137">
        <v>1</v>
      </c>
      <c r="H137" t="str">
        <f t="shared" si="20"/>
        <v>itemicon_1022001.png</v>
      </c>
      <c r="I137">
        <f t="shared" si="21"/>
        <v>2022001</v>
      </c>
      <c r="K137" s="7">
        <v>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1022002</v>
      </c>
      <c r="B138" s="7">
        <v>2002</v>
      </c>
      <c r="C138">
        <f t="shared" si="19"/>
        <v>1202002</v>
      </c>
      <c r="D138" s="13" t="s">
        <v>177</v>
      </c>
      <c r="E138">
        <v>2</v>
      </c>
      <c r="F138" t="s">
        <v>47</v>
      </c>
      <c r="G138">
        <v>1</v>
      </c>
      <c r="H138" t="str">
        <f t="shared" si="20"/>
        <v>itemicon_1022002.png</v>
      </c>
      <c r="I138">
        <f t="shared" si="21"/>
        <v>2022002</v>
      </c>
      <c r="K138" s="7">
        <v>1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1022201</v>
      </c>
      <c r="B139" s="7">
        <v>2201</v>
      </c>
      <c r="C139">
        <f t="shared" si="19"/>
        <v>1202201</v>
      </c>
      <c r="D139" s="14" t="s">
        <v>178</v>
      </c>
      <c r="E139">
        <v>2</v>
      </c>
      <c r="F139" t="s">
        <v>47</v>
      </c>
      <c r="G139">
        <v>1</v>
      </c>
      <c r="H139" t="str">
        <f t="shared" si="20"/>
        <v>itemicon_1022201.png</v>
      </c>
      <c r="I139">
        <f t="shared" si="21"/>
        <v>2022201</v>
      </c>
      <c r="K139" s="7">
        <v>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1022202</v>
      </c>
      <c r="B140" s="7">
        <v>2202</v>
      </c>
      <c r="C140">
        <f t="shared" si="19"/>
        <v>1202202</v>
      </c>
      <c r="D140" s="14" t="s">
        <v>179</v>
      </c>
      <c r="E140">
        <v>2</v>
      </c>
      <c r="F140" t="s">
        <v>47</v>
      </c>
      <c r="G140">
        <v>1</v>
      </c>
      <c r="H140" t="str">
        <f t="shared" si="20"/>
        <v>itemicon_1022202.png</v>
      </c>
      <c r="I140">
        <f t="shared" si="21"/>
        <v>2022202</v>
      </c>
      <c r="K140" s="7">
        <v>1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 t="str">
        <f t="shared" si="20"/>
        <v>itemicon_1022501.png</v>
      </c>
      <c r="I141">
        <f t="shared" si="21"/>
        <v>2022501</v>
      </c>
      <c r="J141" t="s">
        <v>181</v>
      </c>
      <c r="K141">
        <v>0</v>
      </c>
      <c r="N141">
        <v>999</v>
      </c>
    </row>
    <row r="142" customFormat="1" ht="18" customHeight="1" spans="1:14">
      <c r="A142">
        <f t="shared" si="18"/>
        <v>1022502</v>
      </c>
      <c r="B142">
        <v>2502</v>
      </c>
      <c r="C142">
        <f t="shared" si="19"/>
        <v>1202502</v>
      </c>
      <c r="D142" t="s">
        <v>182</v>
      </c>
      <c r="E142">
        <v>2</v>
      </c>
      <c r="F142" t="s">
        <v>47</v>
      </c>
      <c r="G142">
        <v>1</v>
      </c>
      <c r="H142" t="s">
        <v>183</v>
      </c>
      <c r="I142">
        <f t="shared" si="21"/>
        <v>2022502</v>
      </c>
      <c r="J142" t="s">
        <v>184</v>
      </c>
      <c r="K142">
        <v>0</v>
      </c>
      <c r="N142">
        <v>999</v>
      </c>
    </row>
    <row r="143" customFormat="1" ht="21" customHeight="1" spans="1:14">
      <c r="A143">
        <v>1023001</v>
      </c>
      <c r="B143" s="7"/>
      <c r="C143">
        <v>1023001</v>
      </c>
      <c r="D143" t="s">
        <v>185</v>
      </c>
      <c r="E143">
        <v>2</v>
      </c>
      <c r="F143" t="s">
        <v>47</v>
      </c>
      <c r="G143">
        <v>2</v>
      </c>
      <c r="H143" t="s">
        <v>186</v>
      </c>
      <c r="I143">
        <v>2023001</v>
      </c>
      <c r="J143" t="s">
        <v>187</v>
      </c>
      <c r="K143">
        <v>0</v>
      </c>
      <c r="N143">
        <v>999</v>
      </c>
    </row>
    <row r="144" customFormat="1" ht="21" customHeight="1" spans="1:14">
      <c r="A144">
        <v>1023002</v>
      </c>
      <c r="B144" s="7"/>
      <c r="C144">
        <v>1023002</v>
      </c>
      <c r="D144" t="s">
        <v>188</v>
      </c>
      <c r="E144">
        <v>2</v>
      </c>
      <c r="F144" t="s">
        <v>47</v>
      </c>
      <c r="G144">
        <v>3</v>
      </c>
      <c r="H144" t="s">
        <v>189</v>
      </c>
      <c r="I144">
        <v>2023002</v>
      </c>
      <c r="J144" t="s">
        <v>187</v>
      </c>
      <c r="K144">
        <v>0</v>
      </c>
      <c r="N144">
        <v>999</v>
      </c>
    </row>
    <row r="145" customFormat="1" ht="21" customHeight="1" spans="1:14">
      <c r="A145">
        <v>1023003</v>
      </c>
      <c r="B145" s="7"/>
      <c r="C145">
        <v>1023003</v>
      </c>
      <c r="D145" t="s">
        <v>190</v>
      </c>
      <c r="E145">
        <v>2</v>
      </c>
      <c r="F145" t="s">
        <v>47</v>
      </c>
      <c r="G145">
        <v>4</v>
      </c>
      <c r="H145" t="s">
        <v>191</v>
      </c>
      <c r="I145">
        <v>2023003</v>
      </c>
      <c r="J145" t="s">
        <v>187</v>
      </c>
      <c r="K145">
        <v>0</v>
      </c>
      <c r="N145">
        <v>999</v>
      </c>
    </row>
    <row r="146" customFormat="1" ht="21" customHeight="1" spans="1:14">
      <c r="A146">
        <v>1023004</v>
      </c>
      <c r="B146" s="7"/>
      <c r="C146">
        <v>1023004</v>
      </c>
      <c r="D146" t="s">
        <v>192</v>
      </c>
      <c r="E146">
        <v>2</v>
      </c>
      <c r="F146" t="s">
        <v>47</v>
      </c>
      <c r="G146">
        <v>5</v>
      </c>
      <c r="H146" t="s">
        <v>193</v>
      </c>
      <c r="I146">
        <v>2023004</v>
      </c>
      <c r="J146" t="s">
        <v>187</v>
      </c>
      <c r="K146">
        <v>0</v>
      </c>
      <c r="N146">
        <v>999</v>
      </c>
    </row>
    <row r="147" customFormat="1" ht="21" customHeight="1" spans="1:14">
      <c r="A147">
        <v>1023005</v>
      </c>
      <c r="B147" s="7"/>
      <c r="C147">
        <v>1023005</v>
      </c>
      <c r="D147" t="s">
        <v>194</v>
      </c>
      <c r="E147">
        <v>2</v>
      </c>
      <c r="F147" t="s">
        <v>47</v>
      </c>
      <c r="G147">
        <v>6</v>
      </c>
      <c r="H147" t="s">
        <v>195</v>
      </c>
      <c r="I147">
        <v>2023005</v>
      </c>
      <c r="J147" t="s">
        <v>187</v>
      </c>
      <c r="K147">
        <v>0</v>
      </c>
      <c r="N147">
        <v>999</v>
      </c>
    </row>
    <row r="148" customFormat="1" ht="21" customHeight="1" spans="1:14">
      <c r="A148">
        <v>1023101</v>
      </c>
      <c r="B148" s="7"/>
      <c r="C148">
        <v>1023101</v>
      </c>
      <c r="D148" t="s">
        <v>196</v>
      </c>
      <c r="E148">
        <v>2</v>
      </c>
      <c r="F148" t="s">
        <v>47</v>
      </c>
      <c r="G148">
        <v>2</v>
      </c>
      <c r="H148" t="s">
        <v>197</v>
      </c>
      <c r="I148">
        <v>2023101</v>
      </c>
      <c r="J148" t="s">
        <v>198</v>
      </c>
      <c r="K148">
        <v>0</v>
      </c>
      <c r="N148">
        <v>999</v>
      </c>
    </row>
    <row r="149" customFormat="1" ht="21" customHeight="1" spans="1:14">
      <c r="A149">
        <v>1023102</v>
      </c>
      <c r="B149" s="7"/>
      <c r="C149">
        <v>1023102</v>
      </c>
      <c r="D149" t="s">
        <v>199</v>
      </c>
      <c r="E149">
        <v>2</v>
      </c>
      <c r="F149" t="s">
        <v>47</v>
      </c>
      <c r="G149">
        <v>3</v>
      </c>
      <c r="H149" t="s">
        <v>200</v>
      </c>
      <c r="I149">
        <v>2023102</v>
      </c>
      <c r="J149" t="s">
        <v>198</v>
      </c>
      <c r="K149">
        <v>0</v>
      </c>
      <c r="N149">
        <v>999</v>
      </c>
    </row>
    <row r="150" customFormat="1" ht="21" customHeight="1" spans="1:14">
      <c r="A150">
        <v>1023103</v>
      </c>
      <c r="B150" s="7"/>
      <c r="C150">
        <v>1023103</v>
      </c>
      <c r="D150" t="s">
        <v>201</v>
      </c>
      <c r="E150">
        <v>2</v>
      </c>
      <c r="F150" t="s">
        <v>47</v>
      </c>
      <c r="G150">
        <v>4</v>
      </c>
      <c r="H150" t="s">
        <v>202</v>
      </c>
      <c r="I150">
        <v>2023103</v>
      </c>
      <c r="J150" t="s">
        <v>198</v>
      </c>
      <c r="K150">
        <v>0</v>
      </c>
      <c r="N150">
        <v>999</v>
      </c>
    </row>
    <row r="151" customFormat="1" ht="21" customHeight="1" spans="1:14">
      <c r="A151">
        <v>1023104</v>
      </c>
      <c r="B151" s="7"/>
      <c r="C151">
        <v>1023104</v>
      </c>
      <c r="D151" t="s">
        <v>203</v>
      </c>
      <c r="E151">
        <v>2</v>
      </c>
      <c r="F151" t="s">
        <v>47</v>
      </c>
      <c r="G151">
        <v>5</v>
      </c>
      <c r="H151" t="s">
        <v>204</v>
      </c>
      <c r="I151">
        <v>2023104</v>
      </c>
      <c r="J151" t="s">
        <v>198</v>
      </c>
      <c r="K151">
        <v>0</v>
      </c>
      <c r="N151">
        <v>999</v>
      </c>
    </row>
    <row r="152" customFormat="1" ht="21" customHeight="1" spans="1:14">
      <c r="A152">
        <v>1023105</v>
      </c>
      <c r="B152" s="7"/>
      <c r="C152">
        <v>1023105</v>
      </c>
      <c r="D152" t="s">
        <v>205</v>
      </c>
      <c r="E152">
        <v>2</v>
      </c>
      <c r="F152" t="s">
        <v>47</v>
      </c>
      <c r="G152">
        <v>6</v>
      </c>
      <c r="H152" t="s">
        <v>206</v>
      </c>
      <c r="I152">
        <v>2023105</v>
      </c>
      <c r="J152" t="s">
        <v>198</v>
      </c>
      <c r="K152">
        <v>0</v>
      </c>
      <c r="N152">
        <v>999</v>
      </c>
    </row>
    <row r="153" customFormat="1" ht="21" customHeight="1" spans="1:14">
      <c r="A153">
        <v>1023201</v>
      </c>
      <c r="B153" s="7"/>
      <c r="C153">
        <v>1023201</v>
      </c>
      <c r="D153" t="s">
        <v>207</v>
      </c>
      <c r="E153">
        <v>2</v>
      </c>
      <c r="F153" t="s">
        <v>47</v>
      </c>
      <c r="G153">
        <v>2</v>
      </c>
      <c r="H153" t="s">
        <v>208</v>
      </c>
      <c r="I153">
        <v>2023201</v>
      </c>
      <c r="J153" t="s">
        <v>209</v>
      </c>
      <c r="K153">
        <v>0</v>
      </c>
      <c r="N153">
        <v>999</v>
      </c>
    </row>
    <row r="154" customFormat="1" ht="21" customHeight="1" spans="1:14">
      <c r="A154">
        <v>1023202</v>
      </c>
      <c r="B154" s="7"/>
      <c r="C154">
        <v>1023202</v>
      </c>
      <c r="D154" t="s">
        <v>210</v>
      </c>
      <c r="E154">
        <v>2</v>
      </c>
      <c r="F154" t="s">
        <v>47</v>
      </c>
      <c r="G154">
        <v>3</v>
      </c>
      <c r="H154" t="s">
        <v>211</v>
      </c>
      <c r="I154">
        <v>2023202</v>
      </c>
      <c r="J154" t="s">
        <v>209</v>
      </c>
      <c r="K154">
        <v>0</v>
      </c>
      <c r="N154">
        <v>999</v>
      </c>
    </row>
    <row r="155" customFormat="1" ht="21" customHeight="1" spans="1:14">
      <c r="A155">
        <v>1023203</v>
      </c>
      <c r="B155" s="7"/>
      <c r="C155">
        <v>1023203</v>
      </c>
      <c r="D155" t="s">
        <v>212</v>
      </c>
      <c r="E155">
        <v>2</v>
      </c>
      <c r="F155" t="s">
        <v>47</v>
      </c>
      <c r="G155">
        <v>4</v>
      </c>
      <c r="H155" t="s">
        <v>213</v>
      </c>
      <c r="I155">
        <v>2023203</v>
      </c>
      <c r="J155" t="s">
        <v>209</v>
      </c>
      <c r="K155">
        <v>0</v>
      </c>
      <c r="N155">
        <v>999</v>
      </c>
    </row>
    <row r="156" customFormat="1" ht="21" customHeight="1" spans="1:14">
      <c r="A156">
        <v>1023204</v>
      </c>
      <c r="B156" s="7"/>
      <c r="C156">
        <v>1023204</v>
      </c>
      <c r="D156" t="s">
        <v>214</v>
      </c>
      <c r="E156">
        <v>2</v>
      </c>
      <c r="F156" t="s">
        <v>47</v>
      </c>
      <c r="G156">
        <v>5</v>
      </c>
      <c r="H156" t="s">
        <v>215</v>
      </c>
      <c r="I156">
        <v>2023204</v>
      </c>
      <c r="J156" t="s">
        <v>209</v>
      </c>
      <c r="K156">
        <v>0</v>
      </c>
      <c r="N156">
        <v>999</v>
      </c>
    </row>
    <row r="157" customFormat="1" ht="21" customHeight="1" spans="1:14">
      <c r="A157">
        <v>1023205</v>
      </c>
      <c r="B157" s="7"/>
      <c r="C157">
        <v>1023205</v>
      </c>
      <c r="D157" t="s">
        <v>216</v>
      </c>
      <c r="E157">
        <v>2</v>
      </c>
      <c r="F157" t="s">
        <v>47</v>
      </c>
      <c r="G157">
        <v>6</v>
      </c>
      <c r="H157" t="s">
        <v>217</v>
      </c>
      <c r="I157">
        <v>2023205</v>
      </c>
      <c r="J157" t="s">
        <v>209</v>
      </c>
      <c r="K157">
        <v>0</v>
      </c>
      <c r="N157">
        <v>999</v>
      </c>
    </row>
    <row r="158" customFormat="1" ht="21" customHeight="1" spans="1:14">
      <c r="A158">
        <v>1023301</v>
      </c>
      <c r="B158" s="7"/>
      <c r="C158">
        <v>1023301</v>
      </c>
      <c r="D158" t="s">
        <v>218</v>
      </c>
      <c r="E158">
        <v>2</v>
      </c>
      <c r="F158" t="s">
        <v>47</v>
      </c>
      <c r="G158">
        <v>2</v>
      </c>
      <c r="H158" t="s">
        <v>219</v>
      </c>
      <c r="I158">
        <v>2023301</v>
      </c>
      <c r="J158" t="s">
        <v>220</v>
      </c>
      <c r="K158">
        <v>0</v>
      </c>
      <c r="N158">
        <v>999</v>
      </c>
    </row>
    <row r="159" customFormat="1" ht="21" customHeight="1" spans="1:14">
      <c r="A159">
        <v>1023302</v>
      </c>
      <c r="B159" s="7"/>
      <c r="C159">
        <v>1023302</v>
      </c>
      <c r="D159" t="s">
        <v>221</v>
      </c>
      <c r="E159">
        <v>2</v>
      </c>
      <c r="F159" t="s">
        <v>47</v>
      </c>
      <c r="G159">
        <v>3</v>
      </c>
      <c r="H159" t="s">
        <v>222</v>
      </c>
      <c r="I159">
        <v>2023302</v>
      </c>
      <c r="J159" t="s">
        <v>220</v>
      </c>
      <c r="K159">
        <v>0</v>
      </c>
      <c r="N159">
        <v>999</v>
      </c>
    </row>
    <row r="160" customFormat="1" ht="21" customHeight="1" spans="1:14">
      <c r="A160">
        <v>1023303</v>
      </c>
      <c r="B160" s="7"/>
      <c r="C160">
        <v>1023303</v>
      </c>
      <c r="D160" t="s">
        <v>223</v>
      </c>
      <c r="E160">
        <v>2</v>
      </c>
      <c r="F160" t="s">
        <v>47</v>
      </c>
      <c r="G160">
        <v>4</v>
      </c>
      <c r="H160" t="s">
        <v>224</v>
      </c>
      <c r="I160">
        <v>2023303</v>
      </c>
      <c r="J160" t="s">
        <v>220</v>
      </c>
      <c r="K160">
        <v>0</v>
      </c>
      <c r="N160">
        <v>999</v>
      </c>
    </row>
    <row r="161" customFormat="1" ht="21" customHeight="1" spans="1:14">
      <c r="A161">
        <v>1023304</v>
      </c>
      <c r="B161" s="7"/>
      <c r="C161">
        <v>1023304</v>
      </c>
      <c r="D161" t="s">
        <v>225</v>
      </c>
      <c r="E161">
        <v>2</v>
      </c>
      <c r="F161" t="s">
        <v>47</v>
      </c>
      <c r="G161">
        <v>5</v>
      </c>
      <c r="H161" t="s">
        <v>226</v>
      </c>
      <c r="I161">
        <v>2023304</v>
      </c>
      <c r="J161" t="s">
        <v>220</v>
      </c>
      <c r="K161">
        <v>0</v>
      </c>
      <c r="N161">
        <v>999</v>
      </c>
    </row>
    <row r="162" customFormat="1" ht="21" customHeight="1" spans="1:14">
      <c r="A162">
        <v>1023305</v>
      </c>
      <c r="B162" s="7"/>
      <c r="C162">
        <v>1023305</v>
      </c>
      <c r="D162" t="s">
        <v>227</v>
      </c>
      <c r="E162">
        <v>2</v>
      </c>
      <c r="F162" t="s">
        <v>47</v>
      </c>
      <c r="G162">
        <v>6</v>
      </c>
      <c r="H162" t="s">
        <v>228</v>
      </c>
      <c r="I162">
        <v>2023305</v>
      </c>
      <c r="J162" t="s">
        <v>220</v>
      </c>
      <c r="K162">
        <v>0</v>
      </c>
      <c r="N162">
        <v>999</v>
      </c>
    </row>
    <row r="163" customFormat="1" ht="21" customHeight="1" spans="1:14">
      <c r="A163">
        <v>1023401</v>
      </c>
      <c r="B163" s="7"/>
      <c r="C163">
        <v>1023401</v>
      </c>
      <c r="D163" t="s">
        <v>229</v>
      </c>
      <c r="E163">
        <v>2</v>
      </c>
      <c r="F163" t="s">
        <v>47</v>
      </c>
      <c r="G163">
        <v>2</v>
      </c>
      <c r="H163" t="s">
        <v>230</v>
      </c>
      <c r="I163">
        <v>2023401</v>
      </c>
      <c r="J163" t="s">
        <v>231</v>
      </c>
      <c r="K163">
        <v>0</v>
      </c>
      <c r="N163">
        <v>999</v>
      </c>
    </row>
    <row r="164" customFormat="1" ht="21" customHeight="1" spans="1:14">
      <c r="A164">
        <v>1023402</v>
      </c>
      <c r="B164" s="7"/>
      <c r="C164">
        <v>1023402</v>
      </c>
      <c r="D164" t="s">
        <v>232</v>
      </c>
      <c r="E164">
        <v>2</v>
      </c>
      <c r="F164" t="s">
        <v>47</v>
      </c>
      <c r="G164">
        <v>3</v>
      </c>
      <c r="H164" t="s">
        <v>233</v>
      </c>
      <c r="I164">
        <v>2023402</v>
      </c>
      <c r="J164" t="s">
        <v>231</v>
      </c>
      <c r="K164">
        <v>0</v>
      </c>
      <c r="N164">
        <v>999</v>
      </c>
    </row>
    <row r="165" customFormat="1" ht="21" customHeight="1" spans="1:14">
      <c r="A165">
        <v>1023403</v>
      </c>
      <c r="B165" s="7"/>
      <c r="C165">
        <v>1023403</v>
      </c>
      <c r="D165" t="s">
        <v>234</v>
      </c>
      <c r="E165">
        <v>2</v>
      </c>
      <c r="F165" t="s">
        <v>47</v>
      </c>
      <c r="G165">
        <v>4</v>
      </c>
      <c r="H165" t="s">
        <v>235</v>
      </c>
      <c r="I165">
        <v>2023403</v>
      </c>
      <c r="J165" t="s">
        <v>231</v>
      </c>
      <c r="K165">
        <v>0</v>
      </c>
      <c r="N165">
        <v>999</v>
      </c>
    </row>
    <row r="166" customFormat="1" ht="21" customHeight="1" spans="1:14">
      <c r="A166">
        <v>1023404</v>
      </c>
      <c r="B166" s="7"/>
      <c r="C166">
        <v>1023404</v>
      </c>
      <c r="D166" t="s">
        <v>236</v>
      </c>
      <c r="E166">
        <v>2</v>
      </c>
      <c r="F166" t="s">
        <v>47</v>
      </c>
      <c r="G166">
        <v>5</v>
      </c>
      <c r="H166" t="s">
        <v>237</v>
      </c>
      <c r="I166">
        <v>2023404</v>
      </c>
      <c r="J166" t="s">
        <v>231</v>
      </c>
      <c r="K166">
        <v>0</v>
      </c>
      <c r="N166">
        <v>999</v>
      </c>
    </row>
    <row r="167" customFormat="1" ht="21" customHeight="1" spans="1:14">
      <c r="A167">
        <v>1023405</v>
      </c>
      <c r="B167" s="7"/>
      <c r="C167">
        <v>1023405</v>
      </c>
      <c r="D167" t="s">
        <v>238</v>
      </c>
      <c r="E167">
        <v>2</v>
      </c>
      <c r="F167" t="s">
        <v>47</v>
      </c>
      <c r="G167">
        <v>6</v>
      </c>
      <c r="H167" t="s">
        <v>239</v>
      </c>
      <c r="I167">
        <v>2023405</v>
      </c>
      <c r="J167" t="s">
        <v>231</v>
      </c>
      <c r="K167">
        <v>0</v>
      </c>
      <c r="N167">
        <v>999</v>
      </c>
    </row>
    <row r="168" ht="21" customHeight="1" spans="1:14">
      <c r="A168">
        <f>1000000+E168*10000+B168</f>
        <v>1990000</v>
      </c>
      <c r="B168" s="7">
        <v>0</v>
      </c>
      <c r="C168">
        <v>1990000</v>
      </c>
      <c r="D168" t="s">
        <v>240</v>
      </c>
      <c r="E168">
        <v>99</v>
      </c>
      <c r="F168" t="s">
        <v>241</v>
      </c>
      <c r="G168">
        <v>1</v>
      </c>
      <c r="H168" t="str">
        <f>"itemicon_"&amp;A168&amp;".png"</f>
        <v>itemicon_1990000.png</v>
      </c>
      <c r="I168">
        <f>2000000+E168*10000+B168</f>
        <v>2990000</v>
      </c>
      <c r="J168" t="s">
        <v>242</v>
      </c>
      <c r="K168">
        <v>0</v>
      </c>
      <c r="N168">
        <v>-1</v>
      </c>
    </row>
    <row r="169" ht="21" customHeight="1" spans="1:14">
      <c r="A169">
        <f>1000000+E169*10000+B169</f>
        <v>1980000</v>
      </c>
      <c r="B169" s="7">
        <v>0</v>
      </c>
      <c r="C169">
        <v>1980000</v>
      </c>
      <c r="D169" t="s">
        <v>243</v>
      </c>
      <c r="E169">
        <v>98</v>
      </c>
      <c r="F169" t="s">
        <v>241</v>
      </c>
      <c r="G169">
        <v>1</v>
      </c>
      <c r="H169" t="str">
        <f>"itemicon_"&amp;A169&amp;".png"</f>
        <v>itemicon_1980000.png</v>
      </c>
      <c r="I169">
        <f>2000000+E169*10000+B169</f>
        <v>2980000</v>
      </c>
      <c r="J169" t="s">
        <v>244</v>
      </c>
      <c r="K169">
        <v>0</v>
      </c>
      <c r="N169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2025-09-10T09:44:04Z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