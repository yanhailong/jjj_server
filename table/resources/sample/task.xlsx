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task" sheetId="1" r:id="rId1"/>
    <sheet name="Sheet1" sheetId="2" r:id="rId2"/>
    <sheet name="Sheet2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<sst xmlns="http://schemas.openxmlformats.org/spreadsheetml/2006/main" count="554" uniqueCount="270">
  <si>
    <t>任务ID</t>
  </si>
  <si>
    <t>任务类型</t>
  </si>
  <si>
    <t>任务组</t>
  </si>
  <si>
    <t>任务条件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</si>
  <si>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</si>
  <si>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</si>
  <si>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</si>
  <si>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</si>
  <si>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</si>
  <si>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</si>
  <si>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</si>
  <si>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</si>
  <si>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价值转化</t>
  </si>
  <si>
    <t>美分</t>
  </si>
  <si>
    <t>道具价值</t>
  </si>
  <si>
    <t>金币价值</t>
  </si>
  <si>
    <t>积分</t>
  </si>
  <si>
    <t>int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</si>
  <si>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</si>
  <si>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</si>
  <si>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</si>
  <si>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</si>
  <si>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</si>
  <si>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</si>
  <si>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</si>
  <si>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</si>
  <si>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</si>
  <si>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</si>
  <si>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</si>
  <si>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</si>
  <si>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</si>
  <si>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11001_999_2_0</t>
  </si>
  <si>
    <t>itemicon_1022504.png</t>
  </si>
  <si>
    <t>task_Recharge</t>
  </si>
  <si>
    <t>70001</t>
  </si>
  <si>
    <t>進行2次單筆充值$9.99</t>
  </si>
  <si>
    <t>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</si>
  <si>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</si>
  <si>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</si>
  <si>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</si>
  <si>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</si>
  <si>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</si>
  <si>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</si>
  <si>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</si>
  <si>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</si>
  <si>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</si>
  <si>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11002_100_0</t>
  </si>
  <si>
    <t>累積充值達到$1.00</t>
  </si>
  <si>
    <t>11002_20000_0</t>
  </si>
  <si>
    <t>71201</t>
  </si>
  <si>
    <t>累積充值達到$200.00</t>
  </si>
  <si>
    <t>11002_50000_0</t>
  </si>
  <si>
    <t>71202</t>
  </si>
  <si>
    <t>累積充值達到$500.00</t>
  </si>
  <si>
    <t>12001_100100_1000000</t>
  </si>
  <si>
    <t>task_GoldMineTycoon</t>
  </si>
  <si>
    <t>在[金礦大亨]電子遊戲中，金币有效下注累積達到1,000,000</t>
  </si>
  <si>
    <t>有效下注</t>
  </si>
  <si>
    <t>12001_100700_70000000</t>
  </si>
  <si>
    <t>72011</t>
  </si>
  <si>
    <t>在[金礦大亨]電子遊戲中，金币有效下注累積達到70,000,000</t>
  </si>
  <si>
    <t>12001_100700_700000000</t>
  </si>
  <si>
    <t>task_MahjongWays</t>
  </si>
  <si>
    <t>72012</t>
  </si>
  <si>
    <t>在[麻将胡了]電子遊戲中，金币有效下注累積達到700,000,000</t>
  </si>
  <si>
    <t>12001_0_1400000000</t>
  </si>
  <si>
    <t>task_Anygame</t>
  </si>
  <si>
    <t>在任意遊戲中，金币有效下注累積達到4,000,000</t>
  </si>
  <si>
    <t>10003_100100_1_1000000_1990000</t>
  </si>
  <si>
    <t>在[金礦大亨]電子遊戲中，金币累積贏獎達到1,000,000</t>
  </si>
  <si>
    <t>赢奖金币</t>
  </si>
  <si>
    <t>10003_100300_1_35000000_1990000</t>
  </si>
  <si>
    <t>task_SuperStar</t>
  </si>
  <si>
    <t>70301</t>
  </si>
  <si>
    <t>在[超级明星]電子遊戲中，金币累積贏獎達到35,000,000</t>
  </si>
  <si>
    <t>10003_100300_1_350000000_1990000</t>
  </si>
  <si>
    <t>70302</t>
  </si>
  <si>
    <t>在[超级明星]電子遊戲中，金币累積贏獎達到350,000,000</t>
  </si>
  <si>
    <t>10003_100300_1_1400000000_1990000</t>
  </si>
  <si>
    <t>70303</t>
  </si>
  <si>
    <t>在[超级明星]電子遊戲中，金币累積贏獎達到1,400,000,000</t>
  </si>
  <si>
    <t>10003_100700_1_35000000_1990000</t>
  </si>
  <si>
    <t>70304</t>
  </si>
  <si>
    <t>在[麻将胡了]電子遊戲中，金币累積贏獎達到35,000,000</t>
  </si>
  <si>
    <t>10003_100700_1_350000000_1990000</t>
  </si>
  <si>
    <t>70305</t>
  </si>
  <si>
    <t>在[麻将胡了]電子遊戲中，金币累積贏獎達到350,000,000</t>
  </si>
  <si>
    <t>10003_100700_1_1400000000_1990000</t>
  </si>
  <si>
    <t>70306</t>
  </si>
  <si>
    <t>在[麻将胡了]電子遊戲中，金币累積贏獎達到1,400,000,000</t>
  </si>
  <si>
    <t>10003_101200_1_35000000_1990000</t>
  </si>
  <si>
    <t>task_GodofWealth</t>
  </si>
  <si>
    <t>70307</t>
  </si>
  <si>
    <t>在[财神]電子遊戲中，金币累積贏獎達到35,000,000</t>
  </si>
  <si>
    <t>10003_101200_1_350000000_1990000</t>
  </si>
  <si>
    <t>70308</t>
  </si>
  <si>
    <t>在[财神]電子遊戲中，金币累積贏獎達到350,000,000</t>
  </si>
  <si>
    <t>10003_101200_1_1400000000_1990000</t>
  </si>
  <si>
    <t>70309</t>
  </si>
  <si>
    <t>在[财神]電子遊戲中，金币累積贏獎達到1,400,000,000</t>
  </si>
  <si>
    <t>10003_101400_1_35000000_1990000</t>
  </si>
  <si>
    <t>task_Cleopatra</t>
  </si>
  <si>
    <t>70310</t>
  </si>
  <si>
    <t>在[埃及艳后]電子遊戲中，金币累積贏獎達到35,000,000</t>
  </si>
  <si>
    <t>10003_101400_1_350000000_1990000</t>
  </si>
  <si>
    <t>70311</t>
  </si>
  <si>
    <t>在[埃及艳后]電子遊戲中，金币累積贏獎達到350,000,000</t>
  </si>
  <si>
    <t>10003_101400_1_1400000000_1990000</t>
  </si>
  <si>
    <t>70312</t>
  </si>
  <si>
    <t>在[埃及艳后]電子遊戲中，金币累積贏獎達到1,400,000,000</t>
  </si>
  <si>
    <t>10003_0_1_20000000_1990000</t>
  </si>
  <si>
    <t>在任意遊戲中，金币累積贏獎達到20,000,000</t>
  </si>
  <si>
    <t>10003_0_1_210000000_1990000</t>
  </si>
  <si>
    <t>70391</t>
  </si>
  <si>
    <t>在任意遊戲中，金币累積贏獎達到210,000,000</t>
  </si>
  <si>
    <t>10003_0_1_1050000000_1990000</t>
  </si>
  <si>
    <t>70392</t>
  </si>
  <si>
    <t>在任意遊戲中，金币累積贏獎達到2,100,000,000</t>
  </si>
  <si>
    <t>10003_0_1_2100000000_1990000</t>
  </si>
  <si>
    <t>70393</t>
  </si>
  <si>
    <t>在任意遊戲中，金币累積贏獎達到4,200,000,000</t>
  </si>
  <si>
    <t>10003_0_1_1000_1980000</t>
  </si>
  <si>
    <t>task_win diamonds</t>
  </si>
  <si>
    <t>在私人房間中鑽石累積贏獎達到1,000</t>
  </si>
  <si>
    <t>赢奖钻石</t>
  </si>
  <si>
    <t>10003_0_1_7000_1980000</t>
  </si>
  <si>
    <t>70381</t>
  </si>
  <si>
    <t>在私人房間中鑽石累積贏獎達到7,000</t>
  </si>
  <si>
    <t>10003_0_1_70000_1980000</t>
  </si>
  <si>
    <t>70382</t>
  </si>
  <si>
    <t>在私人房間中鑽石累積贏獎達到70,000</t>
  </si>
  <si>
    <t>10003_0_1_700000_1980000</t>
  </si>
  <si>
    <t>70383</t>
  </si>
  <si>
    <t>在私人房間中鑽石累積贏獎達到700,000</t>
  </si>
  <si>
    <t>12101_1022501_10</t>
  </si>
  <si>
    <t>task_MoneyTree</t>
  </si>
  <si>
    <t>在[搖錢樹]活動中累積使用10個[祈福卡]</t>
  </si>
  <si>
    <t>使用祈福卡</t>
  </si>
  <si>
    <t>祈福卡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</si>
  <si>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</si>
  <si>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</si>
  <si>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</si>
  <si>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</si>
  <si>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</si>
  <si>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</si>
  <si>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10001_100100_1_100</t>
  </si>
  <si>
    <t>70009</t>
  </si>
  <si>
    <t>在[金礦大亨]電子遊戲中，累積旋轉100次</t>
  </si>
  <si>
    <t>旋转次数</t>
  </si>
  <si>
    <t>10001_100300_1_500</t>
  </si>
  <si>
    <t>task_rotation times</t>
  </si>
  <si>
    <t>70101</t>
  </si>
  <si>
    <t>在[超级明星]電子遊戲中，累積旋轉500次</t>
  </si>
  <si>
    <t>10001_100700_1_500</t>
  </si>
  <si>
    <t>70102</t>
  </si>
  <si>
    <t>在[麻将胡了]電子遊戲中，累積旋轉500次</t>
  </si>
  <si>
    <t>10001_101200_1_500</t>
  </si>
  <si>
    <t>70103</t>
  </si>
  <si>
    <t>在[财神]電子遊戲中，累積旋轉500次</t>
  </si>
  <si>
    <t>10001_101400_1_500</t>
  </si>
  <si>
    <t>70104</t>
  </si>
  <si>
    <t>在[埃及艳后]電子遊戲中，累積旋轉500次</t>
  </si>
  <si>
    <t>10001_0_1_2500</t>
  </si>
  <si>
    <t>在任意電子遊戲中，累積旋轉2500次</t>
  </si>
  <si>
    <t>11001_9_2_0</t>
  </si>
  <si>
    <t>2026/10/01 00:00:00</t>
  </si>
  <si>
    <t>2025/10/01 00:00:00</t>
  </si>
  <si>
    <t>累積充值達到$100.00</t>
  </si>
  <si>
    <t>12001_0_4000000</t>
  </si>
  <si>
    <t>10003_0_1_2000000_1990000</t>
  </si>
  <si>
    <t>在任意遊戲中，金币累積贏獎達到2,000,000</t>
  </si>
  <si>
    <t>10001_0_1_500</t>
  </si>
  <si>
    <t>在任意電子遊戲中，累積旋轉500次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</si>
  <si>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</si>
  <si>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</si>
  <si>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</si>
  <si>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</si>
  <si>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</si>
  <si>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</si>
  <si>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</si>
  <si>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</si>
  <si>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</si>
  <si>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</si>
  <si>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</si>
  <si>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</si>
  <si>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</si>
  <si>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</si>
  <si>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</si>
  <si>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</si>
  <si>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</si>
  <si>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</si>
  <si>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</si>
  <si>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</si>
  <si>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</si>
  <si>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</si>
  <si>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</si>
  <si>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</si>
  <si>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</si>
  <si>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</si>
  <si>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</si>
  <si>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</si>
  <si>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</si>
  <si>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</si>
  <si>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</si>
  <si>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</si>
  <si>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</si>
  <si>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</si>
  <si>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</si>
  <si>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</si>
  <si>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</si>
  <si>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</si>
  <si>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</si>
  <si>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</si>
  <si>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</si>
  <si>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</si>
  <si>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</si>
  <si>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</si>
  <si>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</si>
  <si>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</si>
  <si>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</si>
  <si>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</si>
  <si>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</si>
  <si>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</si>
  <si>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</si>
  <si>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</si>
  <si>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</si>
  <si>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</si>
  <si>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</si>
  <si>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</si>
  <si>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</si>
  <si>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</si>
  <si>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</si>
  <si>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</si>
  <si>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</si>
  <si>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</si>
  <si>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</si>
  <si>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</si>
  <si>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</si>
  <si>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</si>
  <si>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</si>
  <si>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</si>
  <si>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</si>
  <si>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</si>
  <si>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</si>
  <si>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</si>
  <si>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</si>
  <si>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</si>
  <si>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</si>
  <si>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</si>
  <si>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</si>
  <si>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</si>
  <si>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</si>
  <si>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</si>
  <si>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</si>
  <si>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</si>
  <si>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</si>
  <si>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</si>
  <si>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</si>
  <si>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</si>
  <si>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</si>
  <si>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</si>
  <si>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</si>
  <si>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</si>
  <si>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充值商城</t>
  </si>
  <si>
    <t>金矿大亨</t>
  </si>
  <si>
    <t>麻将胡了</t>
  </si>
  <si>
    <t>超级明星</t>
  </si>
  <si>
    <t>财神</t>
  </si>
  <si>
    <t>埃及艳后</t>
  </si>
  <si>
    <t>创建房间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</si>
</sst>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4" applyNumberFormat="0" applyAlignment="0" applyProtection="0">
      <alignment vertical="center"/>
    </xf>
    <xf numFmtId="0" fontId="18" fillId="12" borderId="5" applyNumberFormat="0" applyAlignment="0" applyProtection="0">
      <alignment vertical="center"/>
    </xf>
    <xf numFmtId="0" fontId="19" fillId="12" borderId="4" applyNumberFormat="0" applyAlignment="0" applyProtection="0">
      <alignment vertical="center"/>
    </xf>
    <xf numFmtId="0" fontId="20" fillId="13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NumberFormat="1" applyFont="1" applyFill="1" applyAlignment="1">
      <alignment horizontal="left" vertical="center"/>
    </xf>
    <xf numFmtId="0" fontId="1" fillId="0" borderId="0" xfId="0" applyFont="1" applyFill="1">
      <alignment vertical="center"/>
    </xf>
    <xf numFmtId="0" fontId="1" fillId="3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1" fillId="3" borderId="0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2" fillId="5" borderId="0" xfId="0" applyFont="1" applyFill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0" fontId="1" fillId="9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1" fillId="9" borderId="0" xfId="0" applyNumberFormat="1" applyFont="1" applyFill="1" applyBorder="1" applyAlignment="1" applyProtection="1">
      <alignment horizontal="left" vertical="center"/>
    </xf>
    <xf numFmtId="49" fontId="1" fillId="3" borderId="0" xfId="0" applyNumberFormat="1" applyFont="1" applyFill="1" applyAlignment="1" applyProtection="1">
      <alignment horizontal="left" vertical="center"/>
    </xf>
    <xf numFmtId="0" fontId="1" fillId="9" borderId="0" xfId="0" applyNumberFormat="1" applyFont="1" applyFill="1" applyAlignment="1" applyProtection="1">
      <alignment horizontal="left" vertical="center"/>
    </xf>
    <xf numFmtId="0" fontId="1" fillId="9" borderId="0" xfId="0" applyNumberFormat="1" applyFont="1" applyFill="1">
      <alignment vertical="center"/>
    </xf>
    <xf numFmtId="0" fontId="1" fillId="2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4" borderId="0" xfId="0" applyFont="1" applyFill="1">
      <alignment vertical="center"/>
    </xf>
    <xf numFmtId="0" fontId="8" fillId="0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2" fillId="4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2001</v>
          </cell>
        </row>
        <row r="10">
          <cell r="F10" t="str">
            <v>创建房间</v>
          </cell>
        </row>
        <row r="11">
          <cell r="A11">
            <v>2002</v>
          </cell>
        </row>
        <row r="11">
          <cell r="F11" t="str">
            <v>我的赌场</v>
          </cell>
        </row>
        <row r="12">
          <cell r="A12">
            <v>2003</v>
          </cell>
        </row>
        <row r="12">
          <cell r="F12" t="str">
            <v>充值商城</v>
          </cell>
        </row>
        <row r="13">
          <cell r="A13">
            <v>3001</v>
          </cell>
        </row>
        <row r="13">
          <cell r="F13" t="str">
            <v>每日奖金</v>
          </cell>
        </row>
        <row r="14">
          <cell r="A14">
            <v>3002</v>
          </cell>
        </row>
        <row r="14">
          <cell r="F14" t="str">
            <v>摇钱树</v>
          </cell>
        </row>
        <row r="15">
          <cell r="A15">
            <v>3003</v>
          </cell>
        </row>
        <row r="15">
          <cell r="F15" t="str">
            <v>储钱罐</v>
          </cell>
        </row>
        <row r="16">
          <cell r="A16">
            <v>3004</v>
          </cell>
        </row>
        <row r="16">
          <cell r="F16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5"/>
  <sheetViews>
    <sheetView tabSelected="1" zoomScale="85" zoomScaleNormal="85" topLeftCell="J1" workbookViewId="0">
      <pane ySplit="4" topLeftCell="A5" activePane="bottomLeft" state="frozen"/>
      <selection/>
      <selection pane="bottomLeft" activeCell="M21" sqref="M21"/>
    </sheetView>
  </sheetViews>
  <sheetFormatPr defaultColWidth="9" defaultRowHeight="16.5"/>
  <cols>
    <col min="1" max="1" width="11.625" style="19" customWidth="1"/>
    <col min="2" max="4" width="9.125" style="19" customWidth="1"/>
    <col min="5" max="5" width="36.875" style="19" customWidth="1"/>
    <col min="6" max="6" width="12.625" style="19" customWidth="1"/>
    <col min="7" max="7" width="13.125" style="19" customWidth="1"/>
    <col min="8" max="8" width="23.625" style="20" customWidth="1"/>
    <col min="9" max="9" width="14.5" style="1" customWidth="1"/>
    <col min="10" max="10" width="22.875" style="1" customWidth="1"/>
    <col min="11" max="12" width="21.25" style="21" customWidth="1"/>
    <col min="13" max="13" width="55.15" style="19" customWidth="1"/>
    <col min="14" max="14" width="14.5" style="19" customWidth="1"/>
    <col min="15" max="15" width="12.875" style="19"/>
    <col min="16" max="17" width="9.25" style="19"/>
    <col min="18" max="19" width="14.125" style="19"/>
    <col min="20" max="20" width="9" style="19"/>
    <col min="21" max="21" width="14.125" style="19"/>
    <col min="22" max="16384" width="9" style="19"/>
  </cols>
  <sheetData>
    <row r="1" spans="1:22">
      <c r="A1" s="22" t="s">
        <v>0</v>
      </c>
      <c r="B1" s="22" t="s">
        <v>1</v>
      </c>
      <c r="C1" s="22" t="s">
        <v>2</v>
      </c>
      <c r="D1" s="22"/>
      <c r="E1" s="22" t="s">
        <v>3</v>
      </c>
      <c r="F1" s="23" t="s">
        <v>4</v>
      </c>
      <c r="G1" s="23" t="s">
        <v>5</v>
      </c>
      <c r="H1" s="24" t="s">
        <v>6</v>
      </c>
      <c r="I1" s="4" t="s">
        <v>7</v>
      </c>
      <c r="J1" s="4" t="s">
        <v>8</v>
      </c>
      <c r="K1" s="25" t="s">
        <v>9</v>
      </c>
      <c r="L1" s="25" t="s">
        <v>10</v>
      </c>
      <c r="M1" s="19" t="s">
        <v>11</v>
      </c>
      <c r="R1" s="19" t="s">
        <v>12</v>
      </c>
      <c r="S1" s="19" t="s">
        <v>13</v>
      </c>
      <c r="T1" s="19" t="s">
        <v>14</v>
      </c>
      <c r="U1" s="19" t="s">
        <v>15</v>
      </c>
      <c r="V1" s="19" t="s">
        <v>16</v>
      </c>
    </row>
    <row r="2" spans="1:22">
      <c r="A2" s="22" t="s">
        <v>17</v>
      </c>
      <c r="B2" s="22" t="s">
        <v>17</v>
      </c>
      <c r="C2" s="22" t="s">
        <v>17</v>
      </c>
      <c r="D2" s="22"/>
      <c r="E2" s="22" t="s">
        <v>18</v>
      </c>
      <c r="F2" s="26" t="s">
        <v>18</v>
      </c>
      <c r="G2" s="26" t="s">
        <v>17</v>
      </c>
      <c r="H2" s="26" t="s">
        <v>19</v>
      </c>
      <c r="I2" s="6" t="s">
        <v>17</v>
      </c>
      <c r="J2" s="6" t="s">
        <v>19</v>
      </c>
      <c r="K2" s="27" t="s">
        <v>19</v>
      </c>
      <c r="L2" s="27" t="s">
        <v>17</v>
      </c>
    </row>
    <row r="3" spans="1:22">
      <c r="A3" s="22" t="s">
        <v>20</v>
      </c>
      <c r="B3" s="22" t="s">
        <v>21</v>
      </c>
      <c r="C3" s="22" t="s">
        <v>22</v>
      </c>
      <c r="D3" s="22"/>
      <c r="E3" s="22" t="s">
        <v>23</v>
      </c>
      <c r="F3" s="26" t="s">
        <v>24</v>
      </c>
      <c r="G3" s="28" t="s">
        <v>25</v>
      </c>
      <c r="H3" s="28" t="s">
        <v>26</v>
      </c>
      <c r="I3" s="4" t="s">
        <v>27</v>
      </c>
      <c r="J3" s="4" t="s">
        <v>28</v>
      </c>
      <c r="K3" s="25" t="s">
        <v>29</v>
      </c>
      <c r="L3" s="25" t="s">
        <v>30</v>
      </c>
    </row>
    <row r="4" spans="1:22">
      <c r="A4" s="22"/>
      <c r="B4" s="22"/>
      <c r="C4" s="22"/>
      <c r="D4" s="22"/>
      <c r="E4" s="22"/>
      <c r="F4" s="22"/>
      <c r="G4" s="22"/>
      <c r="H4" s="29"/>
      <c r="I4" s="4"/>
      <c r="J4" s="4"/>
      <c r="K4" s="25"/>
      <c r="L4" s="25"/>
    </row>
    <row r="5" s="3" customFormat="1" spans="1:22">
      <c r="A5" s="30">
        <v>10001</v>
      </c>
      <c r="B5" s="30">
        <v>1</v>
      </c>
      <c r="C5" s="30">
        <v>11001</v>
      </c>
      <c r="D5" s="30">
        <f>COUNTIF($C$5:C5,C5)</f>
        <v>1</v>
      </c>
      <c r="E5" s="30" t="s">
        <v>31</v>
      </c>
      <c r="F5" s="30"/>
      <c r="G5" s="31">
        <v>20</v>
      </c>
      <c r="H5" s="31" t="s">
        <v>32</v>
      </c>
      <c r="I5" s="7">
        <v>2003</v>
      </c>
      <c r="J5" s="7" t="s">
        <v>33</v>
      </c>
      <c r="K5" s="5"/>
      <c r="L5" s="5" t="s">
        <v>34</v>
      </c>
      <c r="M5" s="3" t="s">
        <v>35</v>
      </c>
      <c r="N5" s="3" t="s">
        <v>36</v>
      </c>
      <c r="O5" s="3">
        <v>2</v>
      </c>
      <c r="Q5" s="3">
        <v>999</v>
      </c>
      <c r="R5" s="3">
        <f t="shared" ref="R5:R8" si="0">Q5*O5</f>
        <v>1998</v>
      </c>
      <c r="S5" s="32">
        <f t="shared" ref="S5:S8" si="1">R5</f>
        <v>1998</v>
      </c>
      <c r="T5" s="32"/>
      <c r="U5" s="32"/>
      <c r="V5" s="3">
        <f t="shared" ref="V5:V12" si="2">ROUND(MAX(S5/100,T5/100,U5),0)</f>
        <v>20</v>
      </c>
    </row>
    <row r="6" s="3" customFormat="1" spans="1:22">
      <c r="A6" s="30">
        <f t="shared" ref="A6:A11" si="3">C6*100+D6</f>
        <v>110010101</v>
      </c>
      <c r="B6" s="30">
        <v>1</v>
      </c>
      <c r="C6" s="30">
        <v>1100101</v>
      </c>
      <c r="D6" s="30">
        <f>COUNTIF($C$5:C6,C6)</f>
        <v>1</v>
      </c>
      <c r="E6" s="30" t="s">
        <v>37</v>
      </c>
      <c r="F6" s="30"/>
      <c r="G6" s="31">
        <v>1</v>
      </c>
      <c r="H6" s="31" t="s">
        <v>32</v>
      </c>
      <c r="I6" s="7">
        <v>2003</v>
      </c>
      <c r="J6" s="7" t="s">
        <v>33</v>
      </c>
      <c r="K6" s="5"/>
      <c r="L6" s="5" t="s">
        <v>38</v>
      </c>
      <c r="M6" s="3" t="s">
        <v>39</v>
      </c>
      <c r="N6" s="3" t="s">
        <v>36</v>
      </c>
      <c r="O6" s="3">
        <v>1</v>
      </c>
      <c r="Q6" s="3">
        <v>99</v>
      </c>
      <c r="R6" s="3">
        <f t="shared" si="0"/>
        <v>99</v>
      </c>
      <c r="S6" s="32">
        <f t="shared" si="1"/>
        <v>99</v>
      </c>
      <c r="T6" s="32"/>
      <c r="U6" s="32"/>
      <c r="V6" s="3">
        <f t="shared" si="2"/>
        <v>1</v>
      </c>
    </row>
    <row r="7" s="3" customFormat="1" spans="1:22">
      <c r="A7" s="30">
        <f t="shared" si="3"/>
        <v>110010102</v>
      </c>
      <c r="B7" s="30">
        <v>1</v>
      </c>
      <c r="C7" s="30">
        <v>1100101</v>
      </c>
      <c r="D7" s="30">
        <f>COUNTIF($C$5:C7,C7)</f>
        <v>2</v>
      </c>
      <c r="E7" s="30" t="s">
        <v>40</v>
      </c>
      <c r="F7" s="30"/>
      <c r="G7" s="31">
        <v>5</v>
      </c>
      <c r="H7" s="31" t="s">
        <v>32</v>
      </c>
      <c r="I7" s="7">
        <v>2003</v>
      </c>
      <c r="J7" s="7" t="s">
        <v>33</v>
      </c>
      <c r="K7" s="5"/>
      <c r="L7" s="5" t="s">
        <v>41</v>
      </c>
      <c r="M7" s="3" t="s">
        <v>42</v>
      </c>
      <c r="N7" s="3" t="s">
        <v>36</v>
      </c>
      <c r="O7" s="3">
        <v>1</v>
      </c>
      <c r="Q7" s="3">
        <v>499</v>
      </c>
      <c r="R7" s="3">
        <f t="shared" si="0"/>
        <v>499</v>
      </c>
      <c r="S7" s="32">
        <f t="shared" si="1"/>
        <v>499</v>
      </c>
      <c r="T7" s="32"/>
      <c r="U7" s="32"/>
      <c r="V7" s="3">
        <f t="shared" si="2"/>
        <v>5</v>
      </c>
    </row>
    <row r="8" s="3" customFormat="1" spans="1:22">
      <c r="A8" s="30">
        <f t="shared" si="3"/>
        <v>110010103</v>
      </c>
      <c r="B8" s="30">
        <v>1</v>
      </c>
      <c r="C8" s="30">
        <v>1100101</v>
      </c>
      <c r="D8" s="30">
        <f>COUNTIF($C$5:C8,C8)</f>
        <v>3</v>
      </c>
      <c r="E8" s="30" t="s">
        <v>43</v>
      </c>
      <c r="F8" s="30"/>
      <c r="G8" s="31">
        <v>10</v>
      </c>
      <c r="H8" s="31" t="s">
        <v>32</v>
      </c>
      <c r="I8" s="7">
        <v>2003</v>
      </c>
      <c r="J8" s="7" t="s">
        <v>33</v>
      </c>
      <c r="K8" s="5"/>
      <c r="L8" s="5" t="s">
        <v>44</v>
      </c>
      <c r="M8" s="3" t="s">
        <v>45</v>
      </c>
      <c r="N8" s="3" t="s">
        <v>36</v>
      </c>
      <c r="O8" s="3">
        <v>1</v>
      </c>
      <c r="Q8" s="3">
        <v>999</v>
      </c>
      <c r="R8" s="3">
        <f t="shared" si="0"/>
        <v>999</v>
      </c>
      <c r="S8" s="32">
        <f t="shared" si="1"/>
        <v>999</v>
      </c>
      <c r="T8" s="32"/>
      <c r="U8" s="32"/>
      <c r="V8" s="3">
        <f t="shared" si="2"/>
        <v>10</v>
      </c>
    </row>
    <row r="9" s="3" customFormat="1" spans="1:22">
      <c r="A9" s="30">
        <v>10002</v>
      </c>
      <c r="B9" s="30">
        <v>1</v>
      </c>
      <c r="C9" s="30">
        <v>1100200</v>
      </c>
      <c r="D9" s="30">
        <f>COUNTIF($C$5:C9,C9)</f>
        <v>1</v>
      </c>
      <c r="E9" s="30" t="s">
        <v>46</v>
      </c>
      <c r="F9" s="30"/>
      <c r="G9" s="31">
        <v>1</v>
      </c>
      <c r="H9" s="31" t="s">
        <v>32</v>
      </c>
      <c r="I9" s="7">
        <v>2003</v>
      </c>
      <c r="J9" s="7" t="s">
        <v>33</v>
      </c>
      <c r="K9" s="5"/>
      <c r="L9" s="5">
        <v>70002</v>
      </c>
      <c r="M9" s="3" t="s">
        <v>47</v>
      </c>
      <c r="N9" s="3" t="s">
        <v>36</v>
      </c>
      <c r="O9" s="3">
        <v>1</v>
      </c>
      <c r="Q9" s="3">
        <v>100</v>
      </c>
      <c r="R9" s="3">
        <f t="shared" ref="R9:R11" si="4">Q9*O9</f>
        <v>100</v>
      </c>
      <c r="S9" s="32">
        <f t="shared" ref="S9:S11" si="5">R9</f>
        <v>100</v>
      </c>
      <c r="T9" s="32"/>
      <c r="U9" s="32"/>
      <c r="V9" s="3">
        <f t="shared" si="2"/>
        <v>1</v>
      </c>
    </row>
    <row r="10" s="3" customFormat="1" spans="1:22">
      <c r="A10" s="30">
        <f t="shared" si="3"/>
        <v>110020101</v>
      </c>
      <c r="B10" s="30">
        <v>1</v>
      </c>
      <c r="C10" s="30">
        <v>1100201</v>
      </c>
      <c r="D10" s="30">
        <f>COUNTIF($C$5:C10,C10)</f>
        <v>1</v>
      </c>
      <c r="E10" s="30" t="s">
        <v>48</v>
      </c>
      <c r="F10" s="30"/>
      <c r="G10" s="31">
        <v>200</v>
      </c>
      <c r="H10" s="31" t="s">
        <v>32</v>
      </c>
      <c r="I10" s="7">
        <v>2003</v>
      </c>
      <c r="J10" s="7" t="s">
        <v>33</v>
      </c>
      <c r="K10" s="5"/>
      <c r="L10" s="5" t="s">
        <v>49</v>
      </c>
      <c r="M10" s="3" t="s">
        <v>50</v>
      </c>
      <c r="N10" s="3" t="s">
        <v>36</v>
      </c>
      <c r="O10" s="3">
        <v>1</v>
      </c>
      <c r="Q10" s="3">
        <v>20000</v>
      </c>
      <c r="R10" s="3">
        <f t="shared" si="4"/>
        <v>20000</v>
      </c>
      <c r="S10" s="32">
        <f t="shared" si="5"/>
        <v>20000</v>
      </c>
      <c r="T10" s="32"/>
      <c r="U10" s="32"/>
      <c r="V10" s="3">
        <f t="shared" si="2"/>
        <v>200</v>
      </c>
    </row>
    <row r="11" s="3" customFormat="1" spans="1:22">
      <c r="A11" s="30">
        <f t="shared" si="3"/>
        <v>110020201</v>
      </c>
      <c r="B11" s="30">
        <v>1</v>
      </c>
      <c r="C11" s="30">
        <v>1100202</v>
      </c>
      <c r="D11" s="30">
        <f>COUNTIF($C$5:C11,C11)</f>
        <v>1</v>
      </c>
      <c r="E11" s="30" t="s">
        <v>51</v>
      </c>
      <c r="F11" s="30"/>
      <c r="G11" s="31">
        <v>500</v>
      </c>
      <c r="H11" s="31" t="s">
        <v>32</v>
      </c>
      <c r="I11" s="7">
        <v>2003</v>
      </c>
      <c r="J11" s="7" t="s">
        <v>33</v>
      </c>
      <c r="K11" s="5"/>
      <c r="L11" s="5" t="s">
        <v>52</v>
      </c>
      <c r="M11" s="3" t="s">
        <v>53</v>
      </c>
      <c r="N11" s="3" t="s">
        <v>36</v>
      </c>
      <c r="O11" s="3">
        <v>1</v>
      </c>
      <c r="Q11" s="3">
        <v>50000</v>
      </c>
      <c r="R11" s="3">
        <f t="shared" si="4"/>
        <v>50000</v>
      </c>
      <c r="S11" s="32">
        <f t="shared" si="5"/>
        <v>50000</v>
      </c>
      <c r="T11" s="32"/>
      <c r="U11" s="32"/>
      <c r="V11" s="3">
        <f t="shared" si="2"/>
        <v>500</v>
      </c>
    </row>
    <row r="12" s="3" customFormat="1" spans="1:22">
      <c r="A12" s="30">
        <v>10003</v>
      </c>
      <c r="B12" s="30">
        <v>1</v>
      </c>
      <c r="C12" s="30">
        <v>1200100</v>
      </c>
      <c r="D12" s="30">
        <f>COUNTIF($C$5:C12,C12)</f>
        <v>1</v>
      </c>
      <c r="E12" s="30" t="s">
        <v>54</v>
      </c>
      <c r="F12" s="30"/>
      <c r="G12" s="31">
        <v>10</v>
      </c>
      <c r="H12" s="31" t="s">
        <v>32</v>
      </c>
      <c r="I12" s="7">
        <v>11001</v>
      </c>
      <c r="J12" s="7" t="s">
        <v>55</v>
      </c>
      <c r="K12" s="5"/>
      <c r="L12" s="5">
        <v>70003</v>
      </c>
      <c r="M12" s="3" t="s">
        <v>56</v>
      </c>
      <c r="N12" s="3" t="s">
        <v>57</v>
      </c>
      <c r="O12" s="3">
        <v>1000000</v>
      </c>
      <c r="R12" s="3">
        <f t="shared" ref="R12:R15" si="6">O12</f>
        <v>1000000</v>
      </c>
      <c r="S12" s="32"/>
      <c r="T12" s="32"/>
      <c r="U12" s="32">
        <f t="shared" ref="U12:U16" si="7">R12/700000/20</f>
        <v>0.0714285714285714</v>
      </c>
      <c r="V12" s="3">
        <f t="shared" si="2"/>
        <v>0</v>
      </c>
    </row>
    <row r="13" s="3" customFormat="1" spans="1:22">
      <c r="A13" s="30">
        <f t="shared" ref="A13:A19" si="8">C13*100+D13</f>
        <v>120010101</v>
      </c>
      <c r="B13" s="30">
        <v>1</v>
      </c>
      <c r="C13" s="30">
        <v>1200101</v>
      </c>
      <c r="D13" s="30">
        <f>COUNTIF($C$5:C13,C13)</f>
        <v>1</v>
      </c>
      <c r="E13" s="30" t="s">
        <v>58</v>
      </c>
      <c r="F13" s="30"/>
      <c r="G13" s="31">
        <v>5</v>
      </c>
      <c r="H13" s="31" t="s">
        <v>32</v>
      </c>
      <c r="I13" s="7">
        <v>11001</v>
      </c>
      <c r="J13" s="7" t="s">
        <v>55</v>
      </c>
      <c r="K13" s="5"/>
      <c r="L13" s="5" t="s">
        <v>59</v>
      </c>
      <c r="M13" s="3" t="s">
        <v>60</v>
      </c>
      <c r="N13" s="3" t="s">
        <v>57</v>
      </c>
      <c r="O13" s="3">
        <v>70000000</v>
      </c>
      <c r="R13" s="3">
        <f t="shared" si="6"/>
        <v>70000000</v>
      </c>
      <c r="S13" s="32"/>
      <c r="T13" s="32"/>
      <c r="U13" s="32">
        <f t="shared" si="7"/>
        <v>5</v>
      </c>
      <c r="V13" s="3">
        <f t="shared" ref="V13:V34" si="9">ROUND(MAX(S13/100,T13/100,U13),0)</f>
        <v>5</v>
      </c>
    </row>
    <row r="14" s="3" customFormat="1" spans="1:22">
      <c r="A14" s="30">
        <f t="shared" si="8"/>
        <v>120010201</v>
      </c>
      <c r="B14" s="30">
        <v>1</v>
      </c>
      <c r="C14" s="30">
        <v>1200102</v>
      </c>
      <c r="D14" s="30">
        <f>COUNTIF($C$5:C14,C14)</f>
        <v>1</v>
      </c>
      <c r="E14" s="30" t="s">
        <v>61</v>
      </c>
      <c r="F14" s="30"/>
      <c r="G14" s="31">
        <v>50</v>
      </c>
      <c r="H14" s="31" t="s">
        <v>32</v>
      </c>
      <c r="I14" s="7">
        <v>11007</v>
      </c>
      <c r="J14" s="7" t="s">
        <v>62</v>
      </c>
      <c r="K14" s="5"/>
      <c r="L14" s="5" t="s">
        <v>63</v>
      </c>
      <c r="M14" s="3" t="s">
        <v>64</v>
      </c>
      <c r="N14" s="3" t="s">
        <v>57</v>
      </c>
      <c r="O14" s="3">
        <v>700000000</v>
      </c>
      <c r="R14" s="3">
        <f t="shared" si="6"/>
        <v>700000000</v>
      </c>
      <c r="S14" s="32"/>
      <c r="T14" s="32"/>
      <c r="U14" s="32">
        <f t="shared" si="7"/>
        <v>50</v>
      </c>
      <c r="V14" s="3">
        <f t="shared" si="9"/>
        <v>50</v>
      </c>
    </row>
    <row r="15" s="3" customFormat="1" spans="1:22">
      <c r="A15" s="30">
        <v>10004</v>
      </c>
      <c r="B15" s="30">
        <v>1</v>
      </c>
      <c r="C15" s="30">
        <v>4</v>
      </c>
      <c r="D15" s="30">
        <f>COUNTIF($C$5:C15,C15)</f>
        <v>1</v>
      </c>
      <c r="E15" s="30" t="s">
        <v>65</v>
      </c>
      <c r="F15" s="30"/>
      <c r="G15" s="31">
        <v>100</v>
      </c>
      <c r="H15" s="31" t="s">
        <v>32</v>
      </c>
      <c r="I15" s="7">
        <v>11003</v>
      </c>
      <c r="J15" s="7" t="s">
        <v>66</v>
      </c>
      <c r="K15" s="5"/>
      <c r="L15" s="5">
        <v>70004</v>
      </c>
      <c r="M15" s="3" t="s">
        <v>67</v>
      </c>
      <c r="N15" s="3" t="s">
        <v>57</v>
      </c>
      <c r="O15" s="3">
        <v>4000000</v>
      </c>
      <c r="R15" s="3">
        <f t="shared" si="6"/>
        <v>4000000</v>
      </c>
      <c r="S15" s="32"/>
      <c r="T15" s="32"/>
      <c r="U15" s="32">
        <f t="shared" si="7"/>
        <v>0.285714285714286</v>
      </c>
      <c r="V15" s="3">
        <f t="shared" si="9"/>
        <v>0</v>
      </c>
    </row>
    <row r="16" s="3" customFormat="1" spans="1:22">
      <c r="A16" s="30">
        <v>10005</v>
      </c>
      <c r="B16" s="30">
        <v>1</v>
      </c>
      <c r="C16" s="30">
        <v>1000300</v>
      </c>
      <c r="D16" s="30">
        <f>COUNTIF($C$5:C16,C16)</f>
        <v>1</v>
      </c>
      <c r="E16" s="30" t="s">
        <v>68</v>
      </c>
      <c r="F16" s="30"/>
      <c r="G16" s="31">
        <v>10</v>
      </c>
      <c r="H16" s="31" t="s">
        <v>32</v>
      </c>
      <c r="I16" s="7">
        <v>11001</v>
      </c>
      <c r="J16" s="7" t="s">
        <v>55</v>
      </c>
      <c r="K16" s="5"/>
      <c r="L16" s="5">
        <v>70005</v>
      </c>
      <c r="M16" s="3" t="s">
        <v>69</v>
      </c>
      <c r="N16" s="3" t="s">
        <v>70</v>
      </c>
      <c r="O16" s="3">
        <v>1000000</v>
      </c>
      <c r="R16" s="3">
        <f t="shared" ref="R16:R36" si="10">O16</f>
        <v>1000000</v>
      </c>
      <c r="S16" s="32"/>
      <c r="T16" s="32"/>
      <c r="U16" s="32">
        <f>R16/700000/20*2</f>
        <v>0.142857142857143</v>
      </c>
      <c r="V16" s="3">
        <f t="shared" si="9"/>
        <v>0</v>
      </c>
    </row>
    <row r="17" s="3" customFormat="1" spans="1:22">
      <c r="A17" s="30">
        <f t="shared" si="8"/>
        <v>100030101</v>
      </c>
      <c r="B17" s="30">
        <v>1</v>
      </c>
      <c r="C17" s="30">
        <v>1000301</v>
      </c>
      <c r="D17" s="30">
        <f>COUNTIF($C$5:C17,C17)</f>
        <v>1</v>
      </c>
      <c r="E17" s="30" t="s">
        <v>71</v>
      </c>
      <c r="F17" s="30"/>
      <c r="G17" s="31">
        <v>5</v>
      </c>
      <c r="H17" s="31" t="s">
        <v>32</v>
      </c>
      <c r="I17" s="7">
        <v>11003</v>
      </c>
      <c r="J17" s="7" t="s">
        <v>72</v>
      </c>
      <c r="K17" s="5"/>
      <c r="L17" s="5" t="s">
        <v>73</v>
      </c>
      <c r="M17" s="3" t="s">
        <v>74</v>
      </c>
      <c r="N17" s="3" t="s">
        <v>70</v>
      </c>
      <c r="O17" s="3">
        <v>35000000</v>
      </c>
      <c r="R17" s="3">
        <f t="shared" si="10"/>
        <v>35000000</v>
      </c>
      <c r="S17" s="32"/>
      <c r="T17" s="32"/>
      <c r="U17" s="32">
        <f t="shared" ref="U17:U32" si="11">R17/700000/20*2</f>
        <v>5</v>
      </c>
      <c r="V17" s="3">
        <f t="shared" si="9"/>
        <v>5</v>
      </c>
    </row>
    <row r="18" s="3" customFormat="1" spans="1:22">
      <c r="A18" s="30">
        <f t="shared" si="8"/>
        <v>100030102</v>
      </c>
      <c r="B18" s="30">
        <v>1</v>
      </c>
      <c r="C18" s="30">
        <v>1000301</v>
      </c>
      <c r="D18" s="30">
        <f>COUNTIF($C$5:C18,C18)</f>
        <v>2</v>
      </c>
      <c r="E18" s="30" t="s">
        <v>75</v>
      </c>
      <c r="F18" s="30"/>
      <c r="G18" s="31">
        <v>50</v>
      </c>
      <c r="H18" s="31" t="s">
        <v>32</v>
      </c>
      <c r="I18" s="7">
        <v>11003</v>
      </c>
      <c r="J18" s="7" t="s">
        <v>72</v>
      </c>
      <c r="K18" s="5"/>
      <c r="L18" s="5" t="s">
        <v>76</v>
      </c>
      <c r="M18" s="3" t="s">
        <v>77</v>
      </c>
      <c r="N18" s="3" t="s">
        <v>70</v>
      </c>
      <c r="O18" s="3">
        <v>350000000</v>
      </c>
      <c r="R18" s="3">
        <f t="shared" si="10"/>
        <v>350000000</v>
      </c>
      <c r="S18" s="32"/>
      <c r="T18" s="32"/>
      <c r="U18" s="32">
        <f t="shared" si="11"/>
        <v>50</v>
      </c>
      <c r="V18" s="3">
        <f t="shared" si="9"/>
        <v>50</v>
      </c>
    </row>
    <row r="19" s="3" customFormat="1" spans="1:22">
      <c r="A19" s="30">
        <f t="shared" si="8"/>
        <v>100030103</v>
      </c>
      <c r="B19" s="30">
        <v>1</v>
      </c>
      <c r="C19" s="30">
        <v>1000301</v>
      </c>
      <c r="D19" s="30">
        <f>COUNTIF($C$5:C19,C19)</f>
        <v>3</v>
      </c>
      <c r="E19" s="30" t="s">
        <v>78</v>
      </c>
      <c r="F19" s="30"/>
      <c r="G19" s="31">
        <v>200</v>
      </c>
      <c r="H19" s="31" t="s">
        <v>32</v>
      </c>
      <c r="I19" s="7">
        <v>11003</v>
      </c>
      <c r="J19" s="7" t="s">
        <v>72</v>
      </c>
      <c r="K19" s="5"/>
      <c r="L19" s="5" t="s">
        <v>79</v>
      </c>
      <c r="M19" s="3" t="s">
        <v>80</v>
      </c>
      <c r="N19" s="3" t="s">
        <v>70</v>
      </c>
      <c r="O19" s="3">
        <v>1400000000</v>
      </c>
      <c r="R19" s="3">
        <f t="shared" si="10"/>
        <v>1400000000</v>
      </c>
      <c r="S19" s="32"/>
      <c r="T19" s="32"/>
      <c r="U19" s="32">
        <f t="shared" si="11"/>
        <v>200</v>
      </c>
      <c r="V19" s="3">
        <f t="shared" si="9"/>
        <v>200</v>
      </c>
    </row>
    <row r="20" s="3" customFormat="1" spans="1:22">
      <c r="A20" s="30">
        <f t="shared" ref="A20:A22" si="12">C20*100+D20</f>
        <v>100030201</v>
      </c>
      <c r="B20" s="30">
        <v>1</v>
      </c>
      <c r="C20" s="30">
        <v>1000302</v>
      </c>
      <c r="D20" s="30">
        <f>COUNTIF($C$5:C20,C20)</f>
        <v>1</v>
      </c>
      <c r="E20" s="30" t="s">
        <v>81</v>
      </c>
      <c r="F20" s="30"/>
      <c r="G20" s="31">
        <v>5</v>
      </c>
      <c r="H20" s="31" t="s">
        <v>32</v>
      </c>
      <c r="I20" s="7">
        <v>11007</v>
      </c>
      <c r="J20" s="7" t="s">
        <v>62</v>
      </c>
      <c r="K20" s="5"/>
      <c r="L20" s="5" t="s">
        <v>82</v>
      </c>
      <c r="M20" s="3" t="s">
        <v>83</v>
      </c>
      <c r="N20" s="3" t="s">
        <v>70</v>
      </c>
      <c r="O20" s="3">
        <v>35000000</v>
      </c>
      <c r="R20" s="3">
        <f t="shared" si="10"/>
        <v>35000000</v>
      </c>
      <c r="S20" s="32"/>
      <c r="T20" s="32"/>
      <c r="U20" s="32">
        <f t="shared" si="11"/>
        <v>5</v>
      </c>
      <c r="V20" s="3">
        <f t="shared" si="9"/>
        <v>5</v>
      </c>
    </row>
    <row r="21" s="3" customFormat="1" spans="1:22">
      <c r="A21" s="30">
        <f t="shared" si="12"/>
        <v>100030202</v>
      </c>
      <c r="B21" s="30">
        <v>1</v>
      </c>
      <c r="C21" s="30">
        <v>1000302</v>
      </c>
      <c r="D21" s="30">
        <f>COUNTIF($C$5:C21,C21)</f>
        <v>2</v>
      </c>
      <c r="E21" s="30" t="s">
        <v>84</v>
      </c>
      <c r="F21" s="30"/>
      <c r="G21" s="31">
        <v>50</v>
      </c>
      <c r="H21" s="31" t="s">
        <v>32</v>
      </c>
      <c r="I21" s="7">
        <v>11007</v>
      </c>
      <c r="J21" s="7" t="s">
        <v>62</v>
      </c>
      <c r="K21" s="5"/>
      <c r="L21" s="5" t="s">
        <v>85</v>
      </c>
      <c r="M21" s="3" t="s">
        <v>86</v>
      </c>
      <c r="N21" s="3" t="s">
        <v>70</v>
      </c>
      <c r="O21" s="3">
        <v>350000000</v>
      </c>
      <c r="R21" s="3">
        <f t="shared" si="10"/>
        <v>350000000</v>
      </c>
      <c r="S21" s="32"/>
      <c r="T21" s="32"/>
      <c r="U21" s="32">
        <f t="shared" si="11"/>
        <v>50</v>
      </c>
      <c r="V21" s="3">
        <f t="shared" si="9"/>
        <v>50</v>
      </c>
    </row>
    <row r="22" s="3" customFormat="1" spans="1:22">
      <c r="A22" s="30">
        <f t="shared" si="12"/>
        <v>100030203</v>
      </c>
      <c r="B22" s="30">
        <v>1</v>
      </c>
      <c r="C22" s="30">
        <v>1000302</v>
      </c>
      <c r="D22" s="30">
        <f>COUNTIF($C$5:C22,C22)</f>
        <v>3</v>
      </c>
      <c r="E22" s="30" t="s">
        <v>87</v>
      </c>
      <c r="F22" s="30"/>
      <c r="G22" s="31">
        <v>200</v>
      </c>
      <c r="H22" s="31" t="s">
        <v>32</v>
      </c>
      <c r="I22" s="7">
        <v>11007</v>
      </c>
      <c r="J22" s="7" t="s">
        <v>62</v>
      </c>
      <c r="K22" s="5"/>
      <c r="L22" s="5" t="s">
        <v>88</v>
      </c>
      <c r="M22" s="3" t="s">
        <v>89</v>
      </c>
      <c r="N22" s="3" t="s">
        <v>70</v>
      </c>
      <c r="O22" s="3">
        <v>1400000000</v>
      </c>
      <c r="R22" s="3">
        <f t="shared" si="10"/>
        <v>1400000000</v>
      </c>
      <c r="S22" s="32"/>
      <c r="T22" s="32"/>
      <c r="U22" s="32">
        <f t="shared" si="11"/>
        <v>200</v>
      </c>
      <c r="V22" s="3">
        <f t="shared" si="9"/>
        <v>200</v>
      </c>
    </row>
    <row r="23" s="3" customFormat="1" spans="1:22">
      <c r="A23" s="30">
        <f t="shared" ref="A23:A25" si="13">C23*100+D23</f>
        <v>100030301</v>
      </c>
      <c r="B23" s="30">
        <v>1</v>
      </c>
      <c r="C23" s="30">
        <v>1000303</v>
      </c>
      <c r="D23" s="30">
        <f>COUNTIF($C$5:C23,C23)</f>
        <v>1</v>
      </c>
      <c r="E23" s="30" t="s">
        <v>90</v>
      </c>
      <c r="F23" s="30"/>
      <c r="G23" s="31">
        <v>5</v>
      </c>
      <c r="H23" s="31" t="s">
        <v>32</v>
      </c>
      <c r="I23" s="7">
        <v>11012</v>
      </c>
      <c r="J23" s="7" t="s">
        <v>91</v>
      </c>
      <c r="K23" s="5"/>
      <c r="L23" s="5" t="s">
        <v>92</v>
      </c>
      <c r="M23" s="3" t="s">
        <v>93</v>
      </c>
      <c r="N23" s="3" t="s">
        <v>70</v>
      </c>
      <c r="O23" s="3">
        <v>35000000</v>
      </c>
      <c r="R23" s="3">
        <f t="shared" si="10"/>
        <v>35000000</v>
      </c>
      <c r="S23" s="32"/>
      <c r="T23" s="32"/>
      <c r="U23" s="32">
        <f t="shared" si="11"/>
        <v>5</v>
      </c>
      <c r="V23" s="3">
        <f t="shared" si="9"/>
        <v>5</v>
      </c>
    </row>
    <row r="24" s="3" customFormat="1" spans="1:22">
      <c r="A24" s="30">
        <f t="shared" si="13"/>
        <v>100030302</v>
      </c>
      <c r="B24" s="30">
        <v>1</v>
      </c>
      <c r="C24" s="30">
        <v>1000303</v>
      </c>
      <c r="D24" s="30">
        <f>COUNTIF($C$5:C24,C24)</f>
        <v>2</v>
      </c>
      <c r="E24" s="30" t="s">
        <v>94</v>
      </c>
      <c r="F24" s="30"/>
      <c r="G24" s="31">
        <v>50</v>
      </c>
      <c r="H24" s="31" t="s">
        <v>32</v>
      </c>
      <c r="I24" s="7">
        <v>11012</v>
      </c>
      <c r="J24" s="7" t="s">
        <v>91</v>
      </c>
      <c r="K24" s="5"/>
      <c r="L24" s="5" t="s">
        <v>95</v>
      </c>
      <c r="M24" s="3" t="s">
        <v>96</v>
      </c>
      <c r="N24" s="3" t="s">
        <v>70</v>
      </c>
      <c r="O24" s="3">
        <v>350000000</v>
      </c>
      <c r="R24" s="3">
        <f t="shared" si="10"/>
        <v>350000000</v>
      </c>
      <c r="S24" s="32"/>
      <c r="T24" s="32"/>
      <c r="U24" s="32">
        <f t="shared" si="11"/>
        <v>50</v>
      </c>
      <c r="V24" s="3">
        <f t="shared" si="9"/>
        <v>50</v>
      </c>
    </row>
    <row r="25" s="3" customFormat="1" spans="1:22">
      <c r="A25" s="30">
        <f t="shared" si="13"/>
        <v>100030303</v>
      </c>
      <c r="B25" s="30">
        <v>1</v>
      </c>
      <c r="C25" s="30">
        <v>1000303</v>
      </c>
      <c r="D25" s="30">
        <f>COUNTIF($C$5:C25,C25)</f>
        <v>3</v>
      </c>
      <c r="E25" s="30" t="s">
        <v>97</v>
      </c>
      <c r="F25" s="30"/>
      <c r="G25" s="31">
        <v>200</v>
      </c>
      <c r="H25" s="31" t="s">
        <v>32</v>
      </c>
      <c r="I25" s="7">
        <v>11012</v>
      </c>
      <c r="J25" s="7" t="s">
        <v>91</v>
      </c>
      <c r="K25" s="5"/>
      <c r="L25" s="5" t="s">
        <v>98</v>
      </c>
      <c r="M25" s="3" t="s">
        <v>99</v>
      </c>
      <c r="N25" s="3" t="s">
        <v>70</v>
      </c>
      <c r="O25" s="3">
        <v>1400000000</v>
      </c>
      <c r="R25" s="3">
        <f t="shared" si="10"/>
        <v>1400000000</v>
      </c>
      <c r="S25" s="32"/>
      <c r="T25" s="32"/>
      <c r="U25" s="32">
        <f t="shared" si="11"/>
        <v>200</v>
      </c>
      <c r="V25" s="3">
        <f t="shared" si="9"/>
        <v>200</v>
      </c>
    </row>
    <row r="26" s="3" customFormat="1" spans="1:22">
      <c r="A26" s="30">
        <f t="shared" ref="A26:A28" si="14">C26*100+D26</f>
        <v>100030401</v>
      </c>
      <c r="B26" s="30">
        <v>1</v>
      </c>
      <c r="C26" s="30">
        <v>1000304</v>
      </c>
      <c r="D26" s="30">
        <f>COUNTIF($C$5:C26,C26)</f>
        <v>1</v>
      </c>
      <c r="E26" s="30" t="s">
        <v>100</v>
      </c>
      <c r="F26" s="30"/>
      <c r="G26" s="31">
        <v>5</v>
      </c>
      <c r="H26" s="31" t="s">
        <v>32</v>
      </c>
      <c r="I26" s="7">
        <v>11014</v>
      </c>
      <c r="J26" s="7" t="s">
        <v>101</v>
      </c>
      <c r="K26" s="5"/>
      <c r="L26" s="5" t="s">
        <v>102</v>
      </c>
      <c r="M26" s="3" t="s">
        <v>103</v>
      </c>
      <c r="N26" s="3" t="s">
        <v>70</v>
      </c>
      <c r="O26" s="3">
        <v>35000000</v>
      </c>
      <c r="R26" s="3">
        <f t="shared" si="10"/>
        <v>35000000</v>
      </c>
      <c r="S26" s="32"/>
      <c r="T26" s="32"/>
      <c r="U26" s="32">
        <f t="shared" si="11"/>
        <v>5</v>
      </c>
      <c r="V26" s="3">
        <f t="shared" si="9"/>
        <v>5</v>
      </c>
    </row>
    <row r="27" s="3" customFormat="1" spans="1:22">
      <c r="A27" s="30">
        <f t="shared" si="14"/>
        <v>100030402</v>
      </c>
      <c r="B27" s="30">
        <v>1</v>
      </c>
      <c r="C27" s="30">
        <v>1000304</v>
      </c>
      <c r="D27" s="30">
        <f>COUNTIF($C$5:C27,C27)</f>
        <v>2</v>
      </c>
      <c r="E27" s="30" t="s">
        <v>104</v>
      </c>
      <c r="F27" s="30"/>
      <c r="G27" s="31">
        <v>50</v>
      </c>
      <c r="H27" s="31" t="s">
        <v>32</v>
      </c>
      <c r="I27" s="7">
        <v>11014</v>
      </c>
      <c r="J27" s="7" t="s">
        <v>101</v>
      </c>
      <c r="K27" s="5"/>
      <c r="L27" s="5" t="s">
        <v>105</v>
      </c>
      <c r="M27" s="3" t="s">
        <v>106</v>
      </c>
      <c r="N27" s="3" t="s">
        <v>70</v>
      </c>
      <c r="O27" s="3">
        <v>350000000</v>
      </c>
      <c r="R27" s="3">
        <f t="shared" si="10"/>
        <v>350000000</v>
      </c>
      <c r="S27" s="32"/>
      <c r="T27" s="32"/>
      <c r="U27" s="32">
        <f t="shared" si="11"/>
        <v>50</v>
      </c>
      <c r="V27" s="3">
        <f t="shared" si="9"/>
        <v>50</v>
      </c>
    </row>
    <row r="28" s="3" customFormat="1" spans="1:22">
      <c r="A28" s="30">
        <f t="shared" si="14"/>
        <v>100030403</v>
      </c>
      <c r="B28" s="30">
        <v>1</v>
      </c>
      <c r="C28" s="30">
        <v>1000304</v>
      </c>
      <c r="D28" s="30">
        <f>COUNTIF($C$5:C28,C28)</f>
        <v>3</v>
      </c>
      <c r="E28" s="30" t="s">
        <v>107</v>
      </c>
      <c r="F28" s="30"/>
      <c r="G28" s="31">
        <v>200</v>
      </c>
      <c r="H28" s="31" t="s">
        <v>32</v>
      </c>
      <c r="I28" s="7">
        <v>11014</v>
      </c>
      <c r="J28" s="7" t="s">
        <v>101</v>
      </c>
      <c r="K28" s="5"/>
      <c r="L28" s="5" t="s">
        <v>108</v>
      </c>
      <c r="M28" s="3" t="s">
        <v>109</v>
      </c>
      <c r="N28" s="3" t="s">
        <v>70</v>
      </c>
      <c r="O28" s="3">
        <v>1400000000</v>
      </c>
      <c r="R28" s="3">
        <f t="shared" si="10"/>
        <v>1400000000</v>
      </c>
      <c r="S28" s="32"/>
      <c r="T28" s="32"/>
      <c r="U28" s="32">
        <f t="shared" si="11"/>
        <v>200</v>
      </c>
      <c r="V28" s="3">
        <f t="shared" si="9"/>
        <v>200</v>
      </c>
    </row>
    <row r="29" s="3" customFormat="1" spans="1:22">
      <c r="A29" s="30">
        <v>10006</v>
      </c>
      <c r="B29" s="30">
        <v>1</v>
      </c>
      <c r="C29" s="30">
        <v>6</v>
      </c>
      <c r="D29" s="30">
        <f>COUNTIF($C$5:C29,C29)</f>
        <v>1</v>
      </c>
      <c r="E29" s="30" t="s">
        <v>110</v>
      </c>
      <c r="F29" s="30"/>
      <c r="G29" s="31">
        <v>5</v>
      </c>
      <c r="H29" s="31" t="s">
        <v>32</v>
      </c>
      <c r="I29" s="7">
        <v>11012</v>
      </c>
      <c r="J29" s="7" t="s">
        <v>66</v>
      </c>
      <c r="K29" s="5"/>
      <c r="L29" s="5">
        <v>70006</v>
      </c>
      <c r="M29" s="3" t="s">
        <v>111</v>
      </c>
      <c r="N29" s="3" t="s">
        <v>70</v>
      </c>
      <c r="O29" s="3">
        <v>2000000</v>
      </c>
      <c r="R29" s="3">
        <f t="shared" si="10"/>
        <v>2000000</v>
      </c>
      <c r="S29" s="32"/>
      <c r="T29" s="32"/>
      <c r="U29" s="32">
        <f t="shared" si="11"/>
        <v>0.285714285714286</v>
      </c>
      <c r="V29" s="3">
        <f t="shared" si="9"/>
        <v>0</v>
      </c>
    </row>
    <row r="30" s="3" customFormat="1" spans="1:22">
      <c r="A30" s="30">
        <f t="shared" ref="A30:A32" si="15">C30*100+D30</f>
        <v>100039101</v>
      </c>
      <c r="B30" s="30">
        <v>1</v>
      </c>
      <c r="C30" s="30">
        <v>1000391</v>
      </c>
      <c r="D30" s="30">
        <f>COUNTIF($C$5:C30,C30)</f>
        <v>1</v>
      </c>
      <c r="E30" s="30" t="s">
        <v>112</v>
      </c>
      <c r="F30" s="30"/>
      <c r="G30" s="31">
        <v>30</v>
      </c>
      <c r="H30" s="31" t="s">
        <v>32</v>
      </c>
      <c r="I30" s="7">
        <v>11012</v>
      </c>
      <c r="J30" s="7" t="s">
        <v>66</v>
      </c>
      <c r="K30" s="5"/>
      <c r="L30" s="5" t="s">
        <v>113</v>
      </c>
      <c r="M30" s="3" t="s">
        <v>114</v>
      </c>
      <c r="N30" s="3" t="s">
        <v>70</v>
      </c>
      <c r="O30" s="3">
        <v>210000000</v>
      </c>
      <c r="R30" s="3">
        <f t="shared" si="10"/>
        <v>210000000</v>
      </c>
      <c r="S30" s="32"/>
      <c r="T30" s="32"/>
      <c r="U30" s="32">
        <f t="shared" si="11"/>
        <v>30</v>
      </c>
      <c r="V30" s="3">
        <f t="shared" si="9"/>
        <v>30</v>
      </c>
    </row>
    <row r="31" s="3" customFormat="1" spans="1:22">
      <c r="A31" s="30">
        <f t="shared" si="15"/>
        <v>100039201</v>
      </c>
      <c r="B31" s="30">
        <v>1</v>
      </c>
      <c r="C31" s="30">
        <v>1000392</v>
      </c>
      <c r="D31" s="30">
        <f>COUNTIF($C$5:C31,C31)</f>
        <v>1</v>
      </c>
      <c r="E31" s="30" t="s">
        <v>115</v>
      </c>
      <c r="F31" s="30"/>
      <c r="G31" s="31">
        <v>150</v>
      </c>
      <c r="H31" s="31" t="s">
        <v>32</v>
      </c>
      <c r="I31" s="7">
        <v>11012</v>
      </c>
      <c r="J31" s="7" t="s">
        <v>66</v>
      </c>
      <c r="K31" s="5"/>
      <c r="L31" s="5" t="s">
        <v>116</v>
      </c>
      <c r="M31" s="3" t="s">
        <v>117</v>
      </c>
      <c r="N31" s="3" t="s">
        <v>70</v>
      </c>
      <c r="O31" s="3">
        <v>2100000000</v>
      </c>
      <c r="R31" s="3">
        <f t="shared" si="10"/>
        <v>2100000000</v>
      </c>
      <c r="S31" s="32"/>
      <c r="T31" s="32"/>
      <c r="U31" s="32">
        <f t="shared" si="11"/>
        <v>300</v>
      </c>
      <c r="V31" s="3">
        <f t="shared" si="9"/>
        <v>300</v>
      </c>
    </row>
    <row r="32" s="3" customFormat="1" spans="1:22">
      <c r="A32" s="30">
        <f t="shared" si="15"/>
        <v>100039301</v>
      </c>
      <c r="B32" s="30">
        <v>1</v>
      </c>
      <c r="C32" s="30">
        <v>1000393</v>
      </c>
      <c r="D32" s="30">
        <f>COUNTIF($C$5:C32,C32)</f>
        <v>1</v>
      </c>
      <c r="E32" s="30" t="s">
        <v>118</v>
      </c>
      <c r="F32" s="30"/>
      <c r="G32" s="31">
        <v>300</v>
      </c>
      <c r="H32" s="31" t="s">
        <v>32</v>
      </c>
      <c r="I32" s="7">
        <v>11012</v>
      </c>
      <c r="J32" s="7" t="s">
        <v>66</v>
      </c>
      <c r="K32" s="5"/>
      <c r="L32" s="5" t="s">
        <v>119</v>
      </c>
      <c r="M32" s="3" t="s">
        <v>120</v>
      </c>
      <c r="N32" s="3" t="s">
        <v>70</v>
      </c>
      <c r="O32" s="3">
        <v>4200000000</v>
      </c>
      <c r="R32" s="3">
        <f t="shared" si="10"/>
        <v>4200000000</v>
      </c>
      <c r="S32" s="32"/>
      <c r="T32" s="32"/>
      <c r="U32" s="32">
        <f t="shared" si="11"/>
        <v>600</v>
      </c>
      <c r="V32" s="3">
        <f t="shared" si="9"/>
        <v>600</v>
      </c>
    </row>
    <row r="33" spans="1:22">
      <c r="A33" s="30">
        <v>10007</v>
      </c>
      <c r="B33" s="30">
        <v>1</v>
      </c>
      <c r="C33" s="30">
        <v>7</v>
      </c>
      <c r="D33" s="30">
        <f>COUNTIF($C$5:C33,C33)</f>
        <v>1</v>
      </c>
      <c r="E33" s="30" t="s">
        <v>121</v>
      </c>
      <c r="F33" s="30"/>
      <c r="G33" s="31">
        <v>5</v>
      </c>
      <c r="H33" s="31" t="s">
        <v>32</v>
      </c>
      <c r="I33" s="7">
        <v>2001</v>
      </c>
      <c r="J33" s="7" t="s">
        <v>122</v>
      </c>
      <c r="K33" s="5"/>
      <c r="L33" s="5">
        <v>70007</v>
      </c>
      <c r="M33" s="3" t="s">
        <v>123</v>
      </c>
      <c r="N33" s="19" t="s">
        <v>124</v>
      </c>
      <c r="O33" s="19">
        <v>1000</v>
      </c>
      <c r="R33" s="19">
        <f t="shared" si="10"/>
        <v>1000</v>
      </c>
      <c r="S33" s="32">
        <f>O33/7</f>
        <v>142.857142857143</v>
      </c>
      <c r="T33" s="32"/>
      <c r="U33" s="32"/>
      <c r="V33" s="3">
        <f t="shared" ref="V33:V39" si="16">ROUND(MAX(S33/100,T33/100,U33),0)</f>
        <v>1</v>
      </c>
    </row>
    <row r="34" customFormat="1" spans="1:22">
      <c r="A34" s="30">
        <f t="shared" ref="A34:A36" si="17">C34*100+D34</f>
        <v>100038101</v>
      </c>
      <c r="B34" s="30">
        <v>1</v>
      </c>
      <c r="C34" s="30">
        <v>1000381</v>
      </c>
      <c r="D34" s="30">
        <f>COUNTIF($C$5:C34,C34)</f>
        <v>1</v>
      </c>
      <c r="E34" s="30" t="s">
        <v>125</v>
      </c>
      <c r="F34" s="30"/>
      <c r="G34" s="31">
        <v>10</v>
      </c>
      <c r="H34" s="31" t="s">
        <v>32</v>
      </c>
      <c r="I34" s="7">
        <v>2001</v>
      </c>
      <c r="J34" s="7" t="s">
        <v>122</v>
      </c>
      <c r="K34" s="5"/>
      <c r="L34" s="5" t="s">
        <v>126</v>
      </c>
      <c r="M34" s="3" t="s">
        <v>127</v>
      </c>
      <c r="N34" s="19" t="s">
        <v>124</v>
      </c>
      <c r="O34" s="19">
        <v>7000</v>
      </c>
      <c r="P34" s="19"/>
      <c r="Q34" s="19"/>
      <c r="R34" s="19">
        <f t="shared" si="10"/>
        <v>7000</v>
      </c>
      <c r="S34" s="32">
        <f>O34/7</f>
        <v>1000</v>
      </c>
      <c r="T34" s="32"/>
      <c r="U34" s="32"/>
      <c r="V34" s="3">
        <f t="shared" si="16"/>
        <v>10</v>
      </c>
    </row>
    <row r="35" customFormat="1" spans="1:22">
      <c r="A35" s="30">
        <f t="shared" si="17"/>
        <v>100038201</v>
      </c>
      <c r="B35" s="30">
        <v>1</v>
      </c>
      <c r="C35" s="30">
        <v>1000382</v>
      </c>
      <c r="D35" s="30">
        <f>COUNTIF($C$5:C35,C35)</f>
        <v>1</v>
      </c>
      <c r="E35" s="30" t="s">
        <v>128</v>
      </c>
      <c r="F35" s="30"/>
      <c r="G35" s="31">
        <v>100</v>
      </c>
      <c r="H35" s="31" t="s">
        <v>32</v>
      </c>
      <c r="I35" s="7">
        <v>2001</v>
      </c>
      <c r="J35" s="7" t="s">
        <v>122</v>
      </c>
      <c r="K35" s="5"/>
      <c r="L35" s="5" t="s">
        <v>129</v>
      </c>
      <c r="M35" s="3" t="s">
        <v>130</v>
      </c>
      <c r="N35" s="19" t="s">
        <v>124</v>
      </c>
      <c r="O35" s="19">
        <v>70000</v>
      </c>
      <c r="P35" s="19"/>
      <c r="Q35" s="19"/>
      <c r="R35" s="19">
        <f t="shared" si="10"/>
        <v>70000</v>
      </c>
      <c r="S35" s="32">
        <f>O35/7</f>
        <v>10000</v>
      </c>
      <c r="T35" s="32"/>
      <c r="U35" s="32"/>
      <c r="V35" s="3">
        <f t="shared" si="16"/>
        <v>100</v>
      </c>
    </row>
    <row r="36" customFormat="1" spans="1:22">
      <c r="A36" s="30">
        <f t="shared" si="17"/>
        <v>100038301</v>
      </c>
      <c r="B36" s="30">
        <v>1</v>
      </c>
      <c r="C36" s="30">
        <v>1000383</v>
      </c>
      <c r="D36" s="30">
        <f>COUNTIF($C$5:C36,C36)</f>
        <v>1</v>
      </c>
      <c r="E36" s="30" t="s">
        <v>131</v>
      </c>
      <c r="F36" s="30"/>
      <c r="G36" s="31">
        <v>1000</v>
      </c>
      <c r="H36" s="31" t="s">
        <v>32</v>
      </c>
      <c r="I36" s="7">
        <v>2001</v>
      </c>
      <c r="J36" s="7" t="s">
        <v>122</v>
      </c>
      <c r="K36" s="5"/>
      <c r="L36" s="5" t="s">
        <v>132</v>
      </c>
      <c r="M36" s="3" t="s">
        <v>133</v>
      </c>
      <c r="N36" s="19" t="s">
        <v>124</v>
      </c>
      <c r="O36" s="19">
        <v>700000</v>
      </c>
      <c r="P36" s="19"/>
      <c r="Q36" s="19"/>
      <c r="R36" s="19">
        <f t="shared" si="10"/>
        <v>700000</v>
      </c>
      <c r="S36" s="32">
        <f>O36/7</f>
        <v>100000</v>
      </c>
      <c r="T36" s="32"/>
      <c r="U36" s="32"/>
      <c r="V36" s="3">
        <f t="shared" si="16"/>
        <v>1000</v>
      </c>
    </row>
    <row r="37" s="3" customFormat="1" spans="1:22">
      <c r="A37" s="30">
        <v>10008</v>
      </c>
      <c r="B37" s="30">
        <v>1</v>
      </c>
      <c r="C37" s="30">
        <v>8</v>
      </c>
      <c r="D37" s="30">
        <f>COUNTIF($C$5:C37,C37)</f>
        <v>1</v>
      </c>
      <c r="E37" s="30" t="s">
        <v>134</v>
      </c>
      <c r="F37" s="30"/>
      <c r="G37" s="31">
        <v>3</v>
      </c>
      <c r="H37" s="31" t="s">
        <v>32</v>
      </c>
      <c r="I37" s="7">
        <v>3002</v>
      </c>
      <c r="J37" s="7" t="s">
        <v>135</v>
      </c>
      <c r="K37" s="5"/>
      <c r="L37" s="5">
        <v>70008</v>
      </c>
      <c r="M37" s="3" t="s">
        <v>136</v>
      </c>
      <c r="N37" s="3" t="s">
        <v>137</v>
      </c>
      <c r="O37" s="3">
        <v>10</v>
      </c>
      <c r="P37" t="s">
        <v>138</v>
      </c>
      <c r="Q37">
        <v>0.25</v>
      </c>
      <c r="R37" s="3">
        <f t="shared" ref="R37:R39" si="18">Q37*O37</f>
        <v>2.5</v>
      </c>
      <c r="S37" s="32"/>
      <c r="T37" s="32">
        <f>R37*100</f>
        <v>250</v>
      </c>
      <c r="U37" s="32"/>
      <c r="V37" s="3">
        <f t="shared" si="16"/>
        <v>3</v>
      </c>
    </row>
    <row r="38" s="3" customFormat="1" spans="1:22">
      <c r="A38" s="30">
        <f t="shared" ref="A38:A44" si="19">C38*100+D38</f>
        <v>121010101</v>
      </c>
      <c r="B38" s="30">
        <v>1</v>
      </c>
      <c r="C38" s="30">
        <v>1210101</v>
      </c>
      <c r="D38" s="30">
        <f>COUNTIF($C$5:C38,C38)</f>
        <v>1</v>
      </c>
      <c r="E38" s="30" t="s">
        <v>139</v>
      </c>
      <c r="F38" s="30"/>
      <c r="G38" s="31">
        <v>8</v>
      </c>
      <c r="H38" s="31" t="s">
        <v>32</v>
      </c>
      <c r="I38" s="7">
        <v>3002</v>
      </c>
      <c r="J38" s="7" t="s">
        <v>135</v>
      </c>
      <c r="K38" s="5"/>
      <c r="L38" s="5" t="s">
        <v>140</v>
      </c>
      <c r="M38" s="3" t="s">
        <v>141</v>
      </c>
      <c r="N38" s="3" t="s">
        <v>137</v>
      </c>
      <c r="O38" s="3">
        <v>30</v>
      </c>
      <c r="P38" t="s">
        <v>138</v>
      </c>
      <c r="Q38">
        <v>0.25</v>
      </c>
      <c r="R38" s="3">
        <f t="shared" si="18"/>
        <v>7.5</v>
      </c>
      <c r="S38" s="32"/>
      <c r="T38" s="32">
        <f>R38*100</f>
        <v>750</v>
      </c>
      <c r="U38" s="32"/>
      <c r="V38" s="3">
        <f t="shared" si="16"/>
        <v>8</v>
      </c>
    </row>
    <row r="39" s="3" customFormat="1" spans="1:22">
      <c r="A39" s="30">
        <f t="shared" si="19"/>
        <v>121010102</v>
      </c>
      <c r="B39" s="30">
        <v>1</v>
      </c>
      <c r="C39" s="30">
        <v>1210101</v>
      </c>
      <c r="D39" s="30">
        <f>COUNTIF($C$5:C39,C39)</f>
        <v>2</v>
      </c>
      <c r="E39" s="30" t="s">
        <v>142</v>
      </c>
      <c r="F39" s="30"/>
      <c r="G39" s="31">
        <v>25</v>
      </c>
      <c r="H39" s="31" t="s">
        <v>32</v>
      </c>
      <c r="I39" s="7">
        <v>3002</v>
      </c>
      <c r="J39" s="7" t="s">
        <v>135</v>
      </c>
      <c r="K39" s="5"/>
      <c r="L39" s="5" t="s">
        <v>143</v>
      </c>
      <c r="M39" s="3" t="s">
        <v>144</v>
      </c>
      <c r="N39" s="3" t="s">
        <v>137</v>
      </c>
      <c r="O39" s="3">
        <v>100</v>
      </c>
      <c r="P39" t="s">
        <v>138</v>
      </c>
      <c r="Q39">
        <v>0.25</v>
      </c>
      <c r="R39" s="3">
        <f t="shared" si="18"/>
        <v>25</v>
      </c>
      <c r="S39" s="32"/>
      <c r="T39" s="32">
        <f>R39*100</f>
        <v>2500</v>
      </c>
      <c r="U39" s="32"/>
      <c r="V39" s="3">
        <f t="shared" si="16"/>
        <v>25</v>
      </c>
    </row>
    <row r="40" s="3" customFormat="1" spans="1:22">
      <c r="A40" s="30">
        <v>10009</v>
      </c>
      <c r="B40" s="30">
        <v>1</v>
      </c>
      <c r="C40" s="30">
        <v>9</v>
      </c>
      <c r="D40" s="30">
        <f>COUNTIF($C$5:C40,C40)</f>
        <v>1</v>
      </c>
      <c r="E40" s="30" t="s">
        <v>145</v>
      </c>
      <c r="F40" s="30"/>
      <c r="G40" s="31">
        <v>1</v>
      </c>
      <c r="H40" s="31" t="s">
        <v>32</v>
      </c>
      <c r="I40" s="7">
        <v>11001</v>
      </c>
      <c r="J40" s="7" t="s">
        <v>55</v>
      </c>
      <c r="K40" s="5"/>
      <c r="L40" s="5" t="s">
        <v>146</v>
      </c>
      <c r="M40" s="3" t="s">
        <v>147</v>
      </c>
      <c r="N40" s="33" t="s">
        <v>148</v>
      </c>
      <c r="O40" s="3">
        <v>100</v>
      </c>
      <c r="R40" s="3">
        <f>O40*10000</f>
        <v>1000000</v>
      </c>
      <c r="S40" s="32"/>
      <c r="T40" s="32"/>
      <c r="U40" s="32">
        <f t="shared" ref="U40:U45" si="20">R40/700000/20</f>
        <v>0.0714285714285714</v>
      </c>
      <c r="V40" s="3">
        <f t="shared" ref="V40:V46" si="21">ROUND(MAX(S40/100,T40/100,U40),0)</f>
        <v>0</v>
      </c>
    </row>
    <row r="41" s="3" customFormat="1" spans="1:22">
      <c r="A41" s="30">
        <f t="shared" si="19"/>
        <v>100010101</v>
      </c>
      <c r="B41" s="30">
        <v>1</v>
      </c>
      <c r="C41" s="30">
        <v>1000101</v>
      </c>
      <c r="D41" s="30">
        <f>COUNTIF($C$5:C41,C41)</f>
        <v>1</v>
      </c>
      <c r="E41" s="30" t="s">
        <v>149</v>
      </c>
      <c r="F41" s="30"/>
      <c r="G41" s="31">
        <v>4</v>
      </c>
      <c r="H41" s="31" t="s">
        <v>32</v>
      </c>
      <c r="I41" s="7">
        <v>11003</v>
      </c>
      <c r="J41" s="7" t="s">
        <v>150</v>
      </c>
      <c r="K41" s="5"/>
      <c r="L41" s="5" t="s">
        <v>151</v>
      </c>
      <c r="M41" s="3" t="s">
        <v>152</v>
      </c>
      <c r="N41" s="33" t="s">
        <v>148</v>
      </c>
      <c r="O41" s="3">
        <v>500</v>
      </c>
      <c r="R41" s="3">
        <f>O41*100000</f>
        <v>50000000</v>
      </c>
      <c r="S41" s="32"/>
      <c r="T41" s="32"/>
      <c r="U41" s="32">
        <f t="shared" si="20"/>
        <v>3.57142857142857</v>
      </c>
      <c r="V41" s="3">
        <f t="shared" si="21"/>
        <v>4</v>
      </c>
    </row>
    <row r="42" s="3" customFormat="1" spans="1:22">
      <c r="A42" s="30">
        <f t="shared" si="19"/>
        <v>100010201</v>
      </c>
      <c r="B42" s="30">
        <v>1</v>
      </c>
      <c r="C42" s="30">
        <v>1000102</v>
      </c>
      <c r="D42" s="30">
        <f>COUNTIF($C$5:C42,C42)</f>
        <v>1</v>
      </c>
      <c r="E42" s="30" t="s">
        <v>153</v>
      </c>
      <c r="F42" s="30"/>
      <c r="G42" s="31">
        <v>4</v>
      </c>
      <c r="H42" s="31" t="s">
        <v>32</v>
      </c>
      <c r="I42" s="7">
        <v>11007</v>
      </c>
      <c r="J42" s="7" t="s">
        <v>62</v>
      </c>
      <c r="K42" s="5"/>
      <c r="L42" s="5" t="s">
        <v>154</v>
      </c>
      <c r="M42" s="3" t="s">
        <v>155</v>
      </c>
      <c r="N42" s="33" t="s">
        <v>148</v>
      </c>
      <c r="O42" s="3">
        <v>500</v>
      </c>
      <c r="R42" s="3">
        <f>O42*100000</f>
        <v>50000000</v>
      </c>
      <c r="S42" s="32"/>
      <c r="T42" s="32"/>
      <c r="U42" s="32">
        <f t="shared" si="20"/>
        <v>3.57142857142857</v>
      </c>
      <c r="V42" s="3">
        <f t="shared" si="21"/>
        <v>4</v>
      </c>
    </row>
    <row r="43" s="3" customFormat="1" spans="1:22">
      <c r="A43" s="30">
        <f t="shared" si="19"/>
        <v>100010301</v>
      </c>
      <c r="B43" s="30">
        <v>1</v>
      </c>
      <c r="C43" s="30">
        <v>1000103</v>
      </c>
      <c r="D43" s="30">
        <f>COUNTIF($C$5:C43,C43)</f>
        <v>1</v>
      </c>
      <c r="E43" s="30" t="s">
        <v>156</v>
      </c>
      <c r="F43" s="30"/>
      <c r="G43" s="31">
        <v>4</v>
      </c>
      <c r="H43" s="31" t="s">
        <v>32</v>
      </c>
      <c r="I43" s="7">
        <v>11012</v>
      </c>
      <c r="J43" s="7" t="s">
        <v>91</v>
      </c>
      <c r="K43" s="5"/>
      <c r="L43" s="5" t="s">
        <v>157</v>
      </c>
      <c r="M43" s="3" t="s">
        <v>158</v>
      </c>
      <c r="N43" s="33" t="s">
        <v>148</v>
      </c>
      <c r="O43" s="3">
        <v>500</v>
      </c>
      <c r="R43" s="3">
        <f>O43*100000</f>
        <v>50000000</v>
      </c>
      <c r="S43" s="32"/>
      <c r="T43" s="32"/>
      <c r="U43" s="32">
        <f t="shared" si="20"/>
        <v>3.57142857142857</v>
      </c>
      <c r="V43" s="3">
        <f t="shared" si="21"/>
        <v>4</v>
      </c>
    </row>
    <row r="44" s="3" customFormat="1" spans="1:22">
      <c r="A44" s="30">
        <f t="shared" si="19"/>
        <v>100010401</v>
      </c>
      <c r="B44" s="30">
        <v>1</v>
      </c>
      <c r="C44" s="30">
        <v>1000104</v>
      </c>
      <c r="D44" s="30">
        <f>COUNTIF($C$5:C44,C44)</f>
        <v>1</v>
      </c>
      <c r="E44" s="30" t="s">
        <v>159</v>
      </c>
      <c r="F44" s="30"/>
      <c r="G44" s="31">
        <v>4</v>
      </c>
      <c r="H44" s="31" t="s">
        <v>32</v>
      </c>
      <c r="I44" s="7">
        <v>11014</v>
      </c>
      <c r="J44" s="7" t="s">
        <v>101</v>
      </c>
      <c r="K44" s="5"/>
      <c r="L44" s="5" t="s">
        <v>160</v>
      </c>
      <c r="M44" s="3" t="s">
        <v>161</v>
      </c>
      <c r="N44" s="33" t="s">
        <v>148</v>
      </c>
      <c r="O44" s="3">
        <v>500</v>
      </c>
      <c r="R44" s="3">
        <f>O44*100000</f>
        <v>50000000</v>
      </c>
      <c r="S44" s="32"/>
      <c r="T44" s="32"/>
      <c r="U44" s="32">
        <f t="shared" si="20"/>
        <v>3.57142857142857</v>
      </c>
      <c r="V44" s="3">
        <f t="shared" si="21"/>
        <v>4</v>
      </c>
    </row>
    <row r="45" s="3" customFormat="1" spans="1:22">
      <c r="A45" s="30">
        <v>10010</v>
      </c>
      <c r="B45" s="30">
        <v>1</v>
      </c>
      <c r="C45" s="30">
        <v>10</v>
      </c>
      <c r="D45" s="30">
        <f>COUNTIF($C$5:C45,C45)</f>
        <v>1</v>
      </c>
      <c r="E45" s="30" t="s">
        <v>162</v>
      </c>
      <c r="F45" s="30"/>
      <c r="G45" s="31">
        <v>18</v>
      </c>
      <c r="H45" s="31" t="s">
        <v>32</v>
      </c>
      <c r="I45" s="7">
        <v>11012</v>
      </c>
      <c r="J45" s="7" t="s">
        <v>66</v>
      </c>
      <c r="K45" s="5"/>
      <c r="L45" s="5">
        <v>70010</v>
      </c>
      <c r="M45" s="3" t="s">
        <v>163</v>
      </c>
      <c r="N45" s="3" t="s">
        <v>148</v>
      </c>
      <c r="O45" s="3">
        <v>2500</v>
      </c>
      <c r="R45" s="3">
        <f>O45*100000</f>
        <v>250000000</v>
      </c>
      <c r="S45" s="32"/>
      <c r="T45" s="32"/>
      <c r="U45" s="32">
        <f t="shared" si="20"/>
        <v>17.8571428571429</v>
      </c>
      <c r="V45" s="3">
        <f t="shared" si="21"/>
        <v>18</v>
      </c>
    </row>
    <row r="46" s="3" customFormat="1" spans="1:22">
      <c r="A46" s="32">
        <v>10021</v>
      </c>
      <c r="B46" s="32">
        <v>1</v>
      </c>
      <c r="C46" s="32">
        <v>1</v>
      </c>
      <c r="D46" s="30">
        <f>COUNTIF($C$5:C46,C46)</f>
        <v>1</v>
      </c>
      <c r="E46" s="32" t="s">
        <v>164</v>
      </c>
      <c r="F46" s="32"/>
      <c r="G46" s="34">
        <v>20</v>
      </c>
      <c r="H46" s="34" t="s">
        <v>32</v>
      </c>
      <c r="I46" s="8">
        <v>1001</v>
      </c>
      <c r="J46" s="8" t="s">
        <v>33</v>
      </c>
      <c r="K46" s="35" t="s">
        <v>165</v>
      </c>
      <c r="L46" s="35">
        <v>70001</v>
      </c>
      <c r="M46" s="3" t="s">
        <v>35</v>
      </c>
      <c r="V46" s="3">
        <f t="shared" si="21"/>
        <v>0</v>
      </c>
    </row>
    <row r="47" s="3" customFormat="1" spans="1:22">
      <c r="A47" s="32">
        <v>10022</v>
      </c>
      <c r="B47" s="32">
        <v>1</v>
      </c>
      <c r="C47" s="32">
        <v>2</v>
      </c>
      <c r="D47" s="30">
        <f>COUNTIF($C$5:C47,C47)</f>
        <v>1</v>
      </c>
      <c r="E47" s="32" t="s">
        <v>46</v>
      </c>
      <c r="F47" s="32"/>
      <c r="G47" s="34">
        <v>100</v>
      </c>
      <c r="H47" s="34" t="s">
        <v>32</v>
      </c>
      <c r="I47" s="8">
        <v>2001</v>
      </c>
      <c r="J47" s="8" t="s">
        <v>33</v>
      </c>
      <c r="K47" s="35" t="s">
        <v>166</v>
      </c>
      <c r="L47" s="35">
        <v>70002</v>
      </c>
      <c r="M47" s="3" t="s">
        <v>167</v>
      </c>
    </row>
    <row r="48" s="3" customFormat="1" spans="1:22">
      <c r="A48" s="32">
        <v>10023</v>
      </c>
      <c r="B48" s="32">
        <v>1</v>
      </c>
      <c r="C48" s="32">
        <v>3</v>
      </c>
      <c r="D48" s="30">
        <f>COUNTIF($C$5:C48,C48)</f>
        <v>1</v>
      </c>
      <c r="E48" s="32" t="s">
        <v>54</v>
      </c>
      <c r="F48" s="32"/>
      <c r="G48" s="34">
        <v>10</v>
      </c>
      <c r="H48" s="34" t="s">
        <v>32</v>
      </c>
      <c r="I48" s="8">
        <v>2002</v>
      </c>
      <c r="J48" s="8" t="s">
        <v>55</v>
      </c>
      <c r="K48" s="35" t="s">
        <v>166</v>
      </c>
      <c r="L48" s="35">
        <v>70003</v>
      </c>
      <c r="M48" s="3" t="s">
        <v>56</v>
      </c>
    </row>
    <row r="49" s="3" customFormat="1" spans="1:16">
      <c r="A49" s="32">
        <v>10024</v>
      </c>
      <c r="B49" s="32">
        <v>1</v>
      </c>
      <c r="C49" s="32">
        <v>4</v>
      </c>
      <c r="D49" s="30">
        <f>COUNTIF($C$5:C49,C49)</f>
        <v>2</v>
      </c>
      <c r="E49" s="32" t="s">
        <v>168</v>
      </c>
      <c r="F49" s="32"/>
      <c r="G49" s="34">
        <v>40</v>
      </c>
      <c r="H49" s="34" t="s">
        <v>32</v>
      </c>
      <c r="I49" s="8">
        <v>2003</v>
      </c>
      <c r="J49" s="8" t="s">
        <v>66</v>
      </c>
      <c r="K49" s="35" t="s">
        <v>166</v>
      </c>
      <c r="L49" s="35">
        <v>70004</v>
      </c>
      <c r="M49" s="3" t="s">
        <v>67</v>
      </c>
    </row>
    <row r="50" s="3" customFormat="1" spans="1:16">
      <c r="A50" s="32">
        <v>10025</v>
      </c>
      <c r="B50" s="32">
        <v>1</v>
      </c>
      <c r="C50" s="32">
        <v>5</v>
      </c>
      <c r="D50" s="30">
        <f>COUNTIF($C$5:C50,C50)</f>
        <v>1</v>
      </c>
      <c r="E50" s="32" t="s">
        <v>68</v>
      </c>
      <c r="F50" s="32"/>
      <c r="G50" s="34">
        <v>10</v>
      </c>
      <c r="H50" s="34" t="s">
        <v>32</v>
      </c>
      <c r="I50" s="8">
        <v>1001</v>
      </c>
      <c r="J50" s="8" t="s">
        <v>55</v>
      </c>
      <c r="K50" s="35" t="s">
        <v>166</v>
      </c>
      <c r="L50" s="35">
        <v>70005</v>
      </c>
      <c r="M50" s="3" t="s">
        <v>69</v>
      </c>
      <c r="N50" s="33"/>
    </row>
    <row r="51" s="3" customFormat="1" spans="1:16">
      <c r="A51" s="32">
        <v>10026</v>
      </c>
      <c r="B51" s="32">
        <v>1</v>
      </c>
      <c r="C51" s="32">
        <v>6</v>
      </c>
      <c r="D51" s="30">
        <f>COUNTIF($C$5:C51,C51)</f>
        <v>2</v>
      </c>
      <c r="E51" s="32" t="s">
        <v>169</v>
      </c>
      <c r="F51" s="32"/>
      <c r="G51" s="34">
        <v>20</v>
      </c>
      <c r="H51" s="34" t="s">
        <v>32</v>
      </c>
      <c r="I51" s="8">
        <v>2001</v>
      </c>
      <c r="J51" s="8" t="s">
        <v>66</v>
      </c>
      <c r="K51" s="35" t="s">
        <v>166</v>
      </c>
      <c r="L51" s="35">
        <v>70006</v>
      </c>
      <c r="M51" s="3" t="s">
        <v>170</v>
      </c>
      <c r="N51" s="33"/>
    </row>
    <row r="52" spans="1:16">
      <c r="A52" s="32">
        <v>10027</v>
      </c>
      <c r="B52" s="32">
        <v>1</v>
      </c>
      <c r="C52" s="32">
        <v>7</v>
      </c>
      <c r="D52" s="30">
        <f>COUNTIF($C$5:C52,C52)</f>
        <v>2</v>
      </c>
      <c r="E52" s="32" t="s">
        <v>121</v>
      </c>
      <c r="F52" s="32"/>
      <c r="G52" s="34">
        <v>10</v>
      </c>
      <c r="H52" s="34" t="s">
        <v>32</v>
      </c>
      <c r="I52" s="8">
        <v>2002</v>
      </c>
      <c r="J52" s="8" t="s">
        <v>122</v>
      </c>
      <c r="K52" s="35" t="s">
        <v>166</v>
      </c>
      <c r="L52" s="35">
        <v>70007</v>
      </c>
      <c r="M52" s="3" t="s">
        <v>123</v>
      </c>
      <c r="P52" s="3"/>
    </row>
    <row r="53" s="3" customFormat="1" spans="1:16">
      <c r="A53" s="32">
        <v>10028</v>
      </c>
      <c r="B53" s="32">
        <v>1</v>
      </c>
      <c r="C53" s="32">
        <v>8</v>
      </c>
      <c r="D53" s="30">
        <f>COUNTIF($C$5:C53,C53)</f>
        <v>2</v>
      </c>
      <c r="E53" s="32" t="s">
        <v>134</v>
      </c>
      <c r="F53" s="32"/>
      <c r="G53" s="34">
        <v>5</v>
      </c>
      <c r="H53" s="34" t="s">
        <v>32</v>
      </c>
      <c r="I53" s="8">
        <v>2003</v>
      </c>
      <c r="J53" s="8" t="s">
        <v>135</v>
      </c>
      <c r="K53" s="35" t="s">
        <v>166</v>
      </c>
      <c r="L53" s="35">
        <v>70008</v>
      </c>
      <c r="M53" s="3" t="s">
        <v>136</v>
      </c>
      <c r="N53" s="33"/>
    </row>
    <row r="54" s="3" customFormat="1" spans="1:16">
      <c r="A54" s="32">
        <v>10029</v>
      </c>
      <c r="B54" s="32">
        <v>1</v>
      </c>
      <c r="C54" s="32">
        <v>9</v>
      </c>
      <c r="D54" s="30">
        <f>COUNTIF($C$5:C54,C54)</f>
        <v>2</v>
      </c>
      <c r="E54" s="32" t="s">
        <v>145</v>
      </c>
      <c r="F54" s="32"/>
      <c r="G54" s="34">
        <v>1</v>
      </c>
      <c r="H54" s="34" t="s">
        <v>32</v>
      </c>
      <c r="I54" s="8">
        <v>1001</v>
      </c>
      <c r="J54" s="8" t="s">
        <v>150</v>
      </c>
      <c r="K54" s="35" t="s">
        <v>166</v>
      </c>
      <c r="L54" s="35">
        <v>70009</v>
      </c>
      <c r="M54" s="3" t="s">
        <v>147</v>
      </c>
      <c r="N54" s="33"/>
    </row>
    <row r="55" s="3" customFormat="1" spans="1:16">
      <c r="A55" s="32">
        <v>10030</v>
      </c>
      <c r="B55" s="32">
        <v>1</v>
      </c>
      <c r="C55" s="32">
        <v>10</v>
      </c>
      <c r="D55" s="30">
        <f>COUNTIF($C$5:C55,C55)</f>
        <v>2</v>
      </c>
      <c r="E55" s="32" t="s">
        <v>171</v>
      </c>
      <c r="F55" s="32"/>
      <c r="G55" s="34">
        <v>5</v>
      </c>
      <c r="H55" s="34" t="s">
        <v>32</v>
      </c>
      <c r="I55" s="8">
        <v>2001</v>
      </c>
      <c r="J55" s="8" t="s">
        <v>150</v>
      </c>
      <c r="K55" s="35" t="s">
        <v>166</v>
      </c>
      <c r="L55" s="35">
        <v>70010</v>
      </c>
      <c r="M55" s="3" t="s">
        <v>172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P33"/>
  <sheetViews>
    <sheetView zoomScale="85" zoomScaleNormal="85" workbookViewId="0">
      <selection activeCell="H36" sqref="H36"/>
    </sheetView>
  </sheetViews>
  <sheetFormatPr defaultColWidth="9" defaultRowHeight="16.5"/>
  <cols>
    <col min="1" max="1" width="9" style="9"/>
    <col min="2" max="2" width="8.875" style="9" customWidth="1"/>
    <col min="3" max="3" width="39.375" style="9" customWidth="1"/>
    <col min="4" max="4" width="14" style="9" customWidth="1"/>
    <col min="5" max="5" width="3" style="9" customWidth="1"/>
    <col min="6" max="6" width="8.125" style="9" customWidth="1"/>
    <col min="7" max="7" width="8.875" style="9" customWidth="1"/>
    <col min="8" max="8" width="15.875" style="9" customWidth="1"/>
    <col min="9" max="9" width="2.625" style="9" customWidth="1"/>
    <col min="10" max="10" width="7" style="9" customWidth="1"/>
    <col min="11" max="11" width="17.9333333333333" style="9" customWidth="1"/>
    <col min="12" max="12" width="32.25" style="9" customWidth="1"/>
    <col min="13" max="13" width="2.375" style="9" customWidth="1"/>
    <col min="14" max="14" width="23.625" style="9" customWidth="1"/>
    <col min="15" max="15" width="20.625" style="9" customWidth="1"/>
    <col min="16" max="16" width="27.875" style="9" customWidth="1"/>
    <col min="17" max="16384" width="9" style="9"/>
  </cols>
  <sheetData>
    <row r="5" spans="2:16">
      <c r="F5" s="9" t="s">
        <v>173</v>
      </c>
      <c r="J5" s="10">
        <v>502</v>
      </c>
      <c r="K5" s="10" t="s">
        <v>174</v>
      </c>
      <c r="N5" s="11" t="s">
        <v>175</v>
      </c>
    </row>
    <row r="6" spans="2:16">
      <c r="B6" s="12" t="s">
        <v>1</v>
      </c>
      <c r="C6" s="12" t="s">
        <v>10</v>
      </c>
      <c r="D6" s="12" t="s">
        <v>176</v>
      </c>
      <c r="F6" s="13" t="s">
        <v>177</v>
      </c>
      <c r="G6" s="13"/>
      <c r="H6" s="13" t="s">
        <v>178</v>
      </c>
      <c r="J6" s="14" t="s">
        <v>179</v>
      </c>
      <c r="K6" s="14" t="s">
        <v>180</v>
      </c>
      <c r="L6" s="14" t="s">
        <v>176</v>
      </c>
      <c r="N6" s="15" t="s">
        <v>181</v>
      </c>
      <c r="O6" s="15" t="s">
        <v>182</v>
      </c>
      <c r="P6" s="15" t="s">
        <v>176</v>
      </c>
    </row>
    <row r="7" spans="2:16">
      <c r="B7" s="9">
        <v>101</v>
      </c>
      <c r="C7" s="9" t="s">
        <v>183</v>
      </c>
      <c r="D7" s="9" t="s">
        <v>184</v>
      </c>
      <c r="F7" s="9">
        <v>100100</v>
      </c>
      <c r="G7" s="9" t="s">
        <v>185</v>
      </c>
      <c r="H7" s="9" t="s">
        <v>186</v>
      </c>
      <c r="J7" s="9">
        <v>2</v>
      </c>
      <c r="K7" s="9" t="s">
        <v>187</v>
      </c>
      <c r="L7" s="9" t="s">
        <v>188</v>
      </c>
      <c r="N7" s="9">
        <v>1022501</v>
      </c>
      <c r="O7" s="9" t="s">
        <v>138</v>
      </c>
      <c r="P7" s="9" t="s">
        <v>189</v>
      </c>
    </row>
    <row r="8" spans="2:16">
      <c r="B8" s="9">
        <v>102</v>
      </c>
      <c r="C8" s="9" t="s">
        <v>190</v>
      </c>
      <c r="D8" s="9" t="s">
        <v>184</v>
      </c>
      <c r="F8" s="9">
        <v>100300</v>
      </c>
      <c r="G8" s="9" t="s">
        <v>185</v>
      </c>
      <c r="H8" s="9" t="s">
        <v>191</v>
      </c>
      <c r="J8" s="9">
        <v>3</v>
      </c>
      <c r="K8" s="9" t="s">
        <v>192</v>
      </c>
      <c r="L8" s="9" t="s">
        <v>193</v>
      </c>
      <c r="N8" s="9">
        <v>1022502</v>
      </c>
      <c r="O8" s="9" t="s">
        <v>194</v>
      </c>
      <c r="P8" s="9" t="s">
        <v>189</v>
      </c>
    </row>
    <row r="9" spans="2:16">
      <c r="B9" s="9">
        <v>201</v>
      </c>
      <c r="C9" s="9" t="s">
        <v>195</v>
      </c>
      <c r="D9" s="9" t="s">
        <v>196</v>
      </c>
      <c r="F9" s="9">
        <v>100700</v>
      </c>
      <c r="G9" s="9" t="s">
        <v>185</v>
      </c>
      <c r="H9" s="9" t="s">
        <v>197</v>
      </c>
      <c r="J9" s="9">
        <v>4</v>
      </c>
      <c r="K9" s="9" t="s">
        <v>198</v>
      </c>
      <c r="L9" s="9" t="s">
        <v>199</v>
      </c>
      <c r="N9" s="9">
        <v>1010301</v>
      </c>
      <c r="O9" s="9" t="s">
        <v>200</v>
      </c>
      <c r="P9" s="9" t="s">
        <v>189</v>
      </c>
    </row>
    <row r="10" spans="2:16">
      <c r="B10" s="9">
        <v>202</v>
      </c>
      <c r="C10" s="9" t="s">
        <v>201</v>
      </c>
      <c r="D10" s="9" t="s">
        <v>202</v>
      </c>
      <c r="F10" s="9">
        <v>101200</v>
      </c>
      <c r="G10" s="9" t="s">
        <v>185</v>
      </c>
      <c r="H10" s="9" t="s">
        <v>203</v>
      </c>
      <c r="J10" s="9">
        <v>5</v>
      </c>
      <c r="K10" s="9" t="s">
        <v>194</v>
      </c>
      <c r="L10" s="9" t="s">
        <v>204</v>
      </c>
      <c r="N10" s="9">
        <v>1010302</v>
      </c>
      <c r="O10" s="9" t="s">
        <v>205</v>
      </c>
      <c r="P10" s="9" t="s">
        <v>189</v>
      </c>
    </row>
    <row r="11" spans="2:16">
      <c r="B11" s="9">
        <v>203</v>
      </c>
      <c r="C11" s="9" t="s">
        <v>206</v>
      </c>
      <c r="D11" s="9" t="s">
        <v>196</v>
      </c>
      <c r="F11" s="9">
        <v>101400</v>
      </c>
      <c r="G11" s="9" t="s">
        <v>185</v>
      </c>
      <c r="H11" s="9" t="s">
        <v>207</v>
      </c>
      <c r="J11" s="9">
        <v>6</v>
      </c>
      <c r="K11" s="9" t="s">
        <v>208</v>
      </c>
      <c r="L11" s="9" t="s">
        <v>209</v>
      </c>
      <c r="N11" s="9">
        <v>1010303</v>
      </c>
      <c r="O11" s="9" t="s">
        <v>210</v>
      </c>
      <c r="P11" s="9" t="s">
        <v>189</v>
      </c>
    </row>
    <row r="12" spans="2:16">
      <c r="B12" s="9">
        <v>204</v>
      </c>
      <c r="C12" s="9" t="s">
        <v>211</v>
      </c>
      <c r="D12" s="9" t="s">
        <v>202</v>
      </c>
      <c r="F12" s="9">
        <v>200100</v>
      </c>
      <c r="G12" s="9" t="s">
        <v>185</v>
      </c>
      <c r="H12" s="9" t="s">
        <v>212</v>
      </c>
      <c r="J12" s="16">
        <v>12</v>
      </c>
      <c r="K12" s="16" t="s">
        <v>213</v>
      </c>
      <c r="L12" s="16" t="s">
        <v>214</v>
      </c>
      <c r="N12" s="9">
        <v>1010311</v>
      </c>
      <c r="O12" s="9" t="s">
        <v>215</v>
      </c>
      <c r="P12" s="9" t="s">
        <v>189</v>
      </c>
    </row>
    <row r="13" spans="2:16">
      <c r="B13" s="9">
        <v>301</v>
      </c>
      <c r="C13" s="9" t="s">
        <v>216</v>
      </c>
      <c r="D13" s="9" t="s">
        <v>217</v>
      </c>
      <c r="F13" s="9">
        <v>200101</v>
      </c>
      <c r="G13" s="9" t="s">
        <v>185</v>
      </c>
      <c r="H13" s="9" t="s">
        <v>218</v>
      </c>
      <c r="J13" s="17"/>
      <c r="K13" s="17"/>
      <c r="L13" s="17"/>
      <c r="N13" s="9">
        <v>1010312</v>
      </c>
      <c r="O13" s="9" t="s">
        <v>219</v>
      </c>
      <c r="P13" s="9" t="s">
        <v>189</v>
      </c>
    </row>
    <row r="14" spans="2:16">
      <c r="B14" s="9">
        <v>302</v>
      </c>
      <c r="C14" s="9" t="s">
        <v>220</v>
      </c>
      <c r="D14" s="9" t="s">
        <v>221</v>
      </c>
      <c r="F14" s="9">
        <v>200300</v>
      </c>
      <c r="G14" s="9" t="s">
        <v>185</v>
      </c>
      <c r="H14" s="9" t="s">
        <v>222</v>
      </c>
      <c r="J14" s="17"/>
      <c r="K14" s="17"/>
      <c r="L14" s="17"/>
      <c r="N14" s="9">
        <v>1010313</v>
      </c>
      <c r="O14" s="9" t="s">
        <v>223</v>
      </c>
      <c r="P14" s="9" t="s">
        <v>189</v>
      </c>
    </row>
    <row r="15" spans="2:16">
      <c r="B15" s="9">
        <v>303</v>
      </c>
      <c r="C15" s="9" t="s">
        <v>224</v>
      </c>
      <c r="D15" s="9" t="s">
        <v>217</v>
      </c>
      <c r="F15" s="9">
        <v>200400</v>
      </c>
      <c r="G15" s="9" t="s">
        <v>185</v>
      </c>
      <c r="H15" s="9" t="s">
        <v>225</v>
      </c>
      <c r="N15" s="9">
        <v>1010314</v>
      </c>
      <c r="O15" s="9" t="s">
        <v>226</v>
      </c>
      <c r="P15" s="9" t="s">
        <v>189</v>
      </c>
    </row>
    <row r="16" spans="2:16">
      <c r="B16" s="9">
        <v>304</v>
      </c>
      <c r="C16" s="9" t="s">
        <v>227</v>
      </c>
      <c r="D16" s="9" t="s">
        <v>221</v>
      </c>
      <c r="F16" s="9">
        <v>200500</v>
      </c>
      <c r="G16" s="9" t="s">
        <v>185</v>
      </c>
      <c r="H16" s="9" t="s">
        <v>228</v>
      </c>
      <c r="N16" s="9">
        <v>1010315</v>
      </c>
      <c r="O16" s="9" t="s">
        <v>229</v>
      </c>
      <c r="P16" s="9" t="s">
        <v>189</v>
      </c>
    </row>
    <row r="17" spans="2:16">
      <c r="B17" s="11">
        <v>401</v>
      </c>
      <c r="C17" s="11" t="s">
        <v>230</v>
      </c>
      <c r="D17" s="11" t="s">
        <v>196</v>
      </c>
      <c r="F17" s="9">
        <v>200600</v>
      </c>
      <c r="G17" s="9" t="s">
        <v>185</v>
      </c>
      <c r="H17" s="9" t="s">
        <v>231</v>
      </c>
    </row>
    <row r="18" spans="2:16">
      <c r="B18" s="11">
        <v>402</v>
      </c>
      <c r="C18" s="11" t="s">
        <v>232</v>
      </c>
      <c r="D18" s="11" t="s">
        <v>202</v>
      </c>
      <c r="F18" s="9">
        <v>200700</v>
      </c>
      <c r="G18" s="9" t="s">
        <v>185</v>
      </c>
      <c r="H18" s="9" t="s">
        <v>233</v>
      </c>
    </row>
    <row r="19" spans="2:16">
      <c r="B19" s="18">
        <v>501</v>
      </c>
      <c r="C19" s="18" t="s">
        <v>234</v>
      </c>
      <c r="D19" s="18" t="s">
        <v>235</v>
      </c>
      <c r="F19" s="9">
        <v>200800</v>
      </c>
      <c r="G19" s="9" t="s">
        <v>185</v>
      </c>
      <c r="H19" s="9" t="s">
        <v>236</v>
      </c>
      <c r="N19" s="18" t="s">
        <v>237</v>
      </c>
    </row>
    <row r="20" spans="2:16">
      <c r="B20" s="10">
        <v>502</v>
      </c>
      <c r="C20" s="10" t="s">
        <v>238</v>
      </c>
      <c r="D20" s="10" t="s">
        <v>239</v>
      </c>
      <c r="F20" s="9">
        <v>200900</v>
      </c>
      <c r="G20" s="9" t="s">
        <v>185</v>
      </c>
      <c r="H20" s="9" t="s">
        <v>240</v>
      </c>
      <c r="N20" s="15" t="s">
        <v>181</v>
      </c>
      <c r="O20" s="15" t="s">
        <v>182</v>
      </c>
      <c r="P20" s="15" t="s">
        <v>176</v>
      </c>
    </row>
    <row r="21" spans="2:16">
      <c r="B21" s="9">
        <v>601</v>
      </c>
      <c r="C21" s="9" t="s">
        <v>241</v>
      </c>
      <c r="D21" s="9" t="s">
        <v>242</v>
      </c>
      <c r="F21" s="9">
        <v>201000</v>
      </c>
      <c r="G21" s="9" t="s">
        <v>185</v>
      </c>
      <c r="H21" s="9" t="s">
        <v>243</v>
      </c>
      <c r="N21" s="9">
        <v>1022501</v>
      </c>
      <c r="O21" s="9" t="s">
        <v>138</v>
      </c>
      <c r="P21" s="9" t="s">
        <v>244</v>
      </c>
    </row>
    <row r="22" spans="2:16">
      <c r="B22" s="9">
        <v>602</v>
      </c>
      <c r="C22" s="9" t="s">
        <v>245</v>
      </c>
      <c r="D22" s="9" t="s">
        <v>246</v>
      </c>
      <c r="F22" s="9">
        <v>300100</v>
      </c>
      <c r="G22" s="9" t="s">
        <v>185</v>
      </c>
      <c r="H22" s="9" t="s">
        <v>247</v>
      </c>
      <c r="N22" s="9">
        <v>1022502</v>
      </c>
      <c r="O22" s="9" t="s">
        <v>194</v>
      </c>
      <c r="P22" s="9" t="s">
        <v>248</v>
      </c>
    </row>
    <row r="23" spans="2:16">
      <c r="F23" s="9">
        <v>300200</v>
      </c>
      <c r="G23" s="9" t="s">
        <v>185</v>
      </c>
      <c r="H23" s="9" t="s">
        <v>249</v>
      </c>
      <c r="N23" s="9">
        <v>1980000</v>
      </c>
      <c r="O23" s="9" t="s">
        <v>250</v>
      </c>
      <c r="P23" s="9" t="s">
        <v>251</v>
      </c>
    </row>
    <row r="24" spans="2:16">
      <c r="F24" s="9">
        <v>200100</v>
      </c>
      <c r="G24" s="9" t="s">
        <v>252</v>
      </c>
      <c r="H24" s="9" t="s">
        <v>253</v>
      </c>
    </row>
    <row r="25" spans="2:16">
      <c r="F25" s="9">
        <v>200101</v>
      </c>
      <c r="G25" s="9" t="s">
        <v>252</v>
      </c>
      <c r="H25" s="9" t="s">
        <v>254</v>
      </c>
    </row>
    <row r="26" spans="2:16">
      <c r="F26" s="9">
        <v>200300</v>
      </c>
      <c r="G26" s="9" t="s">
        <v>252</v>
      </c>
      <c r="H26" s="9" t="s">
        <v>255</v>
      </c>
    </row>
    <row r="27" spans="2:16">
      <c r="F27" s="9">
        <v>200400</v>
      </c>
      <c r="G27" s="9" t="s">
        <v>252</v>
      </c>
      <c r="H27" s="9" t="s">
        <v>256</v>
      </c>
    </row>
    <row r="28" spans="2:16">
      <c r="F28" s="9">
        <v>200500</v>
      </c>
      <c r="G28" s="9" t="s">
        <v>252</v>
      </c>
      <c r="H28" s="9" t="s">
        <v>257</v>
      </c>
    </row>
    <row r="29" spans="2:16">
      <c r="F29" s="9">
        <v>200600</v>
      </c>
      <c r="G29" s="9" t="s">
        <v>252</v>
      </c>
      <c r="H29" s="9" t="s">
        <v>258</v>
      </c>
    </row>
    <row r="30" spans="2:16">
      <c r="F30" s="9">
        <v>200700</v>
      </c>
      <c r="G30" s="9" t="s">
        <v>252</v>
      </c>
      <c r="H30" s="9" t="s">
        <v>259</v>
      </c>
    </row>
    <row r="31" spans="2:16">
      <c r="F31" s="9">
        <v>200800</v>
      </c>
      <c r="G31" s="9" t="s">
        <v>252</v>
      </c>
      <c r="H31" s="9" t="s">
        <v>260</v>
      </c>
    </row>
    <row r="32" spans="2:16">
      <c r="F32" s="9">
        <v>200900</v>
      </c>
      <c r="G32" s="9" t="s">
        <v>252</v>
      </c>
      <c r="H32" s="9" t="s">
        <v>261</v>
      </c>
    </row>
    <row r="33" spans="6:8">
      <c r="F33" s="9">
        <v>300200</v>
      </c>
      <c r="G33" s="9" t="s">
        <v>252</v>
      </c>
      <c r="H33" s="9" t="s">
        <v>262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6" workbookViewId="0">
      <selection activeCell="L27" sqref="L27"/>
    </sheetView>
  </sheetViews>
  <sheetFormatPr defaultColWidth="9" defaultRowHeight="16.5"/>
  <cols>
    <col min="11" max="12" width="14.5" style="1" customWidth="1"/>
  </cols>
  <sheetData>
    <row r="1" spans="1:12">
      <c r="A1" s="2">
        <v>70001</v>
      </c>
      <c r="B1" s="3" t="s">
        <v>35</v>
      </c>
      <c r="K1" s="4"/>
      <c r="L1" s="4"/>
    </row>
    <row r="2" spans="1:12">
      <c r="A2" s="5">
        <v>70002</v>
      </c>
      <c r="B2" s="3" t="s">
        <v>47</v>
      </c>
      <c r="K2" s="6"/>
      <c r="L2" s="6"/>
    </row>
    <row r="3" spans="1:12">
      <c r="A3" s="5">
        <v>70003</v>
      </c>
      <c r="B3" s="3" t="s">
        <v>56</v>
      </c>
      <c r="K3" s="4"/>
      <c r="L3" s="4"/>
    </row>
    <row r="4" spans="1:12">
      <c r="A4" s="5">
        <v>70004</v>
      </c>
      <c r="B4" s="3" t="s">
        <v>67</v>
      </c>
      <c r="K4" s="4"/>
      <c r="L4" s="4"/>
    </row>
    <row r="5" spans="1:12">
      <c r="A5" s="5">
        <v>70005</v>
      </c>
      <c r="B5" s="3" t="s">
        <v>69</v>
      </c>
      <c r="K5" s="7" t="s">
        <v>263</v>
      </c>
      <c r="L5" s="7">
        <f>_xlfn.XLOOKUP(K5,[1]jumpData!$F:$F,[1]jumpData!$A:$A)</f>
        <v>2003</v>
      </c>
    </row>
    <row r="6" spans="1:12">
      <c r="A6" s="5">
        <v>70006</v>
      </c>
      <c r="B6" s="3" t="s">
        <v>111</v>
      </c>
      <c r="K6" s="7" t="s">
        <v>263</v>
      </c>
      <c r="L6" s="7">
        <f>_xlfn.XLOOKUP(K6,[1]jumpData!$F:$F,[1]jumpData!$A:$A)</f>
        <v>2003</v>
      </c>
    </row>
    <row r="7" spans="1:12">
      <c r="A7" s="5">
        <v>70007</v>
      </c>
      <c r="B7" s="3" t="s">
        <v>123</v>
      </c>
      <c r="K7" s="7" t="s">
        <v>263</v>
      </c>
      <c r="L7" s="7">
        <f>_xlfn.XLOOKUP(K7,[1]jumpData!$F:$F,[1]jumpData!$A:$A)</f>
        <v>2003</v>
      </c>
    </row>
    <row r="8" spans="1:12">
      <c r="A8" s="5">
        <v>70008</v>
      </c>
      <c r="B8" s="3" t="s">
        <v>136</v>
      </c>
      <c r="K8" s="7" t="s">
        <v>263</v>
      </c>
      <c r="L8" s="7">
        <f>_xlfn.XLOOKUP(K8,[1]jumpData!$F:$F,[1]jumpData!$A:$A)</f>
        <v>2003</v>
      </c>
    </row>
    <row r="9" spans="1:12">
      <c r="A9" s="2">
        <v>70009</v>
      </c>
      <c r="B9" s="3" t="s">
        <v>147</v>
      </c>
      <c r="K9" s="7" t="s">
        <v>263</v>
      </c>
      <c r="L9" s="7">
        <f>_xlfn.XLOOKUP(K9,[1]jumpData!$F:$F,[1]jumpData!$A:$A)</f>
        <v>2003</v>
      </c>
    </row>
    <row r="10" spans="1:12">
      <c r="A10" s="5">
        <v>70010</v>
      </c>
      <c r="B10" s="3" t="s">
        <v>163</v>
      </c>
      <c r="K10" s="7" t="s">
        <v>263</v>
      </c>
      <c r="L10" s="7">
        <f>_xlfn.XLOOKUP(K10,[1]jumpData!$F:$F,[1]jumpData!$A:$A)</f>
        <v>2003</v>
      </c>
    </row>
    <row r="11" spans="1:12">
      <c r="A11" s="2">
        <v>70101</v>
      </c>
      <c r="B11" s="3" t="s">
        <v>152</v>
      </c>
      <c r="K11" s="7" t="s">
        <v>263</v>
      </c>
      <c r="L11" s="7">
        <f>_xlfn.XLOOKUP(K11,[1]jumpData!$F:$F,[1]jumpData!$A:$A)</f>
        <v>2003</v>
      </c>
    </row>
    <row r="12" spans="1:12">
      <c r="A12" s="2">
        <v>70102</v>
      </c>
      <c r="B12" s="3" t="s">
        <v>155</v>
      </c>
      <c r="K12" s="7" t="s">
        <v>264</v>
      </c>
      <c r="L12" s="7">
        <f>_xlfn.XLOOKUP(K12,[1]jumpData!$F:$F,[1]jumpData!$A:$A)</f>
        <v>11001</v>
      </c>
    </row>
    <row r="13" spans="1:12">
      <c r="A13" s="2">
        <v>70103</v>
      </c>
      <c r="B13" s="3" t="s">
        <v>158</v>
      </c>
      <c r="K13" s="7" t="s">
        <v>264</v>
      </c>
      <c r="L13" s="7">
        <f>_xlfn.XLOOKUP(K13,[1]jumpData!$F:$F,[1]jumpData!$A:$A)</f>
        <v>11001</v>
      </c>
    </row>
    <row r="14" spans="1:12">
      <c r="A14" s="2">
        <v>70104</v>
      </c>
      <c r="B14" s="3" t="s">
        <v>161</v>
      </c>
      <c r="K14" s="7" t="s">
        <v>265</v>
      </c>
      <c r="L14" s="7">
        <f>_xlfn.XLOOKUP(K14,[1]jumpData!$F:$F,[1]jumpData!$A:$A)</f>
        <v>11007</v>
      </c>
    </row>
    <row r="15" spans="1:12">
      <c r="A15" s="2">
        <v>70301</v>
      </c>
      <c r="B15" s="3" t="s">
        <v>74</v>
      </c>
      <c r="K15" s="7" t="s">
        <v>266</v>
      </c>
      <c r="L15" s="7">
        <f>_xlfn.XLOOKUP(K15,[1]jumpData!$F:$F,[1]jumpData!$A:$A)</f>
        <v>11003</v>
      </c>
    </row>
    <row r="16" spans="1:12">
      <c r="A16" s="2">
        <v>70302</v>
      </c>
      <c r="B16" s="3" t="s">
        <v>77</v>
      </c>
      <c r="K16" s="7" t="s">
        <v>264</v>
      </c>
      <c r="L16" s="7">
        <f>_xlfn.XLOOKUP(K16,[1]jumpData!$F:$F,[1]jumpData!$A:$A)</f>
        <v>11001</v>
      </c>
    </row>
    <row r="17" spans="1:12">
      <c r="A17" s="2">
        <v>70303</v>
      </c>
      <c r="B17" s="3" t="s">
        <v>80</v>
      </c>
      <c r="K17" s="7" t="s">
        <v>266</v>
      </c>
      <c r="L17" s="7">
        <f>_xlfn.XLOOKUP(K17,[1]jumpData!$F:$F,[1]jumpData!$A:$A)</f>
        <v>11003</v>
      </c>
    </row>
    <row r="18" spans="1:12">
      <c r="A18" s="2">
        <v>70304</v>
      </c>
      <c r="B18" s="3" t="s">
        <v>83</v>
      </c>
      <c r="K18" s="7" t="s">
        <v>266</v>
      </c>
      <c r="L18" s="7">
        <f>_xlfn.XLOOKUP(K18,[1]jumpData!$F:$F,[1]jumpData!$A:$A)</f>
        <v>11003</v>
      </c>
    </row>
    <row r="19" spans="1:12">
      <c r="A19" s="2">
        <v>70305</v>
      </c>
      <c r="B19" s="3" t="s">
        <v>86</v>
      </c>
      <c r="K19" s="7" t="s">
        <v>266</v>
      </c>
      <c r="L19" s="7">
        <f>_xlfn.XLOOKUP(K19,[1]jumpData!$F:$F,[1]jumpData!$A:$A)</f>
        <v>11003</v>
      </c>
    </row>
    <row r="20" spans="1:12">
      <c r="A20" s="2">
        <v>70306</v>
      </c>
      <c r="B20" s="3" t="s">
        <v>89</v>
      </c>
      <c r="K20" s="7" t="s">
        <v>265</v>
      </c>
      <c r="L20" s="7">
        <f>_xlfn.XLOOKUP(K20,[1]jumpData!$F:$F,[1]jumpData!$A:$A)</f>
        <v>11007</v>
      </c>
    </row>
    <row r="21" spans="1:12">
      <c r="A21" s="2">
        <v>70307</v>
      </c>
      <c r="B21" s="3" t="s">
        <v>93</v>
      </c>
      <c r="K21" s="7" t="s">
        <v>265</v>
      </c>
      <c r="L21" s="7">
        <f>_xlfn.XLOOKUP(K21,[1]jumpData!$F:$F,[1]jumpData!$A:$A)</f>
        <v>11007</v>
      </c>
    </row>
    <row r="22" spans="1:12">
      <c r="A22" s="2">
        <v>70308</v>
      </c>
      <c r="B22" s="3" t="s">
        <v>96</v>
      </c>
      <c r="K22" s="7" t="s">
        <v>265</v>
      </c>
      <c r="L22" s="7">
        <f>_xlfn.XLOOKUP(K22,[1]jumpData!$F:$F,[1]jumpData!$A:$A)</f>
        <v>11007</v>
      </c>
    </row>
    <row r="23" spans="1:12">
      <c r="A23" s="2">
        <v>70309</v>
      </c>
      <c r="B23" s="3" t="s">
        <v>99</v>
      </c>
      <c r="K23" s="7" t="s">
        <v>267</v>
      </c>
      <c r="L23" s="7">
        <f>_xlfn.XLOOKUP(K23,[1]jumpData!$F:$F,[1]jumpData!$A:$A)</f>
        <v>11012</v>
      </c>
    </row>
    <row r="24" spans="1:12">
      <c r="A24" s="2">
        <v>70310</v>
      </c>
      <c r="B24" s="3" t="s">
        <v>103</v>
      </c>
      <c r="K24" s="7" t="s">
        <v>267</v>
      </c>
      <c r="L24" s="7">
        <f>_xlfn.XLOOKUP(K24,[1]jumpData!$F:$F,[1]jumpData!$A:$A)</f>
        <v>11012</v>
      </c>
    </row>
    <row r="25" spans="1:12">
      <c r="A25" s="2">
        <v>70311</v>
      </c>
      <c r="B25" s="3" t="s">
        <v>106</v>
      </c>
      <c r="K25" s="7" t="s">
        <v>267</v>
      </c>
      <c r="L25" s="7">
        <f>_xlfn.XLOOKUP(K25,[1]jumpData!$F:$F,[1]jumpData!$A:$A)</f>
        <v>11012</v>
      </c>
    </row>
    <row r="26" spans="1:12">
      <c r="A26" s="2">
        <v>70312</v>
      </c>
      <c r="B26" s="3" t="s">
        <v>109</v>
      </c>
      <c r="K26" s="7" t="s">
        <v>268</v>
      </c>
      <c r="L26" s="7">
        <f>_xlfn.XLOOKUP(K26,[1]jumpData!$F:$F,[1]jumpData!$A:$A)</f>
        <v>11014</v>
      </c>
    </row>
    <row r="27" spans="1:12">
      <c r="A27" s="2">
        <v>70381</v>
      </c>
      <c r="B27" s="3" t="s">
        <v>127</v>
      </c>
      <c r="K27" s="7" t="s">
        <v>268</v>
      </c>
      <c r="L27" s="7">
        <f>_xlfn.XLOOKUP(K27,[1]jumpData!$F:$F,[1]jumpData!$A:$A)</f>
        <v>11014</v>
      </c>
    </row>
    <row r="28" spans="1:12">
      <c r="A28" s="2">
        <v>70382</v>
      </c>
      <c r="B28" s="3" t="s">
        <v>130</v>
      </c>
      <c r="K28" s="7" t="s">
        <v>268</v>
      </c>
      <c r="L28" s="7">
        <f>_xlfn.XLOOKUP(K28,[1]jumpData!$F:$F,[1]jumpData!$A:$A)</f>
        <v>11014</v>
      </c>
    </row>
    <row r="29" spans="1:12">
      <c r="A29" s="2">
        <v>70383</v>
      </c>
      <c r="B29" s="3" t="s">
        <v>133</v>
      </c>
      <c r="K29" s="7" t="s">
        <v>267</v>
      </c>
      <c r="L29" s="7">
        <f>_xlfn.XLOOKUP(K29,[1]jumpData!$F:$F,[1]jumpData!$A:$A)</f>
        <v>11012</v>
      </c>
    </row>
    <row r="30" spans="1:12">
      <c r="A30" s="2">
        <v>70391</v>
      </c>
      <c r="B30" s="3" t="s">
        <v>114</v>
      </c>
      <c r="K30" s="7" t="s">
        <v>267</v>
      </c>
      <c r="L30" s="7">
        <f>_xlfn.XLOOKUP(K30,[1]jumpData!$F:$F,[1]jumpData!$A:$A)</f>
        <v>11012</v>
      </c>
    </row>
    <row r="31" spans="1:12">
      <c r="A31" s="2">
        <v>70392</v>
      </c>
      <c r="B31" s="3" t="s">
        <v>117</v>
      </c>
      <c r="K31" s="7" t="s">
        <v>267</v>
      </c>
      <c r="L31" s="7">
        <f>_xlfn.XLOOKUP(K31,[1]jumpData!$F:$F,[1]jumpData!$A:$A)</f>
        <v>11012</v>
      </c>
    </row>
    <row r="32" spans="1:12">
      <c r="A32" s="2">
        <v>70393</v>
      </c>
      <c r="B32" s="3" t="s">
        <v>120</v>
      </c>
      <c r="K32" s="7" t="s">
        <v>267</v>
      </c>
      <c r="L32" s="7">
        <f>_xlfn.XLOOKUP(K32,[1]jumpData!$F:$F,[1]jumpData!$A:$A)</f>
        <v>11012</v>
      </c>
    </row>
    <row r="33" spans="1:12">
      <c r="A33" s="2">
        <v>71101</v>
      </c>
      <c r="B33" s="3" t="s">
        <v>39</v>
      </c>
      <c r="K33" s="7" t="s">
        <v>269</v>
      </c>
      <c r="L33" s="7">
        <f>_xlfn.XLOOKUP(K33,[1]jumpData!$F:$F,[1]jumpData!$A:$A)</f>
        <v>2001</v>
      </c>
    </row>
    <row r="34" spans="1:12">
      <c r="A34" s="2">
        <v>71102</v>
      </c>
      <c r="B34" s="3" t="s">
        <v>42</v>
      </c>
      <c r="K34" s="7" t="s">
        <v>269</v>
      </c>
      <c r="L34" s="7">
        <f>_xlfn.XLOOKUP(K34,[1]jumpData!$F:$F,[1]jumpData!$A:$A)</f>
        <v>2001</v>
      </c>
    </row>
    <row r="35" spans="1:12">
      <c r="A35" s="2">
        <v>71103</v>
      </c>
      <c r="B35" s="3" t="s">
        <v>45</v>
      </c>
      <c r="K35" s="7" t="s">
        <v>269</v>
      </c>
      <c r="L35" s="7">
        <f>_xlfn.XLOOKUP(K35,[1]jumpData!$F:$F,[1]jumpData!$A:$A)</f>
        <v>2001</v>
      </c>
    </row>
    <row r="36" spans="1:12">
      <c r="A36" s="2">
        <v>71201</v>
      </c>
      <c r="B36" s="3" t="s">
        <v>50</v>
      </c>
      <c r="K36" s="7" t="s">
        <v>269</v>
      </c>
      <c r="L36" s="7">
        <f>_xlfn.XLOOKUP(K36,[1]jumpData!$F:$F,[1]jumpData!$A:$A)</f>
        <v>2001</v>
      </c>
    </row>
    <row r="37" spans="1:12">
      <c r="A37" s="2">
        <v>71202</v>
      </c>
      <c r="B37" s="3" t="s">
        <v>53</v>
      </c>
      <c r="K37" s="7" t="s">
        <v>192</v>
      </c>
      <c r="L37" s="7">
        <f>_xlfn.XLOOKUP(K37,[1]jumpData!$F:$F,[1]jumpData!$A:$A)</f>
        <v>3002</v>
      </c>
    </row>
    <row r="38" spans="1:12">
      <c r="A38" s="2">
        <v>72011</v>
      </c>
      <c r="B38" s="3" t="s">
        <v>60</v>
      </c>
      <c r="K38" s="7" t="s">
        <v>192</v>
      </c>
      <c r="L38" s="7">
        <f>_xlfn.XLOOKUP(K38,[1]jumpData!$F:$F,[1]jumpData!$A:$A)</f>
        <v>3002</v>
      </c>
    </row>
    <row r="39" spans="1:12">
      <c r="A39" s="2">
        <v>72012</v>
      </c>
      <c r="B39" s="3" t="s">
        <v>64</v>
      </c>
      <c r="K39" s="7" t="s">
        <v>192</v>
      </c>
      <c r="L39" s="7">
        <f>_xlfn.XLOOKUP(K39,[1]jumpData!$F:$F,[1]jumpData!$A:$A)</f>
        <v>3002</v>
      </c>
    </row>
    <row r="40" spans="1:12">
      <c r="A40" s="2">
        <v>72101</v>
      </c>
      <c r="B40" s="3" t="s">
        <v>141</v>
      </c>
      <c r="K40" s="7" t="s">
        <v>264</v>
      </c>
      <c r="L40" s="7">
        <f>_xlfn.XLOOKUP(K40,[1]jumpData!$F:$F,[1]jumpData!$A:$A)</f>
        <v>11001</v>
      </c>
    </row>
    <row r="41" spans="1:12">
      <c r="A41" s="2">
        <v>72102</v>
      </c>
      <c r="B41" s="3" t="s">
        <v>144</v>
      </c>
      <c r="K41" s="7" t="s">
        <v>266</v>
      </c>
      <c r="L41" s="7">
        <f>_xlfn.XLOOKUP(K41,[1]jumpData!$F:$F,[1]jumpData!$A:$A)</f>
        <v>11003</v>
      </c>
    </row>
    <row r="42" spans="1:12">
      <c r="K42" s="7" t="s">
        <v>265</v>
      </c>
      <c r="L42" s="7">
        <f>_xlfn.XLOOKUP(K42,[1]jumpData!$F:$F,[1]jumpData!$A:$A)</f>
        <v>11007</v>
      </c>
    </row>
    <row r="43" spans="1:12">
      <c r="K43" s="7" t="s">
        <v>267</v>
      </c>
      <c r="L43" s="7">
        <f>_xlfn.XLOOKUP(K43,[1]jumpData!$F:$F,[1]jumpData!$A:$A)</f>
        <v>11012</v>
      </c>
    </row>
    <row r="44" spans="1:12">
      <c r="K44" s="7" t="s">
        <v>268</v>
      </c>
      <c r="L44" s="7">
        <f>_xlfn.XLOOKUP(K44,[1]jumpData!$F:$F,[1]jumpData!$A:$A)</f>
        <v>11014</v>
      </c>
    </row>
    <row r="45" spans="1:12">
      <c r="K45" s="7" t="s">
        <v>267</v>
      </c>
      <c r="L45" s="7">
        <f>_xlfn.XLOOKUP(K45,[1]jumpData!$F:$F,[1]jumpData!$A:$A)</f>
        <v>11012</v>
      </c>
    </row>
    <row r="46" spans="1:12">
      <c r="K46" s="8"/>
      <c r="L46" s="7" t="str">
        <f>_xlfn.XLOOKUP(K46,[1]jumpData!$F:$F,[1]jumpData!$A:$A)</f>
        <v>跳转ID</v>
      </c>
    </row>
    <row r="47" spans="1:12">
      <c r="K47" s="8"/>
      <c r="L47" s="7" t="str">
        <f>_xlfn.XLOOKUP(K47,[1]jumpData!$F:$F,[1]jumpData!$A:$A)</f>
        <v>跳转ID</v>
      </c>
    </row>
    <row r="48" spans="1:12">
      <c r="K48" s="8"/>
      <c r="L48" s="7" t="str">
        <f>_xlfn.XLOOKUP(K48,[1]jumpData!$F:$F,[1]jumpData!$A:$A)</f>
        <v>跳转ID</v>
      </c>
    </row>
    <row r="49" spans="11:12">
      <c r="K49" s="8"/>
      <c r="L49" s="7" t="str">
        <f>_xlfn.XLOOKUP(K49,[1]jumpData!$F:$F,[1]jumpData!$A:$A)</f>
        <v>跳转ID</v>
      </c>
    </row>
    <row r="50" spans="11:12">
      <c r="K50" s="8"/>
      <c r="L50" s="7" t="str">
        <f>_xlfn.XLOOKUP(K50,[1]jumpData!$F:$F,[1]jumpData!$A:$A)</f>
        <v>跳转ID</v>
      </c>
    </row>
    <row r="51" spans="11:12">
      <c r="K51" s="8"/>
      <c r="L51" s="7" t="str">
        <f>_xlfn.XLOOKUP(K51,[1]jumpData!$F:$F,[1]jumpData!$A:$A)</f>
        <v>跳转ID</v>
      </c>
    </row>
    <row r="52" spans="11:12">
      <c r="K52" s="8"/>
      <c r="L52" s="7" t="str">
        <f>_xlfn.XLOOKUP(K52,[1]jumpData!$F:$F,[1]jumpData!$A:$A)</f>
        <v>跳转ID</v>
      </c>
    </row>
    <row r="53" spans="11:12">
      <c r="K53" s="8"/>
      <c r="L53" s="7" t="str">
        <f>_xlfn.XLOOKUP(K53,[1]jumpData!$F:$F,[1]jumpData!$A:$A)</f>
        <v>跳转ID</v>
      </c>
    </row>
    <row r="54" spans="11:12">
      <c r="K54" s="8"/>
      <c r="L54" s="7" t="str">
        <f>_xlfn.XLOOKUP(K54,[1]jumpData!$F:$F,[1]jumpData!$A:$A)</f>
        <v>跳转ID</v>
      </c>
    </row>
    <row r="55" spans="11:12">
      <c r="K55" s="8"/>
      <c r="L55" s="7" t="str">
        <f>_xlfn.XLOOKUP(K55,[1]jumpData!$F:$F,[1]jumpData!$A:$A)</f>
        <v>跳转ID</v>
      </c>
    </row>
  </sheetData>
  <sortState ref="A1:B41">
    <sortCondition ref="A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task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2025-11-12T06:30:00Z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