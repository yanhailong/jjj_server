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task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</commentList>
</comments>
</file>

<file path=xl/sharedStrings.xml><?xml version="1.0" encoding="utf-8"?>
<sst xmlns="http://schemas.openxmlformats.org/spreadsheetml/2006/main" count="282" uniqueCount="160">
  <si>
    <t>任务ID</t>
  </si>
  <si>
    <t>任务类型</t>
  </si>
  <si>
    <t>任务组</t>
  </si>
  <si>
    <t>任务条件</t>
  </si>
  <si>
    <t>道具奖励</t>
  </si>
  <si>
    <t>积分奖励</t>
  </si>
  <si>
    <t>积分ICON</t>
  </si>
  <si>
    <t>按钮跳转类型</t>
  </si>
  <si>
    <t>任务图标</t>
  </si>
  <si>
    <t>开启时间</t>
  </si>
  <si>
    <t>任务描述</t>
  </si>
  <si>
    <t>#任务描述</t>
  </si>
  <si>
    <t>价值转化</t>
  </si>
  <si>
    <t>钻石价值</t>
  </si>
  <si>
    <t>道具价值</t>
  </si>
  <si>
    <t>金币价值</t>
  </si>
  <si>
    <t>积分</t>
  </si>
  <si>
    <t>int</t>
  </si>
  <si>
    <t>list&lt;int&gt;{_}</t>
  </si>
  <si>
    <t>string</t>
  </si>
  <si>
    <t>id</t>
  </si>
  <si>
    <t>taskType</t>
  </si>
  <si>
    <t>group</t>
  </si>
  <si>
    <t>taskConditionId</t>
  </si>
  <si>
    <t>getItem</t>
  </si>
  <si>
    <t>integralNum</t>
  </si>
  <si>
    <t>integralIcon</t>
  </si>
  <si>
    <t>jumpType</t>
  </si>
  <si>
    <t>taskIcon</t>
  </si>
  <si>
    <t>time</t>
  </si>
  <si>
    <t>language</t>
  </si>
  <si>
    <t>11001_10_2_0</t>
  </si>
  <si>
    <t>itemicon_1022504.png</t>
  </si>
  <si>
    <t>task_Baccarat</t>
  </si>
  <si>
    <t>进行2次单笔10以上的充值</t>
  </si>
  <si>
    <t>充值</t>
  </si>
  <si>
    <t>11002_100_0</t>
  </si>
  <si>
    <t>累积充值达到100以上</t>
  </si>
  <si>
    <t>12001_100100_1000000</t>
  </si>
  <si>
    <t>在[金矿大亨]电子游戏中，有效下注累积达到1000000</t>
  </si>
  <si>
    <t>有效下注</t>
  </si>
  <si>
    <t>12001_0_4000000</t>
  </si>
  <si>
    <t>在任意游戏中，有效下注累积达到4000000</t>
  </si>
  <si>
    <t>10003_100100_1_1000000_1990000</t>
  </si>
  <si>
    <t>在[金矿大亨]电子游戏中，金币累积赢奖达到1000000</t>
  </si>
  <si>
    <t>赢奖金币</t>
  </si>
  <si>
    <t>10003_0_1_2000000_1990000</t>
  </si>
  <si>
    <t>在任意游戏中，金币累积赢奖达到2000000</t>
  </si>
  <si>
    <t>10003_0_1_1000_1980000</t>
  </si>
  <si>
    <t>在私人房间中钻石累积赢奖达到1000</t>
  </si>
  <si>
    <t>赢奖钻石</t>
  </si>
  <si>
    <t>12101_1022501_20</t>
  </si>
  <si>
    <t>在[摇钱树]活动中累积使用20个[祈福卡]</t>
  </si>
  <si>
    <t>使用祈福卡</t>
  </si>
  <si>
    <t>祈福卡</t>
  </si>
  <si>
    <t>10001_100100_1_100</t>
  </si>
  <si>
    <t>在[金矿大亨]电子游戏中，累积旋转100次</t>
  </si>
  <si>
    <t>旋转次数</t>
  </si>
  <si>
    <t>10001_0_1_500</t>
  </si>
  <si>
    <t>在任意电子游戏中，累积旋转500次</t>
  </si>
  <si>
    <t>11001_1000_2_0</t>
  </si>
  <si>
    <t>2026/10/01 00:00:00</t>
  </si>
  <si>
    <t>进行2次单笔1000以上的充值</t>
  </si>
  <si>
    <t>11002_10000_0</t>
  </si>
  <si>
    <t>2025/10/01 00:00:00</t>
  </si>
  <si>
    <t>累积充值达到10000以上</t>
  </si>
  <si>
    <t>12001_0_2000000</t>
  </si>
  <si>
    <t>在任意游戏中，有效下注累积达到2000000</t>
  </si>
  <si>
    <t>12101_1022501_10</t>
  </si>
  <si>
    <t>在[摇钱树]活动中累积使用10个[祈福卡]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</si>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</sst>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00B0F0"/>
      <name val="微软雅黑"/>
      <charset val="134"/>
    </font>
    <font>
      <sz val="11"/>
      <color rgb="FF7030A0"/>
      <name val="微软雅黑"/>
      <charset val="134"/>
    </font>
    <font>
      <sz val="11"/>
      <color rgb="FFFF000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name val="微软雅黑"/>
      <charset val="134"/>
    </font>
    <font>
      <sz val="1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0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1" borderId="4" applyNumberFormat="0" applyAlignment="0" applyProtection="0">
      <alignment vertical="center"/>
    </xf>
    <xf numFmtId="0" fontId="18" fillId="12" borderId="5" applyNumberFormat="0" applyAlignment="0" applyProtection="0">
      <alignment vertical="center"/>
    </xf>
    <xf numFmtId="0" fontId="19" fillId="12" borderId="4" applyNumberFormat="0" applyAlignment="0" applyProtection="0">
      <alignment vertical="center"/>
    </xf>
    <xf numFmtId="0" fontId="20" fillId="13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6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1" fillId="4" borderId="0" xfId="0" applyFont="1" applyFill="1">
      <alignment vertical="center"/>
    </xf>
    <xf numFmtId="0" fontId="1" fillId="5" borderId="0" xfId="0" applyFont="1" applyFill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 applyFill="1">
      <alignment vertical="center"/>
    </xf>
    <xf numFmtId="0" fontId="7" fillId="0" borderId="0" xfId="0" applyFont="1">
      <alignment vertical="center"/>
    </xf>
    <xf numFmtId="0" fontId="7" fillId="0" borderId="0" xfId="0" applyNumberFormat="1" applyFont="1">
      <alignment vertical="center"/>
    </xf>
    <xf numFmtId="0" fontId="7" fillId="0" borderId="0" xfId="0" applyFont="1" applyAlignment="1">
      <alignment horizontal="left" vertical="center"/>
    </xf>
    <xf numFmtId="49" fontId="7" fillId="0" borderId="0" xfId="0" applyNumberFormat="1" applyFont="1" applyAlignment="1">
      <alignment horizontal="left" vertical="center"/>
    </xf>
    <xf numFmtId="0" fontId="7" fillId="6" borderId="0" xfId="0" applyFont="1" applyFill="1">
      <alignment vertical="center"/>
    </xf>
    <xf numFmtId="0" fontId="7" fillId="7" borderId="0" xfId="0" applyFont="1" applyFill="1">
      <alignment vertical="center"/>
    </xf>
    <xf numFmtId="0" fontId="7" fillId="7" borderId="0" xfId="0" applyNumberFormat="1" applyFont="1" applyFill="1">
      <alignment vertical="center"/>
    </xf>
    <xf numFmtId="0" fontId="7" fillId="7" borderId="0" xfId="0" applyFont="1" applyFill="1" applyAlignment="1">
      <alignment horizontal="left" vertical="center"/>
    </xf>
    <xf numFmtId="0" fontId="7" fillId="6" borderId="0" xfId="0" applyNumberFormat="1" applyFont="1" applyFill="1" applyBorder="1" applyAlignment="1" applyProtection="1">
      <alignment horizontal="left" vertical="center"/>
    </xf>
    <xf numFmtId="0" fontId="7" fillId="7" borderId="0" xfId="0" applyNumberFormat="1" applyFont="1" applyFill="1" applyBorder="1" applyAlignment="1" applyProtection="1">
      <alignment horizontal="left" vertical="center"/>
    </xf>
    <xf numFmtId="0" fontId="7" fillId="6" borderId="0" xfId="0" applyNumberFormat="1" applyFont="1" applyFill="1" applyAlignment="1" applyProtection="1">
      <alignment horizontal="left" vertical="center"/>
    </xf>
    <xf numFmtId="0" fontId="7" fillId="6" borderId="0" xfId="0" applyNumberFormat="1" applyFont="1" applyFill="1">
      <alignment vertical="center"/>
    </xf>
    <xf numFmtId="0" fontId="7" fillId="8" borderId="0" xfId="0" applyFont="1" applyFill="1">
      <alignment vertical="center"/>
    </xf>
    <xf numFmtId="0" fontId="7" fillId="8" borderId="0" xfId="0" applyNumberFormat="1" applyFont="1" applyFill="1">
      <alignment vertical="center"/>
    </xf>
    <xf numFmtId="0" fontId="7" fillId="8" borderId="0" xfId="0" applyFont="1" applyFill="1" applyAlignment="1">
      <alignment horizontal="left" vertical="center"/>
    </xf>
    <xf numFmtId="0" fontId="7" fillId="9" borderId="0" xfId="0" applyFont="1" applyFill="1">
      <alignment vertical="center"/>
    </xf>
    <xf numFmtId="0" fontId="7" fillId="9" borderId="0" xfId="0" applyNumberFormat="1" applyFont="1" applyFill="1">
      <alignment vertical="center"/>
    </xf>
    <xf numFmtId="0" fontId="7" fillId="9" borderId="0" xfId="0" applyFont="1" applyFill="1" applyAlignment="1">
      <alignment horizontal="left" vertical="center"/>
    </xf>
    <xf numFmtId="49" fontId="7" fillId="7" borderId="0" xfId="0" applyNumberFormat="1" applyFont="1" applyFill="1" applyAlignment="1">
      <alignment horizontal="left" vertical="center"/>
    </xf>
    <xf numFmtId="49" fontId="7" fillId="7" borderId="0" xfId="0" applyNumberFormat="1" applyFont="1" applyFill="1" applyAlignment="1" applyProtection="1">
      <alignment horizontal="left" vertical="center"/>
    </xf>
    <xf numFmtId="49" fontId="7" fillId="8" borderId="0" xfId="0" applyNumberFormat="1" applyFont="1" applyFill="1" applyAlignment="1">
      <alignment horizontal="left" vertical="center"/>
    </xf>
    <xf numFmtId="0" fontId="8" fillId="0" borderId="0" xfId="0" applyFont="1" applyFill="1">
      <alignment vertical="center"/>
    </xf>
    <xf numFmtId="49" fontId="1" fillId="9" borderId="0" xfId="0" applyNumberFormat="1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4"/>
  <sheetViews>
    <sheetView tabSelected="1" zoomScale="85" zoomScaleNormal="85" topLeftCell="B1" workbookViewId="0">
      <pane ySplit="4" topLeftCell="A5" activePane="bottomLeft" state="frozen"/>
      <selection/>
      <selection pane="bottomLeft" activeCell="J15" sqref="J15"/>
    </sheetView>
  </sheetViews>
  <sheetFormatPr defaultColWidth="9" defaultRowHeight="16.5"/>
  <cols>
    <col min="1" max="1" width="7" style="12" customWidth="1"/>
    <col min="2" max="3" width="9.125" style="12" customWidth="1"/>
    <col min="4" max="4" width="36.875" style="12" customWidth="1"/>
    <col min="5" max="5" width="12.625" style="12" customWidth="1"/>
    <col min="6" max="6" width="13.125" style="12" customWidth="1"/>
    <col min="7" max="7" width="23.625" style="13" customWidth="1"/>
    <col min="8" max="8" width="14.5" style="14" customWidth="1"/>
    <col min="9" max="9" width="15.25" style="14" customWidth="1"/>
    <col min="10" max="11" width="21.25" style="15" customWidth="1"/>
    <col min="12" max="12" width="55.15" style="12" customWidth="1"/>
    <col min="13" max="13" width="14.5" style="12" customWidth="1"/>
    <col min="14" max="16" width="9.25" style="12"/>
    <col min="17" max="18" width="14.125" style="12"/>
    <col min="19" max="16384" width="9" style="12"/>
  </cols>
  <sheetData>
    <row r="1" spans="1:21">
      <c r="A1" s="16" t="s">
        <v>0</v>
      </c>
      <c r="B1" s="16" t="s">
        <v>1</v>
      </c>
      <c r="C1" s="16" t="s">
        <v>2</v>
      </c>
      <c r="D1" s="16" t="s">
        <v>3</v>
      </c>
      <c r="E1" s="17" t="s">
        <v>4</v>
      </c>
      <c r="F1" s="17" t="s">
        <v>5</v>
      </c>
      <c r="G1" s="18" t="s">
        <v>6</v>
      </c>
      <c r="H1" s="19" t="s">
        <v>7</v>
      </c>
      <c r="I1" s="19" t="s">
        <v>8</v>
      </c>
      <c r="J1" s="30" t="s">
        <v>9</v>
      </c>
      <c r="K1" s="30" t="s">
        <v>10</v>
      </c>
      <c r="L1" s="12" t="s">
        <v>11</v>
      </c>
      <c r="Q1" s="12" t="s">
        <v>12</v>
      </c>
      <c r="R1" s="12" t="s">
        <v>13</v>
      </c>
      <c r="S1" s="12" t="s">
        <v>14</v>
      </c>
      <c r="T1" s="12" t="s">
        <v>15</v>
      </c>
      <c r="U1" s="12" t="s">
        <v>16</v>
      </c>
    </row>
    <row r="2" spans="1:11">
      <c r="A2" s="16" t="s">
        <v>17</v>
      </c>
      <c r="B2" s="16" t="s">
        <v>17</v>
      </c>
      <c r="C2" s="16" t="s">
        <v>17</v>
      </c>
      <c r="D2" s="16" t="s">
        <v>18</v>
      </c>
      <c r="E2" s="20" t="s">
        <v>18</v>
      </c>
      <c r="F2" s="20" t="s">
        <v>17</v>
      </c>
      <c r="G2" s="20" t="s">
        <v>19</v>
      </c>
      <c r="H2" s="21" t="s">
        <v>17</v>
      </c>
      <c r="I2" s="21" t="s">
        <v>19</v>
      </c>
      <c r="J2" s="31" t="s">
        <v>19</v>
      </c>
      <c r="K2" s="31" t="s">
        <v>17</v>
      </c>
    </row>
    <row r="3" spans="1:11">
      <c r="A3" s="16" t="s">
        <v>20</v>
      </c>
      <c r="B3" s="16" t="s">
        <v>21</v>
      </c>
      <c r="C3" s="16" t="s">
        <v>22</v>
      </c>
      <c r="D3" s="16" t="s">
        <v>23</v>
      </c>
      <c r="E3" s="20" t="s">
        <v>24</v>
      </c>
      <c r="F3" s="22" t="s">
        <v>25</v>
      </c>
      <c r="G3" s="22" t="s">
        <v>26</v>
      </c>
      <c r="H3" s="19" t="s">
        <v>27</v>
      </c>
      <c r="I3" s="19" t="s">
        <v>28</v>
      </c>
      <c r="J3" s="30" t="s">
        <v>29</v>
      </c>
      <c r="K3" s="30" t="s">
        <v>30</v>
      </c>
    </row>
    <row r="4" spans="1:11">
      <c r="A4" s="16"/>
      <c r="B4" s="16"/>
      <c r="C4" s="16"/>
      <c r="D4" s="16"/>
      <c r="E4" s="16"/>
      <c r="F4" s="16"/>
      <c r="G4" s="23"/>
      <c r="H4" s="19"/>
      <c r="I4" s="19"/>
      <c r="J4" s="30"/>
      <c r="K4" s="30"/>
    </row>
    <row r="5" s="11" customFormat="1" spans="1:21">
      <c r="A5" s="24">
        <v>10001</v>
      </c>
      <c r="B5" s="24">
        <v>1</v>
      </c>
      <c r="C5" s="24">
        <v>1</v>
      </c>
      <c r="D5" s="24" t="s">
        <v>31</v>
      </c>
      <c r="E5" s="24"/>
      <c r="F5" s="25">
        <v>20</v>
      </c>
      <c r="G5" s="25" t="s">
        <v>32</v>
      </c>
      <c r="H5" s="26">
        <v>1001</v>
      </c>
      <c r="I5" s="26" t="s">
        <v>33</v>
      </c>
      <c r="J5" s="32"/>
      <c r="K5" s="32">
        <v>70001</v>
      </c>
      <c r="L5" s="11" t="s">
        <v>34</v>
      </c>
      <c r="M5" s="11" t="s">
        <v>35</v>
      </c>
      <c r="N5" s="11">
        <v>2</v>
      </c>
      <c r="P5" s="11">
        <v>10</v>
      </c>
      <c r="Q5" s="11">
        <f>P5*N5</f>
        <v>20</v>
      </c>
      <c r="R5" s="27">
        <f>Q5</f>
        <v>20</v>
      </c>
      <c r="S5" s="27"/>
      <c r="T5" s="27"/>
      <c r="U5" s="11">
        <v>20</v>
      </c>
    </row>
    <row r="6" s="11" customFormat="1" spans="1:21">
      <c r="A6" s="24">
        <v>10002</v>
      </c>
      <c r="B6" s="24">
        <v>1</v>
      </c>
      <c r="C6" s="24">
        <v>2</v>
      </c>
      <c r="D6" s="24" t="s">
        <v>36</v>
      </c>
      <c r="E6" s="24"/>
      <c r="F6" s="25">
        <v>100</v>
      </c>
      <c r="G6" s="25" t="s">
        <v>32</v>
      </c>
      <c r="H6" s="26">
        <v>2001</v>
      </c>
      <c r="I6" s="26" t="s">
        <v>33</v>
      </c>
      <c r="J6" s="32"/>
      <c r="K6" s="32">
        <v>70002</v>
      </c>
      <c r="L6" s="11" t="s">
        <v>37</v>
      </c>
      <c r="M6" s="11" t="s">
        <v>35</v>
      </c>
      <c r="N6" s="11">
        <v>1</v>
      </c>
      <c r="P6" s="11">
        <v>100</v>
      </c>
      <c r="Q6" s="11">
        <f>P6*N6</f>
        <v>100</v>
      </c>
      <c r="R6" s="27">
        <f>Q6</f>
        <v>100</v>
      </c>
      <c r="S6" s="27"/>
      <c r="T6" s="27"/>
      <c r="U6" s="11">
        <v>100</v>
      </c>
    </row>
    <row r="7" s="11" customFormat="1" spans="1:21">
      <c r="A7" s="24">
        <v>10003</v>
      </c>
      <c r="B7" s="24">
        <v>1</v>
      </c>
      <c r="C7" s="24">
        <v>3</v>
      </c>
      <c r="D7" s="24" t="s">
        <v>38</v>
      </c>
      <c r="E7" s="24"/>
      <c r="F7" s="25">
        <v>10</v>
      </c>
      <c r="G7" s="25" t="s">
        <v>32</v>
      </c>
      <c r="H7" s="26">
        <v>2002</v>
      </c>
      <c r="I7" s="26" t="s">
        <v>33</v>
      </c>
      <c r="J7" s="32"/>
      <c r="K7" s="32">
        <v>70003</v>
      </c>
      <c r="L7" s="11" t="s">
        <v>39</v>
      </c>
      <c r="M7" s="11" t="s">
        <v>40</v>
      </c>
      <c r="N7" s="11">
        <v>1000000</v>
      </c>
      <c r="Q7" s="11">
        <f>N7</f>
        <v>1000000</v>
      </c>
      <c r="R7" s="27"/>
      <c r="S7" s="27"/>
      <c r="T7" s="27">
        <f>Q7/100000</f>
        <v>10</v>
      </c>
      <c r="U7" s="11">
        <v>10</v>
      </c>
    </row>
    <row r="8" s="11" customFormat="1" spans="1:21">
      <c r="A8" s="24">
        <v>10004</v>
      </c>
      <c r="B8" s="24">
        <v>1</v>
      </c>
      <c r="C8" s="24">
        <v>4</v>
      </c>
      <c r="D8" s="24" t="s">
        <v>41</v>
      </c>
      <c r="E8" s="24"/>
      <c r="F8" s="25">
        <v>40</v>
      </c>
      <c r="G8" s="25" t="s">
        <v>32</v>
      </c>
      <c r="H8" s="26">
        <v>2003</v>
      </c>
      <c r="I8" s="26" t="s">
        <v>33</v>
      </c>
      <c r="J8" s="32"/>
      <c r="K8" s="32">
        <v>70004</v>
      </c>
      <c r="L8" s="11" t="s">
        <v>42</v>
      </c>
      <c r="M8" s="11" t="s">
        <v>40</v>
      </c>
      <c r="N8" s="11">
        <v>4000000</v>
      </c>
      <c r="Q8" s="11">
        <f>N8</f>
        <v>4000000</v>
      </c>
      <c r="R8" s="27"/>
      <c r="S8" s="27"/>
      <c r="T8" s="27">
        <f>Q8/100000</f>
        <v>40</v>
      </c>
      <c r="U8" s="11">
        <v>40</v>
      </c>
    </row>
    <row r="9" s="11" customFormat="1" spans="1:21">
      <c r="A9" s="24">
        <v>10005</v>
      </c>
      <c r="B9" s="24">
        <v>1</v>
      </c>
      <c r="C9" s="24">
        <v>5</v>
      </c>
      <c r="D9" s="24" t="s">
        <v>43</v>
      </c>
      <c r="E9" s="24"/>
      <c r="F9" s="25">
        <v>10</v>
      </c>
      <c r="G9" s="25" t="s">
        <v>32</v>
      </c>
      <c r="H9" s="26">
        <v>1001</v>
      </c>
      <c r="I9" s="26" t="s">
        <v>33</v>
      </c>
      <c r="J9" s="32"/>
      <c r="K9" s="32">
        <v>70005</v>
      </c>
      <c r="L9" s="11" t="s">
        <v>44</v>
      </c>
      <c r="M9" s="11" t="s">
        <v>45</v>
      </c>
      <c r="N9" s="11">
        <v>1000000</v>
      </c>
      <c r="Q9" s="11">
        <v>1000000</v>
      </c>
      <c r="R9" s="27"/>
      <c r="S9" s="27"/>
      <c r="T9" s="27">
        <f>Q9/100000</f>
        <v>10</v>
      </c>
      <c r="U9" s="11">
        <v>10</v>
      </c>
    </row>
    <row r="10" s="11" customFormat="1" spans="1:21">
      <c r="A10" s="24">
        <v>10006</v>
      </c>
      <c r="B10" s="24">
        <v>1</v>
      </c>
      <c r="C10" s="24">
        <v>6</v>
      </c>
      <c r="D10" s="24" t="s">
        <v>46</v>
      </c>
      <c r="E10" s="24"/>
      <c r="F10" s="25">
        <v>20</v>
      </c>
      <c r="G10" s="25" t="s">
        <v>32</v>
      </c>
      <c r="H10" s="26">
        <v>2001</v>
      </c>
      <c r="I10" s="26" t="s">
        <v>33</v>
      </c>
      <c r="J10" s="32"/>
      <c r="K10" s="32">
        <v>70006</v>
      </c>
      <c r="L10" s="11" t="s">
        <v>47</v>
      </c>
      <c r="M10" s="11" t="s">
        <v>45</v>
      </c>
      <c r="N10" s="11">
        <v>2000000</v>
      </c>
      <c r="Q10" s="11">
        <v>2000000</v>
      </c>
      <c r="R10" s="27"/>
      <c r="S10" s="27"/>
      <c r="T10" s="27">
        <f>Q10/100000</f>
        <v>20</v>
      </c>
      <c r="U10" s="11">
        <v>20</v>
      </c>
    </row>
    <row r="11" spans="1:21">
      <c r="A11" s="24">
        <v>10007</v>
      </c>
      <c r="B11" s="24">
        <v>1</v>
      </c>
      <c r="C11" s="24">
        <v>7</v>
      </c>
      <c r="D11" s="24" t="s">
        <v>48</v>
      </c>
      <c r="E11" s="24"/>
      <c r="F11" s="25">
        <v>10</v>
      </c>
      <c r="G11" s="25" t="s">
        <v>32</v>
      </c>
      <c r="H11" s="26">
        <v>2002</v>
      </c>
      <c r="I11" s="26" t="s">
        <v>33</v>
      </c>
      <c r="J11" s="32"/>
      <c r="K11" s="32">
        <v>70007</v>
      </c>
      <c r="L11" s="11" t="s">
        <v>49</v>
      </c>
      <c r="M11" s="12" t="s">
        <v>50</v>
      </c>
      <c r="N11" s="12">
        <v>1000</v>
      </c>
      <c r="P11" s="12">
        <v>0.97</v>
      </c>
      <c r="Q11" s="12">
        <f>N11/P11</f>
        <v>1030.92783505155</v>
      </c>
      <c r="R11" s="27">
        <f>Q11/100</f>
        <v>10.3092783505155</v>
      </c>
      <c r="S11" s="27"/>
      <c r="T11" s="27"/>
      <c r="U11" s="12">
        <v>10</v>
      </c>
    </row>
    <row r="12" s="11" customFormat="1" spans="1:21">
      <c r="A12" s="24">
        <v>10008</v>
      </c>
      <c r="B12" s="24">
        <v>1</v>
      </c>
      <c r="C12" s="24">
        <v>8</v>
      </c>
      <c r="D12" s="24" t="s">
        <v>51</v>
      </c>
      <c r="E12" s="24"/>
      <c r="F12" s="25">
        <v>5</v>
      </c>
      <c r="G12" s="25" t="s">
        <v>32</v>
      </c>
      <c r="H12" s="26">
        <v>2003</v>
      </c>
      <c r="I12" s="26" t="s">
        <v>33</v>
      </c>
      <c r="J12" s="32"/>
      <c r="K12" s="32">
        <v>70008</v>
      </c>
      <c r="L12" s="11" t="s">
        <v>52</v>
      </c>
      <c r="M12" s="11" t="s">
        <v>53</v>
      </c>
      <c r="N12" s="11">
        <v>20</v>
      </c>
      <c r="O12" t="s">
        <v>54</v>
      </c>
      <c r="P12">
        <v>0.25</v>
      </c>
      <c r="Q12" s="11">
        <f>P12*N12</f>
        <v>5</v>
      </c>
      <c r="R12" s="27"/>
      <c r="S12" s="27">
        <f>Q12</f>
        <v>5</v>
      </c>
      <c r="T12" s="27"/>
      <c r="U12" s="11">
        <v>5</v>
      </c>
    </row>
    <row r="13" s="11" customFormat="1" spans="1:21">
      <c r="A13" s="24">
        <v>10009</v>
      </c>
      <c r="B13" s="24">
        <v>1</v>
      </c>
      <c r="C13" s="24">
        <v>9</v>
      </c>
      <c r="D13" s="24" t="s">
        <v>55</v>
      </c>
      <c r="E13" s="24"/>
      <c r="F13" s="25">
        <v>1</v>
      </c>
      <c r="G13" s="25" t="s">
        <v>32</v>
      </c>
      <c r="H13" s="26">
        <v>1001</v>
      </c>
      <c r="I13" s="26" t="s">
        <v>33</v>
      </c>
      <c r="J13" s="32"/>
      <c r="K13" s="32">
        <v>70009</v>
      </c>
      <c r="L13" s="11" t="s">
        <v>56</v>
      </c>
      <c r="M13" s="33" t="s">
        <v>57</v>
      </c>
      <c r="N13" s="11">
        <v>100</v>
      </c>
      <c r="Q13" s="11">
        <f>N13*100</f>
        <v>10000</v>
      </c>
      <c r="R13" s="27"/>
      <c r="S13" s="27"/>
      <c r="T13" s="27">
        <f>Q13/100000</f>
        <v>0.1</v>
      </c>
      <c r="U13" s="11">
        <v>1</v>
      </c>
    </row>
    <row r="14" s="11" customFormat="1" spans="1:21">
      <c r="A14" s="24">
        <v>10010</v>
      </c>
      <c r="B14" s="24">
        <v>1</v>
      </c>
      <c r="C14" s="24">
        <v>10</v>
      </c>
      <c r="D14" s="24" t="s">
        <v>58</v>
      </c>
      <c r="E14" s="24"/>
      <c r="F14" s="25">
        <v>5</v>
      </c>
      <c r="G14" s="25" t="s">
        <v>32</v>
      </c>
      <c r="H14" s="26">
        <v>2001</v>
      </c>
      <c r="I14" s="26" t="s">
        <v>33</v>
      </c>
      <c r="J14" s="32"/>
      <c r="K14" s="32">
        <v>70010</v>
      </c>
      <c r="L14" s="11" t="s">
        <v>59</v>
      </c>
      <c r="M14" s="11" t="s">
        <v>57</v>
      </c>
      <c r="N14" s="11">
        <v>500</v>
      </c>
      <c r="Q14" s="11">
        <f>N14*100</f>
        <v>50000</v>
      </c>
      <c r="R14" s="27"/>
      <c r="S14" s="27"/>
      <c r="T14" s="27">
        <f>Q14/100000</f>
        <v>0.5</v>
      </c>
      <c r="U14" s="11">
        <v>5</v>
      </c>
    </row>
    <row r="15" s="11" customFormat="1" spans="1:12">
      <c r="A15" s="27">
        <v>10021</v>
      </c>
      <c r="B15" s="27">
        <v>1</v>
      </c>
      <c r="C15" s="27">
        <v>1</v>
      </c>
      <c r="D15" s="27" t="s">
        <v>60</v>
      </c>
      <c r="E15" s="27"/>
      <c r="F15" s="28">
        <v>500</v>
      </c>
      <c r="G15" s="28" t="s">
        <v>32</v>
      </c>
      <c r="H15" s="29">
        <v>1001</v>
      </c>
      <c r="I15" s="29" t="s">
        <v>33</v>
      </c>
      <c r="J15" s="34" t="s">
        <v>61</v>
      </c>
      <c r="K15" s="34">
        <v>70001</v>
      </c>
      <c r="L15" s="11" t="s">
        <v>62</v>
      </c>
    </row>
    <row r="16" s="11" customFormat="1" spans="1:12">
      <c r="A16" s="27">
        <v>10022</v>
      </c>
      <c r="B16" s="27">
        <v>1</v>
      </c>
      <c r="C16" s="27">
        <v>2</v>
      </c>
      <c r="D16" s="27" t="s">
        <v>63</v>
      </c>
      <c r="E16" s="27"/>
      <c r="F16" s="28">
        <v>200</v>
      </c>
      <c r="G16" s="28" t="s">
        <v>32</v>
      </c>
      <c r="H16" s="29">
        <v>2001</v>
      </c>
      <c r="I16" s="29" t="s">
        <v>33</v>
      </c>
      <c r="J16" s="34" t="s">
        <v>64</v>
      </c>
      <c r="K16" s="34">
        <v>70002</v>
      </c>
      <c r="L16" s="11" t="s">
        <v>65</v>
      </c>
    </row>
    <row r="17" s="11" customFormat="1" spans="1:12">
      <c r="A17" s="27">
        <v>10023</v>
      </c>
      <c r="B17" s="27">
        <v>1</v>
      </c>
      <c r="C17" s="27">
        <v>3</v>
      </c>
      <c r="D17" s="27" t="s">
        <v>38</v>
      </c>
      <c r="E17" s="27"/>
      <c r="F17" s="28">
        <v>20</v>
      </c>
      <c r="G17" s="28" t="s">
        <v>32</v>
      </c>
      <c r="H17" s="29">
        <v>2002</v>
      </c>
      <c r="I17" s="29" t="s">
        <v>33</v>
      </c>
      <c r="J17" s="34" t="s">
        <v>64</v>
      </c>
      <c r="K17" s="34">
        <v>70003</v>
      </c>
      <c r="L17" s="11" t="s">
        <v>39</v>
      </c>
    </row>
    <row r="18" s="11" customFormat="1" spans="1:12">
      <c r="A18" s="27">
        <v>10024</v>
      </c>
      <c r="B18" s="27">
        <v>1</v>
      </c>
      <c r="C18" s="27">
        <v>4</v>
      </c>
      <c r="D18" s="27" t="s">
        <v>66</v>
      </c>
      <c r="E18" s="27"/>
      <c r="F18" s="28">
        <v>50</v>
      </c>
      <c r="G18" s="28" t="s">
        <v>32</v>
      </c>
      <c r="H18" s="29">
        <v>2003</v>
      </c>
      <c r="I18" s="29" t="s">
        <v>33</v>
      </c>
      <c r="J18" s="34" t="s">
        <v>64</v>
      </c>
      <c r="K18" s="34">
        <v>70004</v>
      </c>
      <c r="L18" s="11" t="s">
        <v>67</v>
      </c>
    </row>
    <row r="19" s="11" customFormat="1" spans="1:13">
      <c r="A19" s="27">
        <v>10025</v>
      </c>
      <c r="B19" s="27">
        <v>1</v>
      </c>
      <c r="C19" s="27">
        <v>5</v>
      </c>
      <c r="D19" s="27" t="s">
        <v>43</v>
      </c>
      <c r="E19" s="27"/>
      <c r="F19" s="28">
        <v>150</v>
      </c>
      <c r="G19" s="28" t="s">
        <v>32</v>
      </c>
      <c r="H19" s="29">
        <v>1001</v>
      </c>
      <c r="I19" s="29" t="s">
        <v>33</v>
      </c>
      <c r="J19" s="34" t="s">
        <v>64</v>
      </c>
      <c r="K19" s="34">
        <v>70005</v>
      </c>
      <c r="L19" s="11" t="s">
        <v>44</v>
      </c>
      <c r="M19" s="33"/>
    </row>
    <row r="20" s="11" customFormat="1" spans="1:13">
      <c r="A20" s="27">
        <v>10026</v>
      </c>
      <c r="B20" s="27">
        <v>1</v>
      </c>
      <c r="C20" s="27">
        <v>6</v>
      </c>
      <c r="D20" s="27" t="s">
        <v>46</v>
      </c>
      <c r="E20" s="27"/>
      <c r="F20" s="28">
        <v>180</v>
      </c>
      <c r="G20" s="28" t="s">
        <v>32</v>
      </c>
      <c r="H20" s="29">
        <v>2001</v>
      </c>
      <c r="I20" s="29" t="s">
        <v>33</v>
      </c>
      <c r="J20" s="34" t="s">
        <v>64</v>
      </c>
      <c r="K20" s="34">
        <v>70006</v>
      </c>
      <c r="L20" s="11" t="s">
        <v>47</v>
      </c>
      <c r="M20" s="33"/>
    </row>
    <row r="21" spans="1:15">
      <c r="A21" s="27">
        <v>10027</v>
      </c>
      <c r="B21" s="27">
        <v>1</v>
      </c>
      <c r="C21" s="27">
        <v>7</v>
      </c>
      <c r="D21" s="27" t="s">
        <v>48</v>
      </c>
      <c r="E21" s="27"/>
      <c r="F21" s="28">
        <v>500</v>
      </c>
      <c r="G21" s="28" t="s">
        <v>32</v>
      </c>
      <c r="H21" s="29">
        <v>2002</v>
      </c>
      <c r="I21" s="29" t="s">
        <v>33</v>
      </c>
      <c r="J21" s="34" t="s">
        <v>64</v>
      </c>
      <c r="K21" s="34">
        <v>70007</v>
      </c>
      <c r="L21" s="11" t="s">
        <v>49</v>
      </c>
      <c r="O21" s="11"/>
    </row>
    <row r="22" s="11" customFormat="1" spans="1:13">
      <c r="A22" s="27">
        <v>10028</v>
      </c>
      <c r="B22" s="27">
        <v>1</v>
      </c>
      <c r="C22" s="27">
        <v>8</v>
      </c>
      <c r="D22" s="27" t="s">
        <v>68</v>
      </c>
      <c r="E22" s="27"/>
      <c r="F22" s="28">
        <v>300</v>
      </c>
      <c r="G22" s="28" t="s">
        <v>32</v>
      </c>
      <c r="H22" s="29">
        <v>2003</v>
      </c>
      <c r="I22" s="29" t="s">
        <v>33</v>
      </c>
      <c r="J22" s="34" t="s">
        <v>64</v>
      </c>
      <c r="K22" s="34">
        <v>70008</v>
      </c>
      <c r="L22" s="11" t="s">
        <v>69</v>
      </c>
      <c r="M22" s="33"/>
    </row>
    <row r="23" s="11" customFormat="1" spans="1:13">
      <c r="A23" s="27">
        <v>10029</v>
      </c>
      <c r="B23" s="27">
        <v>1</v>
      </c>
      <c r="C23" s="27">
        <v>9</v>
      </c>
      <c r="D23" s="27" t="s">
        <v>55</v>
      </c>
      <c r="E23" s="27"/>
      <c r="F23" s="28">
        <v>20</v>
      </c>
      <c r="G23" s="28" t="s">
        <v>32</v>
      </c>
      <c r="H23" s="29">
        <v>1001</v>
      </c>
      <c r="I23" s="29" t="s">
        <v>33</v>
      </c>
      <c r="J23" s="34" t="s">
        <v>64</v>
      </c>
      <c r="K23" s="34">
        <v>70009</v>
      </c>
      <c r="L23" s="11" t="s">
        <v>56</v>
      </c>
      <c r="M23" s="33"/>
    </row>
    <row r="24" s="11" customFormat="1" spans="1:12">
      <c r="A24" s="27">
        <v>10030</v>
      </c>
      <c r="B24" s="27">
        <v>1</v>
      </c>
      <c r="C24" s="27">
        <v>10</v>
      </c>
      <c r="D24" s="27" t="s">
        <v>58</v>
      </c>
      <c r="E24" s="27"/>
      <c r="F24" s="28">
        <v>500</v>
      </c>
      <c r="G24" s="28" t="s">
        <v>32</v>
      </c>
      <c r="H24" s="29">
        <v>2001</v>
      </c>
      <c r="I24" s="29" t="s">
        <v>33</v>
      </c>
      <c r="J24" s="34" t="s">
        <v>64</v>
      </c>
      <c r="K24" s="34">
        <v>70010</v>
      </c>
      <c r="L24" s="11" t="s">
        <v>59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P33"/>
  <sheetViews>
    <sheetView zoomScale="85" zoomScaleNormal="85" workbookViewId="0">
      <selection activeCell="H36" sqref="H36"/>
    </sheetView>
  </sheetViews>
  <sheetFormatPr defaultColWidth="9" defaultRowHeight="16.5"/>
  <cols>
    <col min="1" max="1" width="9" style="1"/>
    <col min="2" max="2" width="8.875" style="1" customWidth="1"/>
    <col min="3" max="3" width="39.375" style="1" customWidth="1"/>
    <col min="4" max="4" width="14" style="1" customWidth="1"/>
    <col min="5" max="5" width="3" style="1" customWidth="1"/>
    <col min="6" max="6" width="8.125" style="1" customWidth="1"/>
    <col min="7" max="7" width="8.875" style="1" customWidth="1"/>
    <col min="8" max="8" width="15.875" style="1" customWidth="1"/>
    <col min="9" max="9" width="2.625" style="1" customWidth="1"/>
    <col min="10" max="10" width="7" style="1" customWidth="1"/>
    <col min="11" max="11" width="17.9333333333333" style="1" customWidth="1"/>
    <col min="12" max="12" width="32.25" style="1" customWidth="1"/>
    <col min="13" max="13" width="2.375" style="1" customWidth="1"/>
    <col min="14" max="14" width="23.625" style="1" customWidth="1"/>
    <col min="15" max="15" width="20.625" style="1" customWidth="1"/>
    <col min="16" max="16" width="27.875" style="1" customWidth="1"/>
    <col min="17" max="16384" width="9" style="1"/>
  </cols>
  <sheetData>
    <row r="5" spans="6:14">
      <c r="F5" s="1" t="s">
        <v>70</v>
      </c>
      <c r="J5" s="6">
        <v>502</v>
      </c>
      <c r="K5" s="6" t="s">
        <v>71</v>
      </c>
      <c r="N5" s="4" t="s">
        <v>72</v>
      </c>
    </row>
    <row r="6" spans="2:16">
      <c r="B6" s="2" t="s">
        <v>1</v>
      </c>
      <c r="C6" s="2" t="s">
        <v>10</v>
      </c>
      <c r="D6" s="2" t="s">
        <v>73</v>
      </c>
      <c r="F6" s="3" t="s">
        <v>74</v>
      </c>
      <c r="G6" s="3"/>
      <c r="H6" s="3" t="s">
        <v>75</v>
      </c>
      <c r="J6" s="7" t="s">
        <v>76</v>
      </c>
      <c r="K6" s="7" t="s">
        <v>77</v>
      </c>
      <c r="L6" s="7" t="s">
        <v>73</v>
      </c>
      <c r="N6" s="8" t="s">
        <v>78</v>
      </c>
      <c r="O6" s="8" t="s">
        <v>79</v>
      </c>
      <c r="P6" s="8" t="s">
        <v>73</v>
      </c>
    </row>
    <row r="7" spans="2:16">
      <c r="B7" s="1">
        <v>101</v>
      </c>
      <c r="C7" s="1" t="s">
        <v>80</v>
      </c>
      <c r="D7" s="1" t="s">
        <v>81</v>
      </c>
      <c r="F7" s="1">
        <v>100100</v>
      </c>
      <c r="G7" s="1" t="s">
        <v>82</v>
      </c>
      <c r="H7" s="1" t="s">
        <v>83</v>
      </c>
      <c r="J7" s="1">
        <v>2</v>
      </c>
      <c r="K7" s="1" t="s">
        <v>84</v>
      </c>
      <c r="L7" s="1" t="s">
        <v>85</v>
      </c>
      <c r="N7" s="1">
        <v>1022501</v>
      </c>
      <c r="O7" s="1" t="s">
        <v>54</v>
      </c>
      <c r="P7" s="1" t="s">
        <v>86</v>
      </c>
    </row>
    <row r="8" spans="2:16">
      <c r="B8" s="1">
        <v>102</v>
      </c>
      <c r="C8" s="1" t="s">
        <v>87</v>
      </c>
      <c r="D8" s="1" t="s">
        <v>81</v>
      </c>
      <c r="F8" s="1">
        <v>100300</v>
      </c>
      <c r="G8" s="1" t="s">
        <v>82</v>
      </c>
      <c r="H8" s="1" t="s">
        <v>88</v>
      </c>
      <c r="J8" s="1">
        <v>3</v>
      </c>
      <c r="K8" s="1" t="s">
        <v>89</v>
      </c>
      <c r="L8" s="1" t="s">
        <v>90</v>
      </c>
      <c r="N8" s="1">
        <v>1022502</v>
      </c>
      <c r="O8" s="1" t="s">
        <v>91</v>
      </c>
      <c r="P8" s="1" t="s">
        <v>86</v>
      </c>
    </row>
    <row r="9" spans="2:16">
      <c r="B9" s="1">
        <v>201</v>
      </c>
      <c r="C9" s="1" t="s">
        <v>92</v>
      </c>
      <c r="D9" s="1" t="s">
        <v>93</v>
      </c>
      <c r="F9" s="1">
        <v>100700</v>
      </c>
      <c r="G9" s="1" t="s">
        <v>82</v>
      </c>
      <c r="H9" s="1" t="s">
        <v>94</v>
      </c>
      <c r="J9" s="1">
        <v>4</v>
      </c>
      <c r="K9" s="1" t="s">
        <v>95</v>
      </c>
      <c r="L9" s="1" t="s">
        <v>96</v>
      </c>
      <c r="N9" s="1">
        <v>1010301</v>
      </c>
      <c r="O9" s="1" t="s">
        <v>97</v>
      </c>
      <c r="P9" s="1" t="s">
        <v>86</v>
      </c>
    </row>
    <row r="10" spans="2:16">
      <c r="B10" s="1">
        <v>202</v>
      </c>
      <c r="C10" s="1" t="s">
        <v>98</v>
      </c>
      <c r="D10" s="1" t="s">
        <v>99</v>
      </c>
      <c r="F10" s="1">
        <v>101200</v>
      </c>
      <c r="G10" s="1" t="s">
        <v>82</v>
      </c>
      <c r="H10" s="1" t="s">
        <v>100</v>
      </c>
      <c r="J10" s="1">
        <v>5</v>
      </c>
      <c r="K10" s="1" t="s">
        <v>91</v>
      </c>
      <c r="L10" s="1" t="s">
        <v>101</v>
      </c>
      <c r="N10" s="1">
        <v>1010302</v>
      </c>
      <c r="O10" s="1" t="s">
        <v>102</v>
      </c>
      <c r="P10" s="1" t="s">
        <v>86</v>
      </c>
    </row>
    <row r="11" spans="2:16">
      <c r="B11" s="1">
        <v>203</v>
      </c>
      <c r="C11" s="1" t="s">
        <v>103</v>
      </c>
      <c r="D11" s="1" t="s">
        <v>93</v>
      </c>
      <c r="F11" s="1">
        <v>101400</v>
      </c>
      <c r="G11" s="1" t="s">
        <v>82</v>
      </c>
      <c r="H11" s="1" t="s">
        <v>104</v>
      </c>
      <c r="J11" s="1">
        <v>6</v>
      </c>
      <c r="K11" s="1" t="s">
        <v>105</v>
      </c>
      <c r="L11" s="1" t="s">
        <v>106</v>
      </c>
      <c r="N11" s="1">
        <v>1010303</v>
      </c>
      <c r="O11" s="1" t="s">
        <v>107</v>
      </c>
      <c r="P11" s="1" t="s">
        <v>86</v>
      </c>
    </row>
    <row r="12" spans="2:16">
      <c r="B12" s="1">
        <v>204</v>
      </c>
      <c r="C12" s="1" t="s">
        <v>108</v>
      </c>
      <c r="D12" s="1" t="s">
        <v>99</v>
      </c>
      <c r="F12" s="1">
        <v>200100</v>
      </c>
      <c r="G12" s="1" t="s">
        <v>82</v>
      </c>
      <c r="H12" s="1" t="s">
        <v>109</v>
      </c>
      <c r="J12" s="9">
        <v>12</v>
      </c>
      <c r="K12" s="9" t="s">
        <v>110</v>
      </c>
      <c r="L12" s="9" t="s">
        <v>111</v>
      </c>
      <c r="N12" s="1">
        <v>1010311</v>
      </c>
      <c r="O12" s="1" t="s">
        <v>112</v>
      </c>
      <c r="P12" s="1" t="s">
        <v>86</v>
      </c>
    </row>
    <row r="13" spans="2:16">
      <c r="B13" s="1">
        <v>301</v>
      </c>
      <c r="C13" s="1" t="s">
        <v>113</v>
      </c>
      <c r="D13" s="1" t="s">
        <v>114</v>
      </c>
      <c r="F13" s="1">
        <v>200101</v>
      </c>
      <c r="G13" s="1" t="s">
        <v>82</v>
      </c>
      <c r="H13" s="1" t="s">
        <v>115</v>
      </c>
      <c r="J13" s="10"/>
      <c r="K13" s="10"/>
      <c r="L13" s="10"/>
      <c r="N13" s="1">
        <v>1010312</v>
      </c>
      <c r="O13" s="1" t="s">
        <v>116</v>
      </c>
      <c r="P13" s="1" t="s">
        <v>86</v>
      </c>
    </row>
    <row r="14" spans="2:16">
      <c r="B14" s="1">
        <v>302</v>
      </c>
      <c r="C14" s="1" t="s">
        <v>117</v>
      </c>
      <c r="D14" s="1" t="s">
        <v>118</v>
      </c>
      <c r="F14" s="1">
        <v>200300</v>
      </c>
      <c r="G14" s="1" t="s">
        <v>82</v>
      </c>
      <c r="H14" s="1" t="s">
        <v>119</v>
      </c>
      <c r="J14" s="10"/>
      <c r="K14" s="10"/>
      <c r="L14" s="10"/>
      <c r="N14" s="1">
        <v>1010313</v>
      </c>
      <c r="O14" s="1" t="s">
        <v>120</v>
      </c>
      <c r="P14" s="1" t="s">
        <v>86</v>
      </c>
    </row>
    <row r="15" spans="2:16">
      <c r="B15" s="1">
        <v>303</v>
      </c>
      <c r="C15" s="1" t="s">
        <v>121</v>
      </c>
      <c r="D15" s="1" t="s">
        <v>114</v>
      </c>
      <c r="F15" s="1">
        <v>200400</v>
      </c>
      <c r="G15" s="1" t="s">
        <v>82</v>
      </c>
      <c r="H15" s="1" t="s">
        <v>122</v>
      </c>
      <c r="N15" s="1">
        <v>1010314</v>
      </c>
      <c r="O15" s="1" t="s">
        <v>123</v>
      </c>
      <c r="P15" s="1" t="s">
        <v>86</v>
      </c>
    </row>
    <row r="16" spans="2:16">
      <c r="B16" s="1">
        <v>304</v>
      </c>
      <c r="C16" s="1" t="s">
        <v>124</v>
      </c>
      <c r="D16" s="1" t="s">
        <v>118</v>
      </c>
      <c r="F16" s="1">
        <v>200500</v>
      </c>
      <c r="G16" s="1" t="s">
        <v>82</v>
      </c>
      <c r="H16" s="1" t="s">
        <v>125</v>
      </c>
      <c r="N16" s="1">
        <v>1010315</v>
      </c>
      <c r="O16" s="1" t="s">
        <v>126</v>
      </c>
      <c r="P16" s="1" t="s">
        <v>86</v>
      </c>
    </row>
    <row r="17" spans="2:8">
      <c r="B17" s="4">
        <v>401</v>
      </c>
      <c r="C17" s="4" t="s">
        <v>127</v>
      </c>
      <c r="D17" s="4" t="s">
        <v>93</v>
      </c>
      <c r="F17" s="1">
        <v>200600</v>
      </c>
      <c r="G17" s="1" t="s">
        <v>82</v>
      </c>
      <c r="H17" s="1" t="s">
        <v>128</v>
      </c>
    </row>
    <row r="18" spans="2:8">
      <c r="B18" s="4">
        <v>402</v>
      </c>
      <c r="C18" s="4" t="s">
        <v>129</v>
      </c>
      <c r="D18" s="4" t="s">
        <v>99</v>
      </c>
      <c r="F18" s="1">
        <v>200700</v>
      </c>
      <c r="G18" s="1" t="s">
        <v>82</v>
      </c>
      <c r="H18" s="1" t="s">
        <v>130</v>
      </c>
    </row>
    <row r="19" spans="2:14">
      <c r="B19" s="5">
        <v>501</v>
      </c>
      <c r="C19" s="5" t="s">
        <v>131</v>
      </c>
      <c r="D19" s="5" t="s">
        <v>132</v>
      </c>
      <c r="F19" s="1">
        <v>200800</v>
      </c>
      <c r="G19" s="1" t="s">
        <v>82</v>
      </c>
      <c r="H19" s="1" t="s">
        <v>133</v>
      </c>
      <c r="N19" s="5" t="s">
        <v>134</v>
      </c>
    </row>
    <row r="20" spans="2:16">
      <c r="B20" s="6">
        <v>502</v>
      </c>
      <c r="C20" s="6" t="s">
        <v>135</v>
      </c>
      <c r="D20" s="6" t="s">
        <v>136</v>
      </c>
      <c r="F20" s="1">
        <v>200900</v>
      </c>
      <c r="G20" s="1" t="s">
        <v>82</v>
      </c>
      <c r="H20" s="1" t="s">
        <v>137</v>
      </c>
      <c r="N20" s="8" t="s">
        <v>78</v>
      </c>
      <c r="O20" s="8" t="s">
        <v>79</v>
      </c>
      <c r="P20" s="8" t="s">
        <v>73</v>
      </c>
    </row>
    <row r="21" spans="2:16">
      <c r="B21" s="1">
        <v>601</v>
      </c>
      <c r="C21" s="1" t="s">
        <v>138</v>
      </c>
      <c r="D21" s="1" t="s">
        <v>139</v>
      </c>
      <c r="F21" s="1">
        <v>201000</v>
      </c>
      <c r="G21" s="1" t="s">
        <v>82</v>
      </c>
      <c r="H21" s="1" t="s">
        <v>140</v>
      </c>
      <c r="N21" s="1">
        <v>1022501</v>
      </c>
      <c r="O21" s="1" t="s">
        <v>54</v>
      </c>
      <c r="P21" s="1" t="s">
        <v>141</v>
      </c>
    </row>
    <row r="22" spans="2:16">
      <c r="B22" s="1">
        <v>602</v>
      </c>
      <c r="C22" s="1" t="s">
        <v>142</v>
      </c>
      <c r="D22" s="1" t="s">
        <v>143</v>
      </c>
      <c r="F22" s="1">
        <v>300100</v>
      </c>
      <c r="G22" s="1" t="s">
        <v>82</v>
      </c>
      <c r="H22" s="1" t="s">
        <v>144</v>
      </c>
      <c r="N22" s="1">
        <v>1022502</v>
      </c>
      <c r="O22" s="1" t="s">
        <v>91</v>
      </c>
      <c r="P22" s="1" t="s">
        <v>145</v>
      </c>
    </row>
    <row r="23" spans="6:16">
      <c r="F23" s="1">
        <v>300200</v>
      </c>
      <c r="G23" s="1" t="s">
        <v>82</v>
      </c>
      <c r="H23" s="1" t="s">
        <v>146</v>
      </c>
      <c r="N23" s="1">
        <v>1980000</v>
      </c>
      <c r="O23" s="1" t="s">
        <v>147</v>
      </c>
      <c r="P23" s="1" t="s">
        <v>148</v>
      </c>
    </row>
    <row r="24" spans="6:8">
      <c r="F24" s="1">
        <v>200100</v>
      </c>
      <c r="G24" s="1" t="s">
        <v>149</v>
      </c>
      <c r="H24" s="1" t="s">
        <v>150</v>
      </c>
    </row>
    <row r="25" spans="6:8">
      <c r="F25" s="1">
        <v>200101</v>
      </c>
      <c r="G25" s="1" t="s">
        <v>149</v>
      </c>
      <c r="H25" s="1" t="s">
        <v>151</v>
      </c>
    </row>
    <row r="26" spans="6:8">
      <c r="F26" s="1">
        <v>200300</v>
      </c>
      <c r="G26" s="1" t="s">
        <v>149</v>
      </c>
      <c r="H26" s="1" t="s">
        <v>152</v>
      </c>
    </row>
    <row r="27" spans="6:8">
      <c r="F27" s="1">
        <v>200400</v>
      </c>
      <c r="G27" s="1" t="s">
        <v>149</v>
      </c>
      <c r="H27" s="1" t="s">
        <v>153</v>
      </c>
    </row>
    <row r="28" spans="6:8">
      <c r="F28" s="1">
        <v>200500</v>
      </c>
      <c r="G28" s="1" t="s">
        <v>149</v>
      </c>
      <c r="H28" s="1" t="s">
        <v>154</v>
      </c>
    </row>
    <row r="29" spans="6:8">
      <c r="F29" s="1">
        <v>200600</v>
      </c>
      <c r="G29" s="1" t="s">
        <v>149</v>
      </c>
      <c r="H29" s="1" t="s">
        <v>155</v>
      </c>
    </row>
    <row r="30" spans="6:8">
      <c r="F30" s="1">
        <v>200700</v>
      </c>
      <c r="G30" s="1" t="s">
        <v>149</v>
      </c>
      <c r="H30" s="1" t="s">
        <v>156</v>
      </c>
    </row>
    <row r="31" spans="6:8">
      <c r="F31" s="1">
        <v>200800</v>
      </c>
      <c r="G31" s="1" t="s">
        <v>149</v>
      </c>
      <c r="H31" s="1" t="s">
        <v>157</v>
      </c>
    </row>
    <row r="32" spans="6:8">
      <c r="F32" s="1">
        <v>200900</v>
      </c>
      <c r="G32" s="1" t="s">
        <v>149</v>
      </c>
      <c r="H32" s="1" t="s">
        <v>158</v>
      </c>
    </row>
    <row r="33" spans="6:8">
      <c r="F33" s="1">
        <v>300200</v>
      </c>
      <c r="G33" s="1" t="s">
        <v>149</v>
      </c>
      <c r="H33" s="1" t="s">
        <v>159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task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2025-10-29T09:53:31Z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2052-12.1.0.23125</vt:lpwstr>
  </property>
</Properties>
</file>