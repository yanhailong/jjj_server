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common\"/>
    </mc:Choice>
  </mc:AlternateContent>
  <bookViews>
    <workbookView windowWidth="28800" windowHeight="11805"/>
  </bookViews>
  <sheets>
    <sheet name="task" sheetId="1" r:id="rId1"/>
    <sheet name="Sheet1" sheetId="2" r:id="rId2"/>
    <sheet name="Sheet2" sheetId="3" r:id="rId3"/>
    <sheet name="Sheet3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[积分大奖]任务
2. [主线]任务
3. [成就]任务
4. [多人]任务
5. [联盟]任务
6.新手赛季【试炼】任务
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相同任务类型，在当前时间下，任务组ID只会读取一个进行显示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 condition.xlsx 文件中的ID
充值类型的单位是分，比如要求充值9.99美元，需要填 999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根据活动结束要清除数据，单独字段配置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填写道具Item资源文件夹中的道具名称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读取jumpData.xlsx表中的ID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空值：表示默认数据
有日期：对应月份读取的数据，日期格式  “1号 - 9号”配置成“01 - 09” 2字符书写
</t>
        </r>
      </text>
    </comment>
    <comment ref="Q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1.当值为空或者0时，表示该任务没有品质
2.当值为1时，表示任务品质为-简单
3.当值为2时，表示任务品质为-中等
4.当值为3时，表示任务品质为-困难</t>
        </r>
      </text>
    </comment>
    <comment ref="R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当值为空时，表示没有时间上限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1.当值为false或空时，表示不能放弃；
2.当值为true时，表示可以放弃
</t>
        </r>
      </text>
    </comment>
    <comment ref="T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1.当值为空或0时，表示任务不能放弃，则没有放弃冷却时间；
2.当值为具体数值时，表示冷却时间，单位为妙</t>
        </r>
      </text>
    </comment>
    <comment ref="W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任务参与最低人数_任务参与最高人数</t>
        </r>
      </text>
    </comment>
    <comment ref="X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“jumpType” 字段没值时 才填写该值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B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[积分大奖]任务
</t>
        </r>
      </text>
    </comment>
    <comment ref="C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相同任务类型，在当前时间下，任务组ID只会读取一个进行显示</t>
        </r>
      </text>
    </comment>
    <comment ref="E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 condition.xlsx 文件中的ID</t>
        </r>
      </text>
    </comment>
    <comment ref="G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根据活动结束要清除数据，单独字段配置</t>
        </r>
      </text>
    </comment>
    <comment ref="H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填写道具Item资源文件夹中的道具名称</t>
        </r>
      </text>
    </comment>
    <comment ref="I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读取jumpData.xlsx表中的ID</t>
        </r>
      </text>
    </comment>
    <comment ref="K3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空值：表示默认数据
有日期：对应月份读取的数据，日期格式  “1号 - 9号”配置成“01 - 09” 2字符书写
</t>
        </r>
      </text>
    </comment>
    <comment ref="E4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如果是单笔充值类型，则值 = 金额*100  
例 值 = 9.99 *100 = 999 </t>
        </r>
      </text>
    </comment>
    <comment ref="E4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如果是单笔充值类型，则值 = 金额*100  
例 值 = 9.99 *100 = 999 </t>
        </r>
      </text>
    </comment>
    <comment ref="E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如果是单笔充值类型，则值 = 金额*100  
例 值 = 9.99 *100 = 999 </t>
        </r>
      </text>
    </comment>
    <comment ref="E4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如果是单笔充值类型，则值 = 金额*100  
例 值 = 9.99 *100 = 999 </t>
        </r>
      </text>
    </comment>
  </commentList>
</comments>
</file>

<file path=xl/sharedStrings.xml><?xml version="1.0" encoding="utf-8"?>
<sst xmlns="http://schemas.openxmlformats.org/spreadsheetml/2006/main" count="6546" uniqueCount="3157">
  <si>
    <t>任务ID</t>
  </si>
  <si>
    <t>任务类型</t>
  </si>
  <si>
    <t>#备注</t>
  </si>
  <si>
    <t>勋章ID</t>
  </si>
  <si>
    <t>任务组</t>
  </si>
  <si>
    <t>后置任务ID</t>
  </si>
  <si>
    <t>任务条件</t>
  </si>
  <si>
    <t>解锁功能ID</t>
  </si>
  <si>
    <t>道具奖励</t>
  </si>
  <si>
    <t>积分奖励</t>
  </si>
  <si>
    <t>积分ICON</t>
  </si>
  <si>
    <t>按钮跳转类型</t>
  </si>
  <si>
    <t>任务图标</t>
  </si>
  <si>
    <t>开启时间</t>
  </si>
  <si>
    <t>任务品质</t>
  </si>
  <si>
    <t>持续时间（分）</t>
  </si>
  <si>
    <t>是否允许放弃</t>
  </si>
  <si>
    <t>放弃的冷却时间（秒）</t>
  </si>
  <si>
    <t>任务描述</t>
  </si>
  <si>
    <t>赛季任务开启天数</t>
  </si>
  <si>
    <t>任务人数上下限</t>
  </si>
  <si>
    <t>任务没跳转目标的提示</t>
  </si>
  <si>
    <t>#任务描述</t>
  </si>
  <si>
    <t>价值</t>
  </si>
  <si>
    <t>int</t>
  </si>
  <si>
    <t>list&lt;long&gt;{_}</t>
  </si>
  <si>
    <t>map&lt;int{_}long&gt;{|}</t>
  </si>
  <si>
    <t>string</t>
  </si>
  <si>
    <t>boolean</t>
  </si>
  <si>
    <t>List&lt;int&gt;{_}</t>
  </si>
  <si>
    <t>id</t>
  </si>
  <si>
    <t>taskType</t>
  </si>
  <si>
    <t>BadgeID</t>
  </si>
  <si>
    <t>group</t>
  </si>
  <si>
    <t>taskConditionId</t>
  </si>
  <si>
    <t>FunctionId</t>
  </si>
  <si>
    <t>getItem</t>
  </si>
  <si>
    <t>integralNum</t>
  </si>
  <si>
    <t>integralIcon</t>
  </si>
  <si>
    <t>jumpType</t>
  </si>
  <si>
    <t>taskIcon</t>
  </si>
  <si>
    <t>time</t>
  </si>
  <si>
    <t>Quality</t>
  </si>
  <si>
    <t>Duration</t>
  </si>
  <si>
    <t>AllowAbandon</t>
  </si>
  <si>
    <t>AbandonCooldown</t>
  </si>
  <si>
    <t>language</t>
  </si>
  <si>
    <t>day</t>
  </si>
  <si>
    <t>MinandMax</t>
  </si>
  <si>
    <t>JumpTips</t>
  </si>
  <si>
    <t>积分大奖</t>
  </si>
  <si>
    <t>11002_300_0</t>
  </si>
  <si>
    <t>itemicon_1022504.png</t>
  </si>
  <si>
    <t>task_500001.png</t>
  </si>
  <si>
    <t>累積充值達到 3 $</t>
  </si>
  <si>
    <t>累计充值</t>
  </si>
  <si>
    <t xml:space="preserve">300 </t>
  </si>
  <si>
    <t>Cumulative top-up reaches 3 $</t>
  </si>
  <si>
    <t>Tích lũy nạp tiền đạt 3 $</t>
  </si>
  <si>
    <t>Recarga acumulada atinge 3 $</t>
  </si>
  <si>
    <t>11002_1400_0</t>
  </si>
  <si>
    <t>累積充值達到 14 $</t>
  </si>
  <si>
    <t xml:space="preserve">1,400 </t>
  </si>
  <si>
    <t>Cumulative top-up reaches 14 $</t>
  </si>
  <si>
    <t>Tích lũy nạp tiền đạt 14 $</t>
  </si>
  <si>
    <t>Recarga acumulada atinge 14 $</t>
  </si>
  <si>
    <t>11002_2800_0</t>
  </si>
  <si>
    <t>累積充值達到 28 $</t>
  </si>
  <si>
    <t xml:space="preserve">2,800 </t>
  </si>
  <si>
    <t>Cumulative top-up reaches 28 $</t>
  </si>
  <si>
    <t>Tích lũy nạp tiền đạt 28 $</t>
  </si>
  <si>
    <t>Recarga acumulada atinge 28 $</t>
  </si>
  <si>
    <t>11002_8500_0</t>
  </si>
  <si>
    <t>累積充值達到 85 $</t>
  </si>
  <si>
    <t xml:space="preserve">8,500 </t>
  </si>
  <si>
    <t>Cumulative top-up reaches 85 $</t>
  </si>
  <si>
    <t>Tích lũy nạp tiền đạt 85 $</t>
  </si>
  <si>
    <t>Recarga acumulada atinge 85 $</t>
  </si>
  <si>
    <t>11002_18700_0</t>
  </si>
  <si>
    <t>累積充值達到 187 $</t>
  </si>
  <si>
    <t xml:space="preserve">18,700 </t>
  </si>
  <si>
    <t>Cumulative top-up reaches 187 $</t>
  </si>
  <si>
    <t>Tích lũy nạp tiền đạt 187 $</t>
  </si>
  <si>
    <t>Recarga acumulada atinge 187 $</t>
  </si>
  <si>
    <t>11002_28300_0</t>
  </si>
  <si>
    <t>累積充值達到 283 $</t>
  </si>
  <si>
    <t xml:space="preserve">28,300 </t>
  </si>
  <si>
    <t>Cumulative top-up reaches 283 $</t>
  </si>
  <si>
    <t>Tích lũy nạp tiền đạt 283 $</t>
  </si>
  <si>
    <t>Recarga acumulada atinge 283 $</t>
  </si>
  <si>
    <t>12001_100700_144000</t>
  </si>
  <si>
    <t>task_100700.png</t>
  </si>
  <si>
    <t xml:space="preserve">在[麻将胡了]電子遊戲中，金币有效下注累積達到 144,000 </t>
  </si>
  <si>
    <t>游戏有效下注</t>
  </si>
  <si>
    <t>麻将胡了</t>
  </si>
  <si>
    <t xml:space="preserve">144,000 </t>
  </si>
  <si>
    <t>Mahjong Hu</t>
  </si>
  <si>
    <t xml:space="preserve">In the [Mahjong Hu] electronic game, the cumulative valid coin bets reach 144,000 </t>
  </si>
  <si>
    <t>Mạt chược</t>
  </si>
  <si>
    <t xml:space="preserve">Trong trò chơi [Mạt chược], tích lũy đặt cược hợp lệ tiền vàng đạt 144,000 </t>
  </si>
  <si>
    <t>Mahjong H</t>
  </si>
  <si>
    <t xml:space="preserve">No videogame [Mahjong H], as apostas válidas acumuladas em Moedas de Ouro atingem 144,000 </t>
  </si>
  <si>
    <t>12001_100300_144000</t>
  </si>
  <si>
    <t>task_100300.png</t>
  </si>
  <si>
    <t xml:space="preserve">在[超级明星]電子遊戲中，金币有效下注累積達到 144,000 </t>
  </si>
  <si>
    <t>超级明星</t>
  </si>
  <si>
    <t>Super Star</t>
  </si>
  <si>
    <t xml:space="preserve">In the [Super Star] electronic game, the cumulative valid coin bets reach 144,000 </t>
  </si>
  <si>
    <t>Siêu Sao</t>
  </si>
  <si>
    <t xml:space="preserve">Trong trò chơi [Siêu Sao], tích lũy đặt cược hợp lệ tiền vàng đạt 144,000 </t>
  </si>
  <si>
    <t xml:space="preserve">No videogame [Super Star], as apostas válidas acumuladas em Moedas de Ouro atingem 144,000 </t>
  </si>
  <si>
    <t>12001_101200_144000</t>
  </si>
  <si>
    <t>task_101200.png</t>
  </si>
  <si>
    <t xml:space="preserve">在[财神]電子遊戲中，金币有效下注累積達到 144,000 </t>
  </si>
  <si>
    <t>财神</t>
  </si>
  <si>
    <t>God of Wealth</t>
  </si>
  <si>
    <t xml:space="preserve">In the [God of Wealth] electronic game, the cumulative valid coin bets reach 144,000 </t>
  </si>
  <si>
    <t>Thần Tài</t>
  </si>
  <si>
    <t xml:space="preserve">Trong trò chơi [Thần Tài], tích lũy đặt cược hợp lệ tiền vàng đạt 144,000 </t>
  </si>
  <si>
    <t xml:space="preserve">No videogame [God of Wealth], as apostas válidas acumuladas em Moedas de Ouro atingem 144,000 </t>
  </si>
  <si>
    <t>12001_101400_144000</t>
  </si>
  <si>
    <t>task_101400.png</t>
  </si>
  <si>
    <t xml:space="preserve">在[埃及艳后]電子遊戲中，金币有效下注累積達到 144,000 </t>
  </si>
  <si>
    <t>埃及艳后</t>
  </si>
  <si>
    <t>Cleopatra</t>
  </si>
  <si>
    <t xml:space="preserve">In the [Cleopatra] electronic game, the cumulative valid coin bets reach 144,000 </t>
  </si>
  <si>
    <t>Nữ hoàng Ai Cập</t>
  </si>
  <si>
    <t xml:space="preserve">Trong trò chơi [Nữ hoàng Ai Cập], tích lũy đặt cược hợp lệ tiền vàng đạt 144,000 </t>
  </si>
  <si>
    <t>Cleópatra</t>
  </si>
  <si>
    <t xml:space="preserve">No videogame [Cleópatra], as apostas válidas acumuladas em Moedas de Ouro atingem 144,000 </t>
  </si>
  <si>
    <t>12001_0_144000</t>
  </si>
  <si>
    <t>task_500007.png</t>
  </si>
  <si>
    <t xml:space="preserve">在任意遊戲中，金币有效下注累積達到 144,000 </t>
  </si>
  <si>
    <t>任意有效下注</t>
  </si>
  <si>
    <t>通用</t>
  </si>
  <si>
    <t>any game</t>
  </si>
  <si>
    <t xml:space="preserve">In any game, the cumulative valid coin bets reach 144,000 </t>
  </si>
  <si>
    <t>bất kỳ</t>
  </si>
  <si>
    <t xml:space="preserve">Trong trò chơi [bất kỳ], tích lũy đặt cược hợp lệ tiền vàng đạt 144,000 </t>
  </si>
  <si>
    <t>qualquer jogo</t>
  </si>
  <si>
    <t xml:space="preserve">No videogame [qualquer jogo], as apostas válidas acumuladas em Moedas de Ouro atingem 144,000 </t>
  </si>
  <si>
    <t>12001_101700_144000</t>
  </si>
  <si>
    <t>task_101700.png</t>
  </si>
  <si>
    <t xml:space="preserve">在[圣诞狂欢夜]電子遊戲中，金币有效下注累積達到 144,000 </t>
  </si>
  <si>
    <t>圣诞狂欢夜</t>
  </si>
  <si>
    <t xml:space="preserve">Christmas Eve Party </t>
  </si>
  <si>
    <t xml:space="preserve">In the [Christmas Eve Party ] electronic game, the cumulative valid coin bets reach 144,000 </t>
  </si>
  <si>
    <t>Đại tiệc Giáng Sinh</t>
  </si>
  <si>
    <t xml:space="preserve">Trong trò chơi [Đại tiệc Giáng Sinh], tích lũy đặt cược hợp lệ tiền vàng đạt 144,000 </t>
  </si>
  <si>
    <t>Noite de festa de Natal</t>
  </si>
  <si>
    <t xml:space="preserve">No videogame [Noite de festa de Natal], as apostas válidas acumuladas em Moedas de Ouro atingem 144,000 </t>
  </si>
  <si>
    <t>12001_102100_144000</t>
  </si>
  <si>
    <t>task_102100.png</t>
  </si>
  <si>
    <t xml:space="preserve">在[杰克船长]電子遊戲中，金币有效下注累積達到 144,000 </t>
  </si>
  <si>
    <t>杰克船长</t>
  </si>
  <si>
    <t>Captain Jack</t>
  </si>
  <si>
    <t xml:space="preserve">In the [Captain Jack] electronic game, the cumulative valid coin bets reach 144,000 </t>
  </si>
  <si>
    <t>Thuyền trưởng Jack</t>
  </si>
  <si>
    <t xml:space="preserve">Trong trò chơi [Thuyền trưởng Jack], tích lũy đặt cược hợp lệ tiền vàng đạt 144,000 </t>
  </si>
  <si>
    <t>Capitão Jack</t>
  </si>
  <si>
    <t xml:space="preserve">No videogame [Capitão Jack], as apostas válidas acumuladas em Moedas de Ouro atingem 144,000 </t>
  </si>
  <si>
    <t>12001_102200_144000</t>
  </si>
  <si>
    <t>task_102200.png</t>
  </si>
  <si>
    <t xml:space="preserve">在[雷神]電子遊戲中，金币有效下注累積達到 144,000 </t>
  </si>
  <si>
    <t>雷神</t>
  </si>
  <si>
    <t>Thor</t>
  </si>
  <si>
    <t xml:space="preserve">In the [Thor] electronic game, the cumulative valid coin bets reach 144,000 </t>
  </si>
  <si>
    <t>Thần Sấm</t>
  </si>
  <si>
    <t xml:space="preserve">Trong trò chơi [Thần Sấm], tích lũy đặt cược hợp lệ tiền vàng đạt 144,000 </t>
  </si>
  <si>
    <t xml:space="preserve">No videogame [Thor], as apostas válidas acumuladas em Moedas de Ouro atingem 144,000 </t>
  </si>
  <si>
    <t>12001_102300_144000</t>
  </si>
  <si>
    <t>task_102300.png</t>
  </si>
  <si>
    <t xml:space="preserve">在[蒸汽时代]電子遊戲中，金币有效下注累積達到 144,000 </t>
  </si>
  <si>
    <t>蒸汽时代</t>
  </si>
  <si>
    <t>Steam Era</t>
  </si>
  <si>
    <t xml:space="preserve">In the [Steam Era] electronic game, the cumulative valid coin bets reach 144,000 </t>
  </si>
  <si>
    <t>Kỷ nguyên hơi nước</t>
  </si>
  <si>
    <t xml:space="preserve">Trong trò chơi [Kỷ nguyên hơi nước], tích lũy đặt cược hợp lệ tiền vàng đạt 144,000 </t>
  </si>
  <si>
    <t>Era do Vapor</t>
  </si>
  <si>
    <t xml:space="preserve">No videogame [Era do Vapor], as apostas válidas acumuladas em Moedas de Ouro atingem 144,000 </t>
  </si>
  <si>
    <t>12001_102400_144000</t>
  </si>
  <si>
    <t>task_102400.png</t>
  </si>
  <si>
    <t xml:space="preserve">在[财富银行]電子遊戲中，金币有效下注累積達到 144,000 </t>
  </si>
  <si>
    <t>财富银行</t>
  </si>
  <si>
    <t>Wealth Bank</t>
  </si>
  <si>
    <t xml:space="preserve">In the [Wealth Bank] electronic game, the cumulative valid coin bets reach 144,000 </t>
  </si>
  <si>
    <t>Ngân Hàng</t>
  </si>
  <si>
    <t xml:space="preserve">Trong trò chơi [Ngân Hàng], tích lũy đặt cược hợp lệ tiền vàng đạt 144,000 </t>
  </si>
  <si>
    <t>Banco da Riqueza</t>
  </si>
  <si>
    <t xml:space="preserve">No videogame [Banco da Riqueza], as apostas válidas acumuladas em Moedas de Ouro atingem 144,000 </t>
  </si>
  <si>
    <t>12001_100700_713000</t>
  </si>
  <si>
    <t xml:space="preserve">在[麻将胡了]電子遊戲中，金币有效下注累積達到 713,000 </t>
  </si>
  <si>
    <t xml:space="preserve">713,000 </t>
  </si>
  <si>
    <t xml:space="preserve">In the [Mahjong Hu] electronic game, the cumulative valid coin bets reach 713,000 </t>
  </si>
  <si>
    <t xml:space="preserve">Trong trò chơi [Mạt chược], tích lũy đặt cược hợp lệ tiền vàng đạt 713,000 </t>
  </si>
  <si>
    <t xml:space="preserve">No videogame [Mahjong H], as apostas válidas acumuladas em Moedas de Ouro atingem 713,000 </t>
  </si>
  <si>
    <t>12001_100300_713000</t>
  </si>
  <si>
    <t xml:space="preserve">在[超级明星]電子遊戲中，金币有效下注累積達到 713,000 </t>
  </si>
  <si>
    <t xml:space="preserve">In the [Super Star] electronic game, the cumulative valid coin bets reach 713,000 </t>
  </si>
  <si>
    <t xml:space="preserve">Trong trò chơi [Siêu Sao], tích lũy đặt cược hợp lệ tiền vàng đạt 713,000 </t>
  </si>
  <si>
    <t xml:space="preserve">No videogame [Super Star], as apostas válidas acumuladas em Moedas de Ouro atingem 713,000 </t>
  </si>
  <si>
    <t>12001_101200_713000</t>
  </si>
  <si>
    <t xml:space="preserve">在[财神]電子遊戲中，金币有效下注累積達到 713,000 </t>
  </si>
  <si>
    <t xml:space="preserve">In the [God of Wealth] electronic game, the cumulative valid coin bets reach 713,000 </t>
  </si>
  <si>
    <t xml:space="preserve">Trong trò chơi [Thần Tài], tích lũy đặt cược hợp lệ tiền vàng đạt 713,000 </t>
  </si>
  <si>
    <t xml:space="preserve">No videogame [God of Wealth], as apostas válidas acumuladas em Moedas de Ouro atingem 713,000 </t>
  </si>
  <si>
    <t>12001_101400_713000</t>
  </si>
  <si>
    <t xml:space="preserve">在[埃及艳后]電子遊戲中，金币有效下注累積達到 713,000 </t>
  </si>
  <si>
    <t xml:space="preserve">In the [Cleopatra] electronic game, the cumulative valid coin bets reach 713,000 </t>
  </si>
  <si>
    <t xml:space="preserve">Trong trò chơi [Nữ hoàng Ai Cập], tích lũy đặt cược hợp lệ tiền vàng đạt 713,000 </t>
  </si>
  <si>
    <t xml:space="preserve">No videogame [Cleópatra], as apostas válidas acumuladas em Moedas de Ouro atingem 713,000 </t>
  </si>
  <si>
    <t>12001_0_713000</t>
  </si>
  <si>
    <t xml:space="preserve">在任意遊戲中，金币有效下注累積達到 713,000 </t>
  </si>
  <si>
    <t xml:space="preserve">In any game, the cumulative valid coin bets reach 713,000 </t>
  </si>
  <si>
    <t xml:space="preserve">Trong trò chơi [bất kỳ], tích lũy đặt cược hợp lệ tiền vàng đạt 713,000 </t>
  </si>
  <si>
    <t xml:space="preserve">No videogame [qualquer jogo], as apostas válidas acumuladas em Moedas de Ouro atingem 713,000 </t>
  </si>
  <si>
    <t>12001_101700_713000</t>
  </si>
  <si>
    <t xml:space="preserve">在[圣诞狂欢夜]電子遊戲中，金币有效下注累積達到 713,000 </t>
  </si>
  <si>
    <t xml:space="preserve">In the [Christmas Eve Party ] electronic game, the cumulative valid coin bets reach 713,000 </t>
  </si>
  <si>
    <t xml:space="preserve">Trong trò chơi [Đại tiệc Giáng Sinh], tích lũy đặt cược hợp lệ tiền vàng đạt 713,000 </t>
  </si>
  <si>
    <t xml:space="preserve">No videogame [Noite de festa de Natal], as apostas válidas acumuladas em Moedas de Ouro atingem 713,000 </t>
  </si>
  <si>
    <t>12001_102100_713000</t>
  </si>
  <si>
    <t xml:space="preserve">在[杰克船长]電子遊戲中，金币有效下注累積達到 713,000 </t>
  </si>
  <si>
    <t xml:space="preserve">In the [Captain Jack] electronic game, the cumulative valid coin bets reach 713,000 </t>
  </si>
  <si>
    <t xml:space="preserve">Trong trò chơi [Thuyền trưởng Jack], tích lũy đặt cược hợp lệ tiền vàng đạt 713,000 </t>
  </si>
  <si>
    <t xml:space="preserve">No videogame [Capitão Jack], as apostas válidas acumuladas em Moedas de Ouro atingem 713,000 </t>
  </si>
  <si>
    <t>12001_102200_713000</t>
  </si>
  <si>
    <t xml:space="preserve">在[雷神]電子遊戲中，金币有效下注累積達到 713,000 </t>
  </si>
  <si>
    <t xml:space="preserve">In the [Thor] electronic game, the cumulative valid coin bets reach 713,000 </t>
  </si>
  <si>
    <t xml:space="preserve">Trong trò chơi [Thần Sấm], tích lũy đặt cược hợp lệ tiền vàng đạt 713,000 </t>
  </si>
  <si>
    <t xml:space="preserve">No videogame [Thor], as apostas válidas acumuladas em Moedas de Ouro atingem 713,000 </t>
  </si>
  <si>
    <t>12001_102300_713000</t>
  </si>
  <si>
    <t xml:space="preserve">在[蒸汽时代]電子遊戲中，金币有效下注累積達到 713,000 </t>
  </si>
  <si>
    <t xml:space="preserve">In the [Steam Era] electronic game, the cumulative valid coin bets reach 713,000 </t>
  </si>
  <si>
    <t xml:space="preserve">Trong trò chơi [Kỷ nguyên hơi nước], tích lũy đặt cược hợp lệ tiền vàng đạt 713,000 </t>
  </si>
  <si>
    <t xml:space="preserve">No videogame [Era do Vapor], as apostas válidas acumuladas em Moedas de Ouro atingem 713,000 </t>
  </si>
  <si>
    <t>12001_102400_713000</t>
  </si>
  <si>
    <t xml:space="preserve">在[财富银行]電子遊戲中，金币有效下注累積達到 713,000 </t>
  </si>
  <si>
    <t xml:space="preserve">In the [Wealth Bank] electronic game, the cumulative valid coin bets reach 713,000 </t>
  </si>
  <si>
    <t xml:space="preserve">Trong trò chơi [Ngân Hàng], tích lũy đặt cược hợp lệ tiền vàng đạt 713,000 </t>
  </si>
  <si>
    <t xml:space="preserve">No videogame [Banco da Riqueza], as apostas válidas acumuladas em Moedas de Ouro atingem 713,000 </t>
  </si>
  <si>
    <t>12001_100700_2138000</t>
  </si>
  <si>
    <t xml:space="preserve">在[麻将胡了]電子遊戲中，金币有效下注累積達到 2,138,000 </t>
  </si>
  <si>
    <t xml:space="preserve">2,138,000 </t>
  </si>
  <si>
    <t xml:space="preserve">In the [Mahjong Hu] electronic game, the cumulative valid coin bets reach 2,138,000 </t>
  </si>
  <si>
    <t xml:space="preserve">Trong trò chơi [Mạt chược], tích lũy đặt cược hợp lệ tiền vàng đạt 2,138,000 </t>
  </si>
  <si>
    <t xml:space="preserve">No videogame [Mahjong H], as apostas válidas acumuladas em Moedas de Ouro atingem 2,138,000 </t>
  </si>
  <si>
    <t>12001_100300_2138000</t>
  </si>
  <si>
    <t xml:space="preserve">在[超级明星]電子遊戲中，金币有效下注累積達到 2,138,000 </t>
  </si>
  <si>
    <t xml:space="preserve">In the [Super Star] electronic game, the cumulative valid coin bets reach 2,138,000 </t>
  </si>
  <si>
    <t xml:space="preserve">Trong trò chơi [Siêu Sao], tích lũy đặt cược hợp lệ tiền vàng đạt 2,138,000 </t>
  </si>
  <si>
    <t xml:space="preserve">No videogame [Super Star], as apostas válidas acumuladas em Moedas de Ouro atingem 2,138,000 </t>
  </si>
  <si>
    <t>12001_101200_2138000</t>
  </si>
  <si>
    <t xml:space="preserve">在[财神]電子遊戲中，金币有效下注累積達到 2,138,000 </t>
  </si>
  <si>
    <t xml:space="preserve">In the [God of Wealth] electronic game, the cumulative valid coin bets reach 2,138,000 </t>
  </si>
  <si>
    <t xml:space="preserve">Trong trò chơi [Thần Tài], tích lũy đặt cược hợp lệ tiền vàng đạt 2,138,000 </t>
  </si>
  <si>
    <t xml:space="preserve">No videogame [God of Wealth], as apostas válidas acumuladas em Moedas de Ouro atingem 2,138,000 </t>
  </si>
  <si>
    <t>12001_101400_2138000</t>
  </si>
  <si>
    <t xml:space="preserve">在[埃及艳后]電子遊戲中，金币有效下注累積達到 2,138,000 </t>
  </si>
  <si>
    <t xml:space="preserve">In the [Cleopatra] electronic game, the cumulative valid coin bets reach 2,138,000 </t>
  </si>
  <si>
    <t xml:space="preserve">Trong trò chơi [Nữ hoàng Ai Cập], tích lũy đặt cược hợp lệ tiền vàng đạt 2,138,000 </t>
  </si>
  <si>
    <t xml:space="preserve">No videogame [Cleópatra], as apostas válidas acumuladas em Moedas de Ouro atingem 2,138,000 </t>
  </si>
  <si>
    <t>12001_0_2138000</t>
  </si>
  <si>
    <t xml:space="preserve">在任意遊戲中，金币有效下注累積達到 2,138,000 </t>
  </si>
  <si>
    <t xml:space="preserve">In any game, the cumulative valid coin bets reach 2,138,000 </t>
  </si>
  <si>
    <t xml:space="preserve">Trong trò chơi [bất kỳ], tích lũy đặt cược hợp lệ tiền vàng đạt 2,138,000 </t>
  </si>
  <si>
    <t xml:space="preserve">No videogame [qualquer jogo], as apostas válidas acumuladas em Moedas de Ouro atingem 2,138,000 </t>
  </si>
  <si>
    <t>12001_101700_2138000</t>
  </si>
  <si>
    <t xml:space="preserve">在[圣诞狂欢夜]電子遊戲中，金币有效下注累積達到 2,138,000 </t>
  </si>
  <si>
    <t xml:space="preserve">In the [Christmas Eve Party ] electronic game, the cumulative valid coin bets reach 2,138,000 </t>
  </si>
  <si>
    <t xml:space="preserve">Trong trò chơi [Đại tiệc Giáng Sinh], tích lũy đặt cược hợp lệ tiền vàng đạt 2,138,000 </t>
  </si>
  <si>
    <t xml:space="preserve">No videogame [Noite de festa de Natal], as apostas válidas acumuladas em Moedas de Ouro atingem 2,138,000 </t>
  </si>
  <si>
    <t>12001_102100_2138000</t>
  </si>
  <si>
    <t xml:space="preserve">在[杰克船长]電子遊戲中，金币有效下注累積達到 2,138,000 </t>
  </si>
  <si>
    <t xml:space="preserve">In the [Captain Jack] electronic game, the cumulative valid coin bets reach 2,138,000 </t>
  </si>
  <si>
    <t xml:space="preserve">Trong trò chơi [Thuyền trưởng Jack], tích lũy đặt cược hợp lệ tiền vàng đạt 2,138,000 </t>
  </si>
  <si>
    <t xml:space="preserve">No videogame [Capitão Jack], as apostas válidas acumuladas em Moedas de Ouro atingem 2,138,000 </t>
  </si>
  <si>
    <t>12001_102200_2138000</t>
  </si>
  <si>
    <t xml:space="preserve">在[雷神]電子遊戲中，金币有效下注累積達到 2,138,000 </t>
  </si>
  <si>
    <t xml:space="preserve">In the [Thor] electronic game, the cumulative valid coin bets reach 2,138,000 </t>
  </si>
  <si>
    <t xml:space="preserve">Trong trò chơi [Thần Sấm], tích lũy đặt cược hợp lệ tiền vàng đạt 2,138,000 </t>
  </si>
  <si>
    <t xml:space="preserve">No videogame [Thor], as apostas válidas acumuladas em Moedas de Ouro atingem 2,138,000 </t>
  </si>
  <si>
    <t>12001_102300_2138000</t>
  </si>
  <si>
    <t xml:space="preserve">在[蒸汽时代]電子遊戲中，金币有效下注累積達到 2,138,000 </t>
  </si>
  <si>
    <t xml:space="preserve">In the [Steam Era] electronic game, the cumulative valid coin bets reach 2,138,000 </t>
  </si>
  <si>
    <t xml:space="preserve">Trong trò chơi [Kỷ nguyên hơi nước], tích lũy đặt cược hợp lệ tiền vàng đạt 2,138,000 </t>
  </si>
  <si>
    <t xml:space="preserve">No videogame [Era do Vapor], as apostas válidas acumuladas em Moedas de Ouro atingem 2,138,000 </t>
  </si>
  <si>
    <t>12001_102400_2138000</t>
  </si>
  <si>
    <t xml:space="preserve">在[财富银行]電子遊戲中，金币有效下注累積達到 2,138,000 </t>
  </si>
  <si>
    <t xml:space="preserve">In the [Wealth Bank] electronic game, the cumulative valid coin bets reach 2,138,000 </t>
  </si>
  <si>
    <t xml:space="preserve">Trong trò chơi [Ngân Hàng], tích lũy đặt cược hợp lệ tiền vàng đạt 2,138,000 </t>
  </si>
  <si>
    <t xml:space="preserve">No videogame [Banco da Riqueza], as apostas válidas acumuladas em Moedas de Ouro atingem 2,138,000 </t>
  </si>
  <si>
    <t>12001_100700_4277000</t>
  </si>
  <si>
    <t xml:space="preserve">在[麻将胡了]電子遊戲中，金币有效下注累積達到 4,277,000 </t>
  </si>
  <si>
    <t xml:space="preserve">4,277,000 </t>
  </si>
  <si>
    <t xml:space="preserve">In the [Mahjong Hu] electronic game, the cumulative valid coin bets reach 4,277,000 </t>
  </si>
  <si>
    <t xml:space="preserve">Trong trò chơi [Mạt chược], tích lũy đặt cược hợp lệ tiền vàng đạt 4,277,000 </t>
  </si>
  <si>
    <t xml:space="preserve">No videogame [Mahjong H], as apostas válidas acumuladas em Moedas de Ouro atingem 4,277,000 </t>
  </si>
  <si>
    <t>12001_100300_4277000</t>
  </si>
  <si>
    <t xml:space="preserve">在[超级明星]電子遊戲中，金币有效下注累積達到 4,277,000 </t>
  </si>
  <si>
    <t xml:space="preserve">In the [Super Star] electronic game, the cumulative valid coin bets reach 4,277,000 </t>
  </si>
  <si>
    <t xml:space="preserve">Trong trò chơi [Siêu Sao], tích lũy đặt cược hợp lệ tiền vàng đạt 4,277,000 </t>
  </si>
  <si>
    <t xml:space="preserve">No videogame [Super Star], as apostas válidas acumuladas em Moedas de Ouro atingem 4,277,000 </t>
  </si>
  <si>
    <t>12001_101200_4277000</t>
  </si>
  <si>
    <t xml:space="preserve">在[财神]電子遊戲中，金币有效下注累積達到 4,277,000 </t>
  </si>
  <si>
    <t xml:space="preserve">In the [God of Wealth] electronic game, the cumulative valid coin bets reach 4,277,000 </t>
  </si>
  <si>
    <t xml:space="preserve">Trong trò chơi [Thần Tài], tích lũy đặt cược hợp lệ tiền vàng đạt 4,277,000 </t>
  </si>
  <si>
    <t xml:space="preserve">No videogame [God of Wealth], as apostas válidas acumuladas em Moedas de Ouro atingem 4,277,000 </t>
  </si>
  <si>
    <t>12001_101400_4277000</t>
  </si>
  <si>
    <t xml:space="preserve">在[埃及艳后]電子遊戲中，金币有效下注累積達到 4,277,000 </t>
  </si>
  <si>
    <t xml:space="preserve">In the [Cleopatra] electronic game, the cumulative valid coin bets reach 4,277,000 </t>
  </si>
  <si>
    <t xml:space="preserve">Trong trò chơi [Nữ hoàng Ai Cập], tích lũy đặt cược hợp lệ tiền vàng đạt 4,277,000 </t>
  </si>
  <si>
    <t xml:space="preserve">No videogame [Cleópatra], as apostas válidas acumuladas em Moedas de Ouro atingem 4,277,000 </t>
  </si>
  <si>
    <t>12001_0_4277000</t>
  </si>
  <si>
    <t xml:space="preserve">在任意遊戲中，金币有效下注累積達到 4,277,000 </t>
  </si>
  <si>
    <t xml:space="preserve">In any game, the cumulative valid coin bets reach 4,277,000 </t>
  </si>
  <si>
    <t xml:space="preserve">Trong trò chơi [bất kỳ], tích lũy đặt cược hợp lệ tiền vàng đạt 4,277,000 </t>
  </si>
  <si>
    <t xml:space="preserve">No videogame [qualquer jogo], as apostas válidas acumuladas em Moedas de Ouro atingem 4,277,000 </t>
  </si>
  <si>
    <t>12001_101700_4277000</t>
  </si>
  <si>
    <t xml:space="preserve">在[圣诞狂欢夜]電子遊戲中，金币有效下注累積達到 4,277,000 </t>
  </si>
  <si>
    <t xml:space="preserve">In the [Christmas Eve Party ] electronic game, the cumulative valid coin bets reach 4,277,000 </t>
  </si>
  <si>
    <t xml:space="preserve">Trong trò chơi [Đại tiệc Giáng Sinh], tích lũy đặt cược hợp lệ tiền vàng đạt 4,277,000 </t>
  </si>
  <si>
    <t xml:space="preserve">No videogame [Noite de festa de Natal], as apostas válidas acumuladas em Moedas de Ouro atingem 4,277,000 </t>
  </si>
  <si>
    <t>12001_102100_4277000</t>
  </si>
  <si>
    <t xml:space="preserve">在[杰克船长]電子遊戲中，金币有效下注累積達到 4,277,000 </t>
  </si>
  <si>
    <t xml:space="preserve">In the [Captain Jack] electronic game, the cumulative valid coin bets reach 4,277,000 </t>
  </si>
  <si>
    <t xml:space="preserve">Trong trò chơi [Thuyền trưởng Jack], tích lũy đặt cược hợp lệ tiền vàng đạt 4,277,000 </t>
  </si>
  <si>
    <t xml:space="preserve">No videogame [Capitão Jack], as apostas válidas acumuladas em Moedas de Ouro atingem 4,277,000 </t>
  </si>
  <si>
    <t>12001_102200_4277000</t>
  </si>
  <si>
    <t xml:space="preserve">在[雷神]電子遊戲中，金币有效下注累積達到 4,277,000 </t>
  </si>
  <si>
    <t xml:space="preserve">In the [Thor] electronic game, the cumulative valid coin bets reach 4,277,000 </t>
  </si>
  <si>
    <t xml:space="preserve">Trong trò chơi [Thần Sấm], tích lũy đặt cược hợp lệ tiền vàng đạt 4,277,000 </t>
  </si>
  <si>
    <t xml:space="preserve">No videogame [Thor], as apostas válidas acumuladas em Moedas de Ouro atingem 4,277,000 </t>
  </si>
  <si>
    <t>12001_102300_4277000</t>
  </si>
  <si>
    <t xml:space="preserve">在[蒸汽时代]電子遊戲中，金币有效下注累積達到 4,277,000 </t>
  </si>
  <si>
    <t xml:space="preserve">In the [Steam Era] electronic game, the cumulative valid coin bets reach 4,277,000 </t>
  </si>
  <si>
    <t xml:space="preserve">Trong trò chơi [Kỷ nguyên hơi nước], tích lũy đặt cược hợp lệ tiền vàng đạt 4,277,000 </t>
  </si>
  <si>
    <t xml:space="preserve">No videogame [Era do Vapor], as apostas válidas acumuladas em Moedas de Ouro atingem 4,277,000 </t>
  </si>
  <si>
    <t>12001_102400_4277000</t>
  </si>
  <si>
    <t xml:space="preserve">在[财富银行]電子遊戲中，金币有效下注累積達到 4,277,000 </t>
  </si>
  <si>
    <t xml:space="preserve">In the [Wealth Bank] electronic game, the cumulative valid coin bets reach 4,277,000 </t>
  </si>
  <si>
    <t xml:space="preserve">Trong trò chơi [Ngân Hàng], tích lũy đặt cược hợp lệ tiền vàng đạt 4,277,000 </t>
  </si>
  <si>
    <t xml:space="preserve">No videogame [Banco da Riqueza], as apostas válidas acumuladas em Moedas de Ouro atingem 4,277,000 </t>
  </si>
  <si>
    <t>12001_100700_7128000</t>
  </si>
  <si>
    <t xml:space="preserve">在[麻将胡了]電子遊戲中，金币有效下注累積達到 7,128,000 </t>
  </si>
  <si>
    <t xml:space="preserve">7,128,000 </t>
  </si>
  <si>
    <t xml:space="preserve">In the [Mahjong Hu] electronic game, the cumulative valid coin bets reach 7,128,000 </t>
  </si>
  <si>
    <t xml:space="preserve">Trong trò chơi [Mạt chược], tích lũy đặt cược hợp lệ tiền vàng đạt 7,128,000 </t>
  </si>
  <si>
    <t xml:space="preserve">No videogame [Mahjong H], as apostas válidas acumuladas em Moedas de Ouro atingem 7,128,000 </t>
  </si>
  <si>
    <t>12001_100300_7128000</t>
  </si>
  <si>
    <t xml:space="preserve">在[超级明星]電子遊戲中，金币有效下注累積達到 7,128,000 </t>
  </si>
  <si>
    <t xml:space="preserve">In the [Super Star] electronic game, the cumulative valid coin bets reach 7,128,000 </t>
  </si>
  <si>
    <t xml:space="preserve">Trong trò chơi [Siêu Sao], tích lũy đặt cược hợp lệ tiền vàng đạt 7,128,000 </t>
  </si>
  <si>
    <t xml:space="preserve">No videogame [Super Star], as apostas válidas acumuladas em Moedas de Ouro atingem 7,128,000 </t>
  </si>
  <si>
    <t>12001_101200_7128000</t>
  </si>
  <si>
    <t xml:space="preserve">在[财神]電子遊戲中，金币有效下注累積達到 7,128,000 </t>
  </si>
  <si>
    <t xml:space="preserve">In the [God of Wealth] electronic game, the cumulative valid coin bets reach 7,128,000 </t>
  </si>
  <si>
    <t xml:space="preserve">Trong trò chơi [Thần Tài], tích lũy đặt cược hợp lệ tiền vàng đạt 7,128,000 </t>
  </si>
  <si>
    <t xml:space="preserve">No videogame [God of Wealth], as apostas válidas acumuladas em Moedas de Ouro atingem 7,128,000 </t>
  </si>
  <si>
    <t>12001_101400_7128000</t>
  </si>
  <si>
    <t xml:space="preserve">在[埃及艳后]電子遊戲中，金币有效下注累積達到 7,128,000 </t>
  </si>
  <si>
    <t xml:space="preserve">In the [Cleopatra] electronic game, the cumulative valid coin bets reach 7,128,000 </t>
  </si>
  <si>
    <t xml:space="preserve">Trong trò chơi [Nữ hoàng Ai Cập], tích lũy đặt cược hợp lệ tiền vàng đạt 7,128,000 </t>
  </si>
  <si>
    <t xml:space="preserve">No videogame [Cleópatra], as apostas válidas acumuladas em Moedas de Ouro atingem 7,128,000 </t>
  </si>
  <si>
    <t>12001_0_7128000</t>
  </si>
  <si>
    <t xml:space="preserve">在任意遊戲中，金币有效下注累積達到 7,128,000 </t>
  </si>
  <si>
    <t xml:space="preserve">In any game, the cumulative valid coin bets reach 7,128,000 </t>
  </si>
  <si>
    <t xml:space="preserve">Trong trò chơi [bất kỳ], tích lũy đặt cược hợp lệ tiền vàng đạt 7,128,000 </t>
  </si>
  <si>
    <t xml:space="preserve">No videogame [qualquer jogo], as apostas válidas acumuladas em Moedas de Ouro atingem 7,128,000 </t>
  </si>
  <si>
    <t>12001_101700_7128000</t>
  </si>
  <si>
    <t xml:space="preserve">在[圣诞狂欢夜]電子遊戲中，金币有效下注累積達到 7,128,000 </t>
  </si>
  <si>
    <t xml:space="preserve">In the [Christmas Eve Party ] electronic game, the cumulative valid coin bets reach 7,128,000 </t>
  </si>
  <si>
    <t xml:space="preserve">Trong trò chơi [Đại tiệc Giáng Sinh], tích lũy đặt cược hợp lệ tiền vàng đạt 7,128,000 </t>
  </si>
  <si>
    <t xml:space="preserve">No videogame [Noite de festa de Natal], as apostas válidas acumuladas em Moedas de Ouro atingem 7,128,000 </t>
  </si>
  <si>
    <t>12001_102100_7128000</t>
  </si>
  <si>
    <t xml:space="preserve">在[杰克船长]電子遊戲中，金币有效下注累積達到 7,128,000 </t>
  </si>
  <si>
    <t xml:space="preserve">In the [Captain Jack] electronic game, the cumulative valid coin bets reach 7,128,000 </t>
  </si>
  <si>
    <t xml:space="preserve">Trong trò chơi [Thuyền trưởng Jack], tích lũy đặt cược hợp lệ tiền vàng đạt 7,128,000 </t>
  </si>
  <si>
    <t xml:space="preserve">No videogame [Capitão Jack], as apostas válidas acumuladas em Moedas de Ouro atingem 7,128,000 </t>
  </si>
  <si>
    <t>12001_102200_7128000</t>
  </si>
  <si>
    <t xml:space="preserve">在[雷神]電子遊戲中，金币有效下注累積達到 7,128,000 </t>
  </si>
  <si>
    <t xml:space="preserve">In the [Thor] electronic game, the cumulative valid coin bets reach 7,128,000 </t>
  </si>
  <si>
    <t xml:space="preserve">Trong trò chơi [Thần Sấm], tích lũy đặt cược hợp lệ tiền vàng đạt 7,128,000 </t>
  </si>
  <si>
    <t xml:space="preserve">No videogame [Thor], as apostas válidas acumuladas em Moedas de Ouro atingem 7,128,000 </t>
  </si>
  <si>
    <t>12001_102300_7128000</t>
  </si>
  <si>
    <t xml:space="preserve">在[蒸汽时代]電子遊戲中，金币有效下注累積達到 7,128,000 </t>
  </si>
  <si>
    <t xml:space="preserve">In the [Steam Era] electronic game, the cumulative valid coin bets reach 7,128,000 </t>
  </si>
  <si>
    <t xml:space="preserve">Trong trò chơi [Kỷ nguyên hơi nước], tích lũy đặt cược hợp lệ tiền vàng đạt 7,128,000 </t>
  </si>
  <si>
    <t xml:space="preserve">No videogame [Era do Vapor], as apostas válidas acumuladas em Moedas de Ouro atingem 7,128,000 </t>
  </si>
  <si>
    <t>12001_102400_7128000</t>
  </si>
  <si>
    <t xml:space="preserve">在[财富银行]電子遊戲中，金币有效下注累積達到 7,128,000 </t>
  </si>
  <si>
    <t xml:space="preserve">In the [Wealth Bank] electronic game, the cumulative valid coin bets reach 7,128,000 </t>
  </si>
  <si>
    <t xml:space="preserve">Trong trò chơi [Ngân Hàng], tích lũy đặt cược hợp lệ tiền vàng đạt 7,128,000 </t>
  </si>
  <si>
    <t xml:space="preserve">No videogame [Banco da Riqueza], as apostas válidas acumuladas em Moedas de Ouro atingem 7,128,000 </t>
  </si>
  <si>
    <t>10003_100700_1_400000_1990000</t>
  </si>
  <si>
    <t xml:space="preserve">在[麻将胡了]電子遊戲中，金币累積贏獎達到 400,000 </t>
  </si>
  <si>
    <t>游戏累计赢奖</t>
  </si>
  <si>
    <t xml:space="preserve">400,000 </t>
  </si>
  <si>
    <t xml:space="preserve">In the [Mahjong Hu] electronic game, the accumulated coin winnings have reached 400,000 </t>
  </si>
  <si>
    <t xml:space="preserve">Trong trò chơi [Mạt chược], tổng số vàng thắng được đạt 400,000 </t>
  </si>
  <si>
    <t xml:space="preserve">No jogo [Mahjong H], o total de moedas de ouro ganhas atingiu 400,000 </t>
  </si>
  <si>
    <t>10003_100300_1_400000_1990000</t>
  </si>
  <si>
    <t xml:space="preserve">在[超级明星]電子遊戲中，金币累積贏獎達到 400,000 </t>
  </si>
  <si>
    <t xml:space="preserve">In the [Super Star] electronic game, the accumulated coin winnings have reached 400,000 </t>
  </si>
  <si>
    <t xml:space="preserve">Trong trò chơi [Siêu Sao], tổng số vàng thắng được đạt 400,000 </t>
  </si>
  <si>
    <t xml:space="preserve">No jogo [Super Star], o total de moedas de ouro ganhas atingiu 400,000 </t>
  </si>
  <si>
    <t>10003_101200_1_400000_1990000</t>
  </si>
  <si>
    <t xml:space="preserve">在[财神]電子遊戲中，金币累積贏獎達到 400,000 </t>
  </si>
  <si>
    <t xml:space="preserve">In the [God of Wealth] electronic game, the accumulated coin winnings have reached 400,000 </t>
  </si>
  <si>
    <t xml:space="preserve">Trong trò chơi [Thần Tài], tổng số vàng thắng được đạt 400,000 </t>
  </si>
  <si>
    <t xml:space="preserve">No jogo [God of Wealth], o total de moedas de ouro ganhas atingiu 400,000 </t>
  </si>
  <si>
    <t>10003_101400_1_400000_1990000</t>
  </si>
  <si>
    <t xml:space="preserve">在[埃及艳后]電子遊戲中，金币累積贏獎達到 400,000 </t>
  </si>
  <si>
    <t xml:space="preserve">In the [Cleopatra] electronic game, the accumulated coin winnings have reached 400,000 </t>
  </si>
  <si>
    <t xml:space="preserve">Trong trò chơi [Nữ hoàng Ai Cập], tổng số vàng thắng được đạt 400,000 </t>
  </si>
  <si>
    <t xml:space="preserve">No jogo [Cleópatra], o total de moedas de ouro ganhas atingiu 400,000 </t>
  </si>
  <si>
    <t>10003_0_1_400000_1990000</t>
  </si>
  <si>
    <t>task_500006.png</t>
  </si>
  <si>
    <t xml:space="preserve">在任意遊戲中，金币累積贏獎達到 400,000 </t>
  </si>
  <si>
    <t>金币赢奖</t>
  </si>
  <si>
    <t xml:space="preserve">In any game, the accumulated coin winnings have reached 400,000 </t>
  </si>
  <si>
    <t xml:space="preserve">Trong trò chơi [bất kỳ], tổng số vàng thắng được đạt 400,000 </t>
  </si>
  <si>
    <t xml:space="preserve">No jogo [qualquer jogo], o total de moedas de ouro ganhas atingiu 400,000 </t>
  </si>
  <si>
    <t>10003_101700_1_400000_1990000</t>
  </si>
  <si>
    <t xml:space="preserve">在[圣诞狂欢夜]電子遊戲中，金币累積贏獎達到 400,000 </t>
  </si>
  <si>
    <t xml:space="preserve">In the [Christmas Eve Party ] electronic game, the accumulated coin winnings have reached 400,000 </t>
  </si>
  <si>
    <t xml:space="preserve">Trong trò chơi [Đại tiệc Giáng Sinh], tổng số vàng thắng được đạt 400,000 </t>
  </si>
  <si>
    <t xml:space="preserve">No jogo [Noite de festa de Natal], o total de moedas de ouro ganhas atingiu 400,000 </t>
  </si>
  <si>
    <t>10003_102100_1_400000_1990000</t>
  </si>
  <si>
    <t xml:space="preserve">在[杰克船长]電子遊戲中，金币累積贏獎達到 400,000 </t>
  </si>
  <si>
    <t xml:space="preserve">In the [Captain Jack] electronic game, the accumulated coin winnings have reached 400,000 </t>
  </si>
  <si>
    <t xml:space="preserve">Trong trò chơi [Thuyền trưởng Jack], tổng số vàng thắng được đạt 400,000 </t>
  </si>
  <si>
    <t xml:space="preserve">No jogo [Capitão Jack], o total de moedas de ouro ganhas atingiu 400,000 </t>
  </si>
  <si>
    <t>10003_102200_1_400000_1990000</t>
  </si>
  <si>
    <t xml:space="preserve">在[雷神]電子遊戲中，金币累積贏獎達到 400,000 </t>
  </si>
  <si>
    <t xml:space="preserve">In the [Thor] electronic game, the accumulated coin winnings have reached 400,000 </t>
  </si>
  <si>
    <t xml:space="preserve">Trong trò chơi [Thần Sấm], tổng số vàng thắng được đạt 400,000 </t>
  </si>
  <si>
    <t xml:space="preserve">No jogo [Thor], o total de moedas de ouro ganhas atingiu 400,000 </t>
  </si>
  <si>
    <t>10003_102300_1_400000_1990000</t>
  </si>
  <si>
    <t xml:space="preserve">在[蒸汽时代]電子遊戲中，金币累積贏獎達到 400,000 </t>
  </si>
  <si>
    <t xml:space="preserve">In the [Steam Era] electronic game, the accumulated coin winnings have reached 400,000 </t>
  </si>
  <si>
    <t xml:space="preserve">Trong trò chơi [Kỷ nguyên hơi nước], tổng số vàng thắng được đạt 400,000 </t>
  </si>
  <si>
    <t xml:space="preserve">No jogo [Era do Vapor], o total de moedas de ouro ganhas atingiu 400,000 </t>
  </si>
  <si>
    <t>10003_102400_1_400000_1990000</t>
  </si>
  <si>
    <t xml:space="preserve">在[财富银行]電子遊戲中，金币累積贏獎達到 400,000 </t>
  </si>
  <si>
    <t xml:space="preserve">In the [Wealth Bank] electronic game, the accumulated coin winnings have reached 400,000 </t>
  </si>
  <si>
    <t xml:space="preserve">Trong trò chơi [Ngân Hàng], tổng số vàng thắng được đạt 400,000 </t>
  </si>
  <si>
    <t xml:space="preserve">No jogo [Banco da Riqueza], o total de moedas de ouro ganhas atingiu 400,000 </t>
  </si>
  <si>
    <t>10003_100700_1_800000_1990000</t>
  </si>
  <si>
    <t xml:space="preserve">在[麻将胡了]電子遊戲中，金币累積贏獎達到 800,000 </t>
  </si>
  <si>
    <t xml:space="preserve">800,000 </t>
  </si>
  <si>
    <t xml:space="preserve">In the [Mahjong Hu] electronic game, the accumulated coin winnings have reached 800,000 </t>
  </si>
  <si>
    <t xml:space="preserve">Trong trò chơi [Mạt chược], tổng số vàng thắng được đạt 800,000 </t>
  </si>
  <si>
    <t xml:space="preserve">No jogo [Mahjong H], o total de moedas de ouro ganhas atingiu 800,000 </t>
  </si>
  <si>
    <t>10003_100300_1_800000_1990000</t>
  </si>
  <si>
    <t xml:space="preserve">在[超级明星]電子遊戲中，金币累積贏獎達到 800,000 </t>
  </si>
  <si>
    <t xml:space="preserve">In the [Super Star] electronic game, the accumulated coin winnings have reached 800,000 </t>
  </si>
  <si>
    <t xml:space="preserve">Trong trò chơi [Siêu Sao], tổng số vàng thắng được đạt 800,000 </t>
  </si>
  <si>
    <t xml:space="preserve">No jogo [Super Star], o total de moedas de ouro ganhas atingiu 800,000 </t>
  </si>
  <si>
    <t>10003_101200_1_800000_1990000</t>
  </si>
  <si>
    <t xml:space="preserve">在[财神]電子遊戲中，金币累積贏獎達到 800,000 </t>
  </si>
  <si>
    <t xml:space="preserve">In the [God of Wealth] electronic game, the accumulated coin winnings have reached 800,000 </t>
  </si>
  <si>
    <t xml:space="preserve">Trong trò chơi [Thần Tài], tổng số vàng thắng được đạt 800,000 </t>
  </si>
  <si>
    <t xml:space="preserve">No jogo [God of Wealth], o total de moedas de ouro ganhas atingiu 800,000 </t>
  </si>
  <si>
    <t>10003_101400_1_800000_1990000</t>
  </si>
  <si>
    <t xml:space="preserve">在[埃及艳后]電子遊戲中，金币累積贏獎達到 800,000 </t>
  </si>
  <si>
    <t xml:space="preserve">In the [Cleopatra] electronic game, the accumulated coin winnings have reached 800,000 </t>
  </si>
  <si>
    <t xml:space="preserve">Trong trò chơi [Nữ hoàng Ai Cập], tổng số vàng thắng được đạt 800,000 </t>
  </si>
  <si>
    <t xml:space="preserve">No jogo [Cleópatra], o total de moedas de ouro ganhas atingiu 800,000 </t>
  </si>
  <si>
    <t>10003_0_1_800000_1990000</t>
  </si>
  <si>
    <t xml:space="preserve">在任意遊戲中，金币累積贏獎達到 800,000 </t>
  </si>
  <si>
    <t xml:space="preserve">In any game, the accumulated coin winnings have reached 800,000 </t>
  </si>
  <si>
    <t xml:space="preserve">Trong trò chơi [bất kỳ], tổng số vàng thắng được đạt 800,000 </t>
  </si>
  <si>
    <t xml:space="preserve">No jogo [qualquer jogo], o total de moedas de ouro ganhas atingiu 800,000 </t>
  </si>
  <si>
    <t>10003_101700_1_800000_1990000</t>
  </si>
  <si>
    <t xml:space="preserve">在[圣诞狂欢夜]電子遊戲中，金币累積贏獎達到 800,000 </t>
  </si>
  <si>
    <t xml:space="preserve">In the [Christmas Eve Party ] electronic game, the accumulated coin winnings have reached 800,000 </t>
  </si>
  <si>
    <t xml:space="preserve">Trong trò chơi [Đại tiệc Giáng Sinh], tổng số vàng thắng được đạt 800,000 </t>
  </si>
  <si>
    <t xml:space="preserve">No jogo [Noite de festa de Natal], o total de moedas de ouro ganhas atingiu 800,000 </t>
  </si>
  <si>
    <t>10003_102100_1_800000_1990000</t>
  </si>
  <si>
    <t xml:space="preserve">在[杰克船长]電子遊戲中，金币累積贏獎達到 800,000 </t>
  </si>
  <si>
    <t xml:space="preserve">In the [Captain Jack] electronic game, the accumulated coin winnings have reached 800,000 </t>
  </si>
  <si>
    <t xml:space="preserve">Trong trò chơi [Thuyền trưởng Jack], tổng số vàng thắng được đạt 800,000 </t>
  </si>
  <si>
    <t xml:space="preserve">No jogo [Capitão Jack], o total de moedas de ouro ganhas atingiu 800,000 </t>
  </si>
  <si>
    <t>10003_102200_1_800000_1990000</t>
  </si>
  <si>
    <t xml:space="preserve">在[雷神]電子遊戲中，金币累積贏獎達到 800,000 </t>
  </si>
  <si>
    <t xml:space="preserve">In the [Thor] electronic game, the accumulated coin winnings have reached 800,000 </t>
  </si>
  <si>
    <t xml:space="preserve">Trong trò chơi [Thần Sấm], tổng số vàng thắng được đạt 800,000 </t>
  </si>
  <si>
    <t xml:space="preserve">No jogo [Thor], o total de moedas de ouro ganhas atingiu 800,000 </t>
  </si>
  <si>
    <t>10003_102300_1_800000_1990000</t>
  </si>
  <si>
    <t xml:space="preserve">在[蒸汽时代]電子遊戲中，金币累積贏獎達到 800,000 </t>
  </si>
  <si>
    <t xml:space="preserve">In the [Steam Era] electronic game, the accumulated coin winnings have reached 800,000 </t>
  </si>
  <si>
    <t xml:space="preserve">Trong trò chơi [Kỷ nguyên hơi nước], tổng số vàng thắng được đạt 800,000 </t>
  </si>
  <si>
    <t xml:space="preserve">No jogo [Era do Vapor], o total de moedas de ouro ganhas atingiu 800,000 </t>
  </si>
  <si>
    <t>10003_102400_1_800000_1990000</t>
  </si>
  <si>
    <t xml:space="preserve">在[财富银行]電子遊戲中，金币累積贏獎達到 800,000 </t>
  </si>
  <si>
    <t xml:space="preserve">In the [Wealth Bank] electronic game, the accumulated coin winnings have reached 800,000 </t>
  </si>
  <si>
    <t xml:space="preserve">Trong trò chơi [Ngân Hàng], tổng số vàng thắng được đạt 800,000 </t>
  </si>
  <si>
    <t xml:space="preserve">No jogo [Banco da Riqueza], o total de moedas de ouro ganhas atingiu 800,000 </t>
  </si>
  <si>
    <t>10003_100700_1_2000000_1990000</t>
  </si>
  <si>
    <t xml:space="preserve">在[麻将胡了]電子遊戲中，金币累積贏獎達到 2,000,000 </t>
  </si>
  <si>
    <t xml:space="preserve">2,000,000 </t>
  </si>
  <si>
    <t xml:space="preserve">In the [Mahjong Hu] electronic game, the accumulated coin winnings have reached 2,000,000 </t>
  </si>
  <si>
    <t xml:space="preserve">Trong trò chơi [Mạt chược], tổng số vàng thắng được đạt 2,000,000 </t>
  </si>
  <si>
    <t xml:space="preserve">No jogo [Mahjong H], o total de moedas de ouro ganhas atingiu 2,000,000 </t>
  </si>
  <si>
    <t>10003_100300_1_2000000_1990000</t>
  </si>
  <si>
    <t xml:space="preserve">在[超级明星]電子遊戲中，金币累積贏獎達到 2,000,000 </t>
  </si>
  <si>
    <t xml:space="preserve">In the [Super Star] electronic game, the accumulated coin winnings have reached 2,000,000 </t>
  </si>
  <si>
    <t xml:space="preserve">Trong trò chơi [Siêu Sao], tổng số vàng thắng được đạt 2,000,000 </t>
  </si>
  <si>
    <t xml:space="preserve">No jogo [Super Star], o total de moedas de ouro ganhas atingiu 2,000,000 </t>
  </si>
  <si>
    <t>10003_101200_1_2000000_1990000</t>
  </si>
  <si>
    <t xml:space="preserve">在[财神]電子遊戲中，金币累積贏獎達到 2,000,000 </t>
  </si>
  <si>
    <t xml:space="preserve">In the [God of Wealth] electronic game, the accumulated coin winnings have reached 2,000,000 </t>
  </si>
  <si>
    <t xml:space="preserve">Trong trò chơi [Thần Tài], tổng số vàng thắng được đạt 2,000,000 </t>
  </si>
  <si>
    <t xml:space="preserve">No jogo [God of Wealth], o total de moedas de ouro ganhas atingiu 2,000,000 </t>
  </si>
  <si>
    <t>10003_101400_1_2000000_1990000</t>
  </si>
  <si>
    <t xml:space="preserve">在[埃及艳后]電子遊戲中，金币累積贏獎達到 2,000,000 </t>
  </si>
  <si>
    <t xml:space="preserve">In the [Cleopatra] electronic game, the accumulated coin winnings have reached 2,000,000 </t>
  </si>
  <si>
    <t xml:space="preserve">Trong trò chơi [Nữ hoàng Ai Cập], tổng số vàng thắng được đạt 2,000,000 </t>
  </si>
  <si>
    <t xml:space="preserve">No jogo [Cleópatra], o total de moedas de ouro ganhas atingiu 2,000,000 </t>
  </si>
  <si>
    <t>10003_0_1_2000000_1990000</t>
  </si>
  <si>
    <t xml:space="preserve">在任意遊戲中，金币累積贏獎達到 2,000,000 </t>
  </si>
  <si>
    <t xml:space="preserve">In any game, the accumulated coin winnings have reached 2,000,000 </t>
  </si>
  <si>
    <t xml:space="preserve">Trong trò chơi [bất kỳ], tổng số vàng thắng được đạt 2,000,000 </t>
  </si>
  <si>
    <t xml:space="preserve">No jogo [qualquer jogo], o total de moedas de ouro ganhas atingiu 2,000,000 </t>
  </si>
  <si>
    <t>10003_101700_1_2000000_1990000</t>
  </si>
  <si>
    <t xml:space="preserve">在[圣诞狂欢夜]電子遊戲中，金币累積贏獎達到 2,000,000 </t>
  </si>
  <si>
    <t xml:space="preserve">In the [Christmas Eve Party ] electronic game, the accumulated coin winnings have reached 2,000,000 </t>
  </si>
  <si>
    <t xml:space="preserve">Trong trò chơi [Đại tiệc Giáng Sinh], tổng số vàng thắng được đạt 2,000,000 </t>
  </si>
  <si>
    <t xml:space="preserve">No jogo [Noite de festa de Natal], o total de moedas de ouro ganhas atingiu 2,000,000 </t>
  </si>
  <si>
    <t>10003_102100_1_2000000_1990000</t>
  </si>
  <si>
    <t xml:space="preserve">在[杰克船长]電子遊戲中，金币累積贏獎達到 2,000,000 </t>
  </si>
  <si>
    <t xml:space="preserve">In the [Captain Jack] electronic game, the accumulated coin winnings have reached 2,000,000 </t>
  </si>
  <si>
    <t xml:space="preserve">Trong trò chơi [Thuyền trưởng Jack], tổng số vàng thắng được đạt 2,000,000 </t>
  </si>
  <si>
    <t xml:space="preserve">No jogo [Capitão Jack], o total de moedas de ouro ganhas atingiu 2,000,000 </t>
  </si>
  <si>
    <t>10003_102200_1_2000000_1990000</t>
  </si>
  <si>
    <t xml:space="preserve">在[雷神]電子遊戲中，金币累積贏獎達到 2,000,000 </t>
  </si>
  <si>
    <t xml:space="preserve">In the [Thor] electronic game, the accumulated coin winnings have reached 2,000,000 </t>
  </si>
  <si>
    <t xml:space="preserve">Trong trò chơi [Thần Sấm], tổng số vàng thắng được đạt 2,000,000 </t>
  </si>
  <si>
    <t xml:space="preserve">No jogo [Thor], o total de moedas de ouro ganhas atingiu 2,000,000 </t>
  </si>
  <si>
    <t>10003_102300_1_2000000_1990000</t>
  </si>
  <si>
    <t xml:space="preserve">在[蒸汽时代]電子遊戲中，金币累積贏獎達到 2,000,000 </t>
  </si>
  <si>
    <t xml:space="preserve">In the [Steam Era] electronic game, the accumulated coin winnings have reached 2,000,000 </t>
  </si>
  <si>
    <t xml:space="preserve">Trong trò chơi [Kỷ nguyên hơi nước], tổng số vàng thắng được đạt 2,000,000 </t>
  </si>
  <si>
    <t xml:space="preserve">No jogo [Era do Vapor], o total de moedas de ouro ganhas atingiu 2,000,000 </t>
  </si>
  <si>
    <t>10003_102400_1_2000000_1990000</t>
  </si>
  <si>
    <t xml:space="preserve">在[财富银行]電子遊戲中，金币累積贏獎達到 2,000,000 </t>
  </si>
  <si>
    <t xml:space="preserve">In the [Wealth Bank] electronic game, the accumulated coin winnings have reached 2,000,000 </t>
  </si>
  <si>
    <t xml:space="preserve">Trong trò chơi [Ngân Hàng], tổng số vàng thắng được đạt 2,000,000 </t>
  </si>
  <si>
    <t xml:space="preserve">No jogo [Banco da Riqueza], o total de moedas de ouro ganhas atingiu 2,000,000 </t>
  </si>
  <si>
    <t>10003_100700_1_4000000_1990000</t>
  </si>
  <si>
    <t xml:space="preserve">在[麻将胡了]電子遊戲中，金币累積贏獎達到 4,000,000 </t>
  </si>
  <si>
    <t xml:space="preserve">4,000,000 </t>
  </si>
  <si>
    <t xml:space="preserve">In the [Mahjong Hu] electronic game, the accumulated coin winnings have reached 4,000,000 </t>
  </si>
  <si>
    <t xml:space="preserve">Trong trò chơi [Mạt chược], tổng số vàng thắng được đạt 4,000,000 </t>
  </si>
  <si>
    <t xml:space="preserve">No jogo [Mahjong H], o total de moedas de ouro ganhas atingiu 4,000,000 </t>
  </si>
  <si>
    <t>10003_100300_1_4000000_1990000</t>
  </si>
  <si>
    <t xml:space="preserve">在[超级明星]電子遊戲中，金币累積贏獎達到 4,000,000 </t>
  </si>
  <si>
    <t xml:space="preserve">In the [Super Star] electronic game, the accumulated coin winnings have reached 4,000,000 </t>
  </si>
  <si>
    <t xml:space="preserve">Trong trò chơi [Siêu Sao], tổng số vàng thắng được đạt 4,000,000 </t>
  </si>
  <si>
    <t xml:space="preserve">No jogo [Super Star], o total de moedas de ouro ganhas atingiu 4,000,000 </t>
  </si>
  <si>
    <t>10003_101200_1_4000000_1990000</t>
  </si>
  <si>
    <t xml:space="preserve">在[财神]電子遊戲中，金币累積贏獎達到 4,000,000 </t>
  </si>
  <si>
    <t xml:space="preserve">In the [God of Wealth] electronic game, the accumulated coin winnings have reached 4,000,000 </t>
  </si>
  <si>
    <t xml:space="preserve">Trong trò chơi [Thần Tài], tổng số vàng thắng được đạt 4,000,000 </t>
  </si>
  <si>
    <t xml:space="preserve">No jogo [God of Wealth], o total de moedas de ouro ganhas atingiu 4,000,000 </t>
  </si>
  <si>
    <t>10003_101400_1_4000000_1990000</t>
  </si>
  <si>
    <t xml:space="preserve">在[埃及艳后]電子遊戲中，金币累積贏獎達到 4,000,000 </t>
  </si>
  <si>
    <t xml:space="preserve">In the [Cleopatra] electronic game, the accumulated coin winnings have reached 4,000,000 </t>
  </si>
  <si>
    <t xml:space="preserve">Trong trò chơi [Nữ hoàng Ai Cập], tổng số vàng thắng được đạt 4,000,000 </t>
  </si>
  <si>
    <t xml:space="preserve">No jogo [Cleópatra], o total de moedas de ouro ganhas atingiu 4,000,000 </t>
  </si>
  <si>
    <t>10003_0_1_4000000_1990000</t>
  </si>
  <si>
    <t xml:space="preserve">在任意遊戲中，金币累積贏獎達到 4,000,000 </t>
  </si>
  <si>
    <t xml:space="preserve">In any game, the accumulated coin winnings have reached 4,000,000 </t>
  </si>
  <si>
    <t xml:space="preserve">Trong trò chơi [bất kỳ], tổng số vàng thắng được đạt 4,000,000 </t>
  </si>
  <si>
    <t xml:space="preserve">No jogo [qualquer jogo], o total de moedas de ouro ganhas atingiu 4,000,000 </t>
  </si>
  <si>
    <t>10003_101700_1_4000000_1990000</t>
  </si>
  <si>
    <t xml:space="preserve">在[圣诞狂欢夜]電子遊戲中，金币累積贏獎達到 4,000,000 </t>
  </si>
  <si>
    <t xml:space="preserve">In the [Christmas Eve Party ] electronic game, the accumulated coin winnings have reached 4,000,000 </t>
  </si>
  <si>
    <t xml:space="preserve">Trong trò chơi [Đại tiệc Giáng Sinh], tổng số vàng thắng được đạt 4,000,000 </t>
  </si>
  <si>
    <t xml:space="preserve">No jogo [Noite de festa de Natal], o total de moedas de ouro ganhas atingiu 4,000,000 </t>
  </si>
  <si>
    <t>10003_102100_1_4000000_1990000</t>
  </si>
  <si>
    <t xml:space="preserve">在[杰克船长]電子遊戲中，金币累積贏獎達到 4,000,000 </t>
  </si>
  <si>
    <t xml:space="preserve">In the [Captain Jack] electronic game, the accumulated coin winnings have reached 4,000,000 </t>
  </si>
  <si>
    <t xml:space="preserve">Trong trò chơi [Thuyền trưởng Jack], tổng số vàng thắng được đạt 4,000,000 </t>
  </si>
  <si>
    <t xml:space="preserve">No jogo [Capitão Jack], o total de moedas de ouro ganhas atingiu 4,000,000 </t>
  </si>
  <si>
    <t>10003_102200_1_4000000_1990000</t>
  </si>
  <si>
    <t xml:space="preserve">在[雷神]電子遊戲中，金币累積贏獎達到 4,000,000 </t>
  </si>
  <si>
    <t xml:space="preserve">In the [Thor] electronic game, the accumulated coin winnings have reached 4,000,000 </t>
  </si>
  <si>
    <t xml:space="preserve">Trong trò chơi [Thần Sấm], tổng số vàng thắng được đạt 4,000,000 </t>
  </si>
  <si>
    <t xml:space="preserve">No jogo [Thor], o total de moedas de ouro ganhas atingiu 4,000,000 </t>
  </si>
  <si>
    <t>10003_102300_1_4000000_1990000</t>
  </si>
  <si>
    <t xml:space="preserve">在[蒸汽时代]電子遊戲中，金币累積贏獎達到 4,000,000 </t>
  </si>
  <si>
    <t xml:space="preserve">In the [Steam Era] electronic game, the accumulated coin winnings have reached 4,000,000 </t>
  </si>
  <si>
    <t xml:space="preserve">Trong trò chơi [Kỷ nguyên hơi nước], tổng số vàng thắng được đạt 4,000,000 </t>
  </si>
  <si>
    <t xml:space="preserve">No jogo [Era do Vapor], o total de moedas de ouro ganhas atingiu 4,000,000 </t>
  </si>
  <si>
    <t>10003_102400_1_4000000_1990000</t>
  </si>
  <si>
    <t xml:space="preserve">在[财富银行]電子遊戲中，金币累積贏獎達到 4,000,000 </t>
  </si>
  <si>
    <t xml:space="preserve">In the [Wealth Bank] electronic game, the accumulated coin winnings have reached 4,000,000 </t>
  </si>
  <si>
    <t xml:space="preserve">Trong trò chơi [Ngân Hàng], tổng số vàng thắng được đạt 4,000,000 </t>
  </si>
  <si>
    <t xml:space="preserve">No jogo [Banco da Riqueza], o total de moedas de ouro ganhas atingiu 4,000,000 </t>
  </si>
  <si>
    <t>10001_100700_1_1000</t>
  </si>
  <si>
    <t>在[麻将胡了]電子遊戲中，累積旋轉 1,000 次</t>
  </si>
  <si>
    <t>游戏累计旋转</t>
  </si>
  <si>
    <t xml:space="preserve">1,000 </t>
  </si>
  <si>
    <t>In the game [Mahjong Hu] electronic game, a total of 1,000  spins have been accumulated.</t>
  </si>
  <si>
    <t>Trong trò chơi [Mạt chược], tích lũy quay 1,000  lần.</t>
  </si>
  <si>
    <t>No jogo [Mahjong Hu], foram acumuladas 1,000  rodadas.</t>
  </si>
  <si>
    <t>10001_100300_1_1000</t>
  </si>
  <si>
    <t>在[超级明星]電子遊戲中，累積旋轉 1,000 次</t>
  </si>
  <si>
    <t>In the game [Super Star] electronic game, a total of 1,000  spins have been accumulated.</t>
  </si>
  <si>
    <t>Trong trò chơi [Siêu Sao], tích lũy quay 1,000  lần.</t>
  </si>
  <si>
    <t>No jogo [Super Star], foram acumuladas 1,000  rodadas.</t>
  </si>
  <si>
    <t>10001_101200_1_1000</t>
  </si>
  <si>
    <t>在[财神]電子遊戲中，累積旋轉 1,000 次</t>
  </si>
  <si>
    <t>In the game [God of Wealth] electronic game, a total of 1,000  spins have been accumulated.</t>
  </si>
  <si>
    <t>Trong trò chơi [Thần Tài], tích lũy quay 1,000  lần.</t>
  </si>
  <si>
    <t>No jogo [God of Wealth], foram acumuladas 1,000  rodadas.</t>
  </si>
  <si>
    <t>10001_101400_1_1000</t>
  </si>
  <si>
    <t>在[埃及艳后]電子遊戲中，累積旋轉 1,000 次</t>
  </si>
  <si>
    <t>In the game [Cleopatra] electronic game, a total of 1,000  spins have been accumulated.</t>
  </si>
  <si>
    <t>Trong trò chơi [Nữ hoàng Ai Cập], tích lũy quay 1,000  lần.</t>
  </si>
  <si>
    <t>No jogo [Cleopatra], foram acumuladas 1,000  rodadas.</t>
  </si>
  <si>
    <t>10001_0_1_1000</t>
  </si>
  <si>
    <t>task_500004.png</t>
  </si>
  <si>
    <t>在任意電子遊戲中，累積旋轉 1,000 次</t>
  </si>
  <si>
    <t>任意累计旋转</t>
  </si>
  <si>
    <t>In any electronic game, a total of 1,000  spins have been accumulated.</t>
  </si>
  <si>
    <t>Trong trò chơi [bất kỳ], tích lũy quay 1,000  lần.</t>
  </si>
  <si>
    <t>No jogo [any game], foram acumuladas 1,000  rodadas.</t>
  </si>
  <si>
    <t>12001_101700_1000</t>
  </si>
  <si>
    <t>在[圣诞狂欢夜]電子遊戲中，累積旋轉 1,000 次</t>
  </si>
  <si>
    <t>In the game [Christmas Eve Party ] electronic game, a total of 1,000  spins have been accumulated.</t>
  </si>
  <si>
    <t>Trong trò chơi [Đại tiệc Giáng Sinh], tích lũy quay 1,000  lần.</t>
  </si>
  <si>
    <t>No jogo [Christmas Eve Party ], foram acumuladas 1,000  rodadas.</t>
  </si>
  <si>
    <t>12001_102100_1000</t>
  </si>
  <si>
    <t>在[杰克船长]電子遊戲中，累積旋轉 1,000 次</t>
  </si>
  <si>
    <t>In the game [Captain Jack] electronic game, a total of 1,000  spins have been accumulated.</t>
  </si>
  <si>
    <t>Trong trò chơi [Thuyền trưởng Jack], tích lũy quay 1,000  lần.</t>
  </si>
  <si>
    <t>No jogo [Captain Jack], foram acumuladas 1,000  rodadas.</t>
  </si>
  <si>
    <t>12001_102200_1000</t>
  </si>
  <si>
    <t>在[雷神]電子遊戲中，累積旋轉 1,000 次</t>
  </si>
  <si>
    <t>In the game [Thor] electronic game, a total of 1,000  spins have been accumulated.</t>
  </si>
  <si>
    <t>Trong trò chơi [Thần Sấm], tích lũy quay 1,000  lần.</t>
  </si>
  <si>
    <t>No jogo [Thor], foram acumuladas 1,000  rodadas.</t>
  </si>
  <si>
    <t>12001_102300_1000</t>
  </si>
  <si>
    <t>在[蒸汽时代]電子遊戲中，累積旋轉 1,000 次</t>
  </si>
  <si>
    <t>In the game [Steam Era] electronic game, a total of 1,000  spins have been accumulated.</t>
  </si>
  <si>
    <t>Trong trò chơi [Kỷ nguyên hơi nước], tích lũy quay 1,000  lần.</t>
  </si>
  <si>
    <t>No jogo [Steam Era], foram acumuladas 1,000  rodadas.</t>
  </si>
  <si>
    <t>12001_102400_1000</t>
  </si>
  <si>
    <t>在[财富银行]電子遊戲中，累積旋轉 1,000 次</t>
  </si>
  <si>
    <t>In the game [Wealth Bank] electronic game, a total of 1,000  spins have been accumulated.</t>
  </si>
  <si>
    <t>Trong trò chơi [Ngân Hàng], tích lũy quay 1,000  lần.</t>
  </si>
  <si>
    <t>No jogo [Wealth Bank], foram acumuladas 1,000  rodadas.</t>
  </si>
  <si>
    <t>主线任务</t>
  </si>
  <si>
    <t>12273_1_1101</t>
  </si>
  <si>
    <t>1990000_50000|1024007_5|1024081_30|1022505_200</t>
  </si>
  <si>
    <t>解锁&lt;color=#00bfff&gt;[萌宠小队]&lt;/color&gt;游戏建筑</t>
  </si>
  <si>
    <t>12207_1101_3</t>
  </si>
  <si>
    <t>1024005_30|1980000_20|1022505_912</t>
  </si>
  <si>
    <t>[萌宠小队]建筑&lt;color=#00bfff&gt;升到3级&lt;/color&gt;</t>
  </si>
  <si>
    <t>12277_103900_10390003_1</t>
  </si>
  <si>
    <t>1024001_1000|1990000_50000|1022505_912</t>
  </si>
  <si>
    <t>解锁萌宠小队的&lt;color=#00bfff&gt;[SWEET WIN 大奖]&lt;/color&gt;</t>
  </si>
  <si>
    <t>12221_103900_2</t>
  </si>
  <si>
    <t>1980000_50|1024007_3|1022505_912</t>
  </si>
  <si>
    <t>在[萌宠小队]游戏中&lt;color=#00bfff&gt;投注2次&lt;/color&gt;</t>
  </si>
  <si>
    <t>12207_1301_2</t>
  </si>
  <si>
    <t>1990000_100000|1024007_3|1980000_100|1022505_912</t>
  </si>
  <si>
    <t>[接等区]建筑&lt;color=#00bfff&gt;升到2级&lt;/color&gt;</t>
  </si>
  <si>
    <t>12207_1101_4</t>
  </si>
  <si>
    <t>1024005_30|1980000_20|1990000_100000|1022505_2925</t>
  </si>
  <si>
    <t>[萌宠小队]建筑&lt;color=#00bfff&gt;升到4级&lt;/color&gt;</t>
  </si>
  <si>
    <t>12277_103900_10390004_10</t>
  </si>
  <si>
    <t>1980000_20|1990000_100000|1022505_2925</t>
  </si>
  <si>
    <t>把萌宠小队的&lt;color=#00bfff&gt;[SWEET WIN 大奖升到10级]&lt;/color&gt;</t>
  </si>
  <si>
    <t>12277_103900_10390005_1</t>
  </si>
  <si>
    <t>1990000_100000|1024001_6000|1022505_2925</t>
  </si>
  <si>
    <t>解锁萌宠小队的&lt;color=#00bfff&gt;[BIG WIN 大奖]&lt;/color&gt;</t>
  </si>
  <si>
    <t>12225_103900_1990000_100000</t>
  </si>
  <si>
    <t>1990000_100000|1024007_5|1022505_2925</t>
  </si>
  <si>
    <t>在[萌宠小队]游戏中&lt;color=#00bfff&gt;赢取10万金币&lt;/color&gt;</t>
  </si>
  <si>
    <t>12273_1_1202</t>
  </si>
  <si>
    <t>1024005_30|1024007_3|1022505_2925</t>
  </si>
  <si>
    <t>解锁&lt;color=#00bfff&gt;[休息区]&lt;/color&gt;建筑</t>
  </si>
  <si>
    <t>12207_1202_3</t>
  </si>
  <si>
    <t>1980000_20|1024007_5|1022505_3300</t>
  </si>
  <si>
    <t>[休息区]建筑&lt;color=#00bfff&gt;升到3级&lt;/color&gt;</t>
  </si>
  <si>
    <t>12304_103900_1</t>
  </si>
  <si>
    <t>1024014_1|1024007_5|1022505_3300</t>
  </si>
  <si>
    <t>[萌宠小队]游戏&lt;color=#00bfff&gt;技能升级1次&lt;/color&gt;</t>
  </si>
  <si>
    <t>12303_20001_1</t>
  </si>
  <si>
    <t>1126101_20|1980000_20|1022505_3300</t>
  </si>
  <si>
    <t>在[雇员]招聘会上&lt;color=#00bfff&gt;招募1个雇员&lt;/color&gt;</t>
  </si>
  <si>
    <t>12259_10_1_1</t>
  </si>
  <si>
    <t>1024005_30|1980000_20|1022505_3300</t>
  </si>
  <si>
    <t>拥有&lt;color=#00bfff&gt;1个1星的游戏经理&lt;/color&gt;</t>
  </si>
  <si>
    <t>12277_103900_10390006_10</t>
  </si>
  <si>
    <t>1980000_20|1990000_100000|1022505_3300</t>
  </si>
  <si>
    <t>把萌宠小队的&lt;color=#00bfff&gt;[BIG WIN 大奖升到10级]&lt;/color&gt;</t>
  </si>
  <si>
    <t>12277_103900_10390002_10</t>
  </si>
  <si>
    <t>把萌宠小队的&lt;color=#00bfff&gt;[中奖概率升到10级]&lt;/color&gt;</t>
  </si>
  <si>
    <t>12277_103900_10390007_1</t>
  </si>
  <si>
    <t>1990000_100000|1024001_10000|1022505_3300</t>
  </si>
  <si>
    <t>解锁萌宠小队的&lt;color=#00bfff&gt;[MEGA WIN 大奖]&lt;/color&gt;</t>
  </si>
  <si>
    <t>12225_103900_1990000_200000</t>
  </si>
  <si>
    <t>1990000_100000|1024007_5|1022505_3300</t>
  </si>
  <si>
    <t>在[萌宠小队]游戏中&lt;color=#00bfff&gt;赢取20万金币&lt;/color&gt;</t>
  </si>
  <si>
    <t>12207_1301_4</t>
  </si>
  <si>
    <t>1024005_30|1022502_3|1022505_8183</t>
  </si>
  <si>
    <t>[接等区]建筑&lt;color=#00bfff&gt;升到4级&lt;/color&gt;</t>
  </si>
  <si>
    <t>12277_103900_10390008_10</t>
  </si>
  <si>
    <t>1980000_20|1990000_100000|1022505_8183</t>
  </si>
  <si>
    <t>把萌宠小队的&lt;color=#00bfff&gt;[MEGA WIN 大奖升到10级]&lt;/color&gt;</t>
  </si>
  <si>
    <t>12277_103900_10390009_1</t>
  </si>
  <si>
    <t>1990000_100000|1024007_5|1022505_8183</t>
  </si>
  <si>
    <t>解锁萌宠小队的&lt;color=#00bfff&gt;[EPIC WIN 大奖]&lt;/color&gt;</t>
  </si>
  <si>
    <t>12273_1_1303</t>
  </si>
  <si>
    <t>解锁&lt;color=#00bfff&gt;[运营部]&lt;/color&gt;建筑</t>
  </si>
  <si>
    <t>12207_1303_5</t>
  </si>
  <si>
    <t>[运营部]建筑&lt;color=#00bfff&gt;升到5级&lt;/color&gt;</t>
  </si>
  <si>
    <t>12207_1101_5</t>
  </si>
  <si>
    <t>[萌宠小队]建筑&lt;color=#00bfff&gt;升到5级&lt;/color&gt;</t>
  </si>
  <si>
    <t>12273_1_1304</t>
  </si>
  <si>
    <t>解锁&lt;color=#00bfff&gt;[营销部]&lt;/color&gt;建筑</t>
  </si>
  <si>
    <t>12207_1304_5</t>
  </si>
  <si>
    <t>1990000_100000|1980000_20|1022505_10200</t>
  </si>
  <si>
    <t>[营销部]建筑&lt;color=#00bfff&gt;升到5级&lt;/color&gt;</t>
  </si>
  <si>
    <t>12273_1_1102</t>
  </si>
  <si>
    <t>1024005_30|1022502_3|1022505_10200</t>
  </si>
  <si>
    <t>解锁&lt;color=#00bfff&gt;[象财神]&lt;/color&gt;游戏建筑</t>
  </si>
  <si>
    <t>12277_102700_10270003_1</t>
  </si>
  <si>
    <t>1990000_100000|1024007_5|1022505_10200</t>
  </si>
  <si>
    <t>解锁象财神的&lt;color=#00bfff&gt;[SWEET WIN 大奖]&lt;/color&gt;</t>
  </si>
  <si>
    <t>12277_102700_10270004_5</t>
  </si>
  <si>
    <t>1980000_20|1990000_100000|1022505_10200</t>
  </si>
  <si>
    <t>[象财神]建筑&lt;color=#00bfff&gt;升到3级&lt;/color&gt;</t>
  </si>
  <si>
    <t>12207_1102_3</t>
  </si>
  <si>
    <t>[接等区]建筑&lt;color=#00bfff&gt;升到6级&lt;/color&gt;</t>
  </si>
  <si>
    <t>12207_1301_6</t>
  </si>
  <si>
    <t>[休息区]建筑&lt;color=#00bfff&gt;升到6级&lt;/color&gt;</t>
  </si>
  <si>
    <t>12207_1202_6</t>
  </si>
  <si>
    <t>[运营部]建筑&lt;color=#00bfff&gt;升到6级&lt;/color&gt;</t>
  </si>
  <si>
    <t>[营销部]建筑&lt;color=#00bfff&gt;升到6级&lt;/color&gt;</t>
  </si>
  <si>
    <t>1990000_100000|1024001_5000|1022505_25460</t>
  </si>
  <si>
    <t>[象财神]建筑&lt;color=#00bfff&gt;升到4级&lt;/color&gt;</t>
  </si>
  <si>
    <t>12207_1102_4</t>
  </si>
  <si>
    <t>1990000_100000|1024007_5|1022505_25460</t>
  </si>
  <si>
    <t>在赛季[恶魔之子]游戏中&lt;color=#00bfff&gt;投注10次&lt;/color&gt;</t>
  </si>
  <si>
    <t>12221_103800_10</t>
  </si>
  <si>
    <t>1960000_100000|1980000_20|1022505_25460</t>
  </si>
  <si>
    <t>参与并&lt;color=#00bfff&gt;完成1次[Aether Trial]扑克游戏&lt;/color&gt;</t>
  </si>
  <si>
    <t>12223_1</t>
  </si>
  <si>
    <t>1980000_30|1960000_5000|1022505_25460</t>
  </si>
  <si>
    <t>在[赛季-商店]中&lt;color=#00bfff&gt;购买1次商品&lt;/color&gt;</t>
  </si>
  <si>
    <t>12226_1</t>
  </si>
  <si>
    <t>1131106_10|1980000_20|1022505_25460</t>
  </si>
  <si>
    <t>在[赛季-宝石]功能中&lt;color=#00bfff&gt;镶嵌1次宝石&lt;/color&gt;</t>
  </si>
  <si>
    <t>12227_1</t>
  </si>
  <si>
    <t>1990000_100000|1024001_5000|1022505_11005</t>
  </si>
  <si>
    <t>在[象财神]游戏中&lt;color=#00bfff&gt;投注20次&lt;/color&gt;</t>
  </si>
  <si>
    <t>12221_102700_20</t>
  </si>
  <si>
    <t>1980000_50|1024007_2|1022505_11005</t>
  </si>
  <si>
    <t>[象财神]建筑&lt;color=#00bfff&gt;等级升到2级&lt;/color&gt;</t>
  </si>
  <si>
    <t>12207_1102_2</t>
  </si>
  <si>
    <t>1024005_20|1990000_300000|1022505_11005</t>
  </si>
  <si>
    <t>[象财神]游戏&lt;color=#00bfff&gt;技能升级1次&lt;/color&gt;</t>
  </si>
  <si>
    <t>12304_102700_1</t>
  </si>
  <si>
    <t>1980000_50|1024007_3|1022505_11005</t>
  </si>
  <si>
    <t>[象财神]建筑&lt;color=#00bfff&gt;等级升到3级&lt;/color&gt;</t>
  </si>
  <si>
    <t>1024001_5000|1990000_500000|1022505_11005</t>
  </si>
  <si>
    <t>在[象财神]游戏中&lt;color=#00bfff&gt;赢取3万金币&lt;/color&gt;</t>
  </si>
  <si>
    <t>12225_102700_1990000_30000</t>
  </si>
  <si>
    <t>1024005_20|1022502_3|1022505_11005</t>
  </si>
  <si>
    <t>在[游客]卡池&lt;color=#00bfff&gt;邀请1次&lt;/color&gt;</t>
  </si>
  <si>
    <t>12303_10002_1</t>
  </si>
  <si>
    <t>1125402_60|1990000_500000|1022505_11005</t>
  </si>
  <si>
    <t>拥有&lt;color=#00bfff&gt;1个1星的游客&lt;/color&gt;</t>
  </si>
  <si>
    <t>12261_1_1</t>
  </si>
  <si>
    <t>在[象财神]游戏中&lt;color=#00bfff&gt;投注3万金币&lt;/color&gt;</t>
  </si>
  <si>
    <t>12001_102700_30000</t>
  </si>
  <si>
    <t>[象财神]建筑&lt;color=#00bfff&gt;等级升到4级&lt;/color&gt;</t>
  </si>
  <si>
    <t>在[象财神]游戏中&lt;color=#00bfff&gt;赢取5万金币&lt;/color&gt;</t>
  </si>
  <si>
    <t>12225_102700_1990000_50000</t>
  </si>
  <si>
    <t>[象财神]游戏&lt;color=#00bfff&gt;技能战力升到3000以上&lt;/color&gt;</t>
  </si>
  <si>
    <t>12269_102700_3000</t>
  </si>
  <si>
    <t>[象财神]建筑&lt;color=#00bfff&gt;等级升到5级&lt;/color&gt;</t>
  </si>
  <si>
    <t>12207_1102_5</t>
  </si>
  <si>
    <t>在[象财神]游戏中&lt;color=#00bfff&gt;赢取8万金币&lt;/color&gt;</t>
  </si>
  <si>
    <t>12225_102700_1990000_80000</t>
  </si>
  <si>
    <t>[象财神]游戏&lt;color=#00bfff&gt;技能战力升到4000以上&lt;/color&gt;</t>
  </si>
  <si>
    <t>12269_102700_4000</t>
  </si>
  <si>
    <t>1980000_20|1990000_300000|1022505_11005</t>
  </si>
  <si>
    <t>解锁&lt;color=#00bfff&gt;[休息区]&lt;/color&gt;游戏建筑</t>
  </si>
  <si>
    <t>1980000_50|1024007_3|1022505_15913</t>
  </si>
  <si>
    <t>[休息区]建筑&lt;color=#00bfff&gt;等级升到3级&lt;/color&gt;</t>
  </si>
  <si>
    <t>1980000_20|1990000_300000|1022505_15913</t>
  </si>
  <si>
    <t>解锁&lt;color=#00bfff&gt;[运营部]&lt;/color&gt;游戏建筑</t>
  </si>
  <si>
    <t>1022502_3|1024007_3|1022505_15913</t>
  </si>
  <si>
    <t>[运营部]建筑&lt;color=#00bfff&gt;等级升到3级&lt;/color&gt;</t>
  </si>
  <si>
    <t>12207_1303_3</t>
  </si>
  <si>
    <t>解锁&lt;color=#00bfff&gt;[营销部]&lt;/color&gt;游戏建筑</t>
  </si>
  <si>
    <t>[营销部]建筑&lt;color=#00bfff&gt;等级升到3级&lt;/color&gt;</t>
  </si>
  <si>
    <t>12207_1304_3</t>
  </si>
  <si>
    <t>1960000_100000|1131105_10|1022505_15913</t>
  </si>
  <si>
    <t>1960000_100000|1131106_10|1022505_15913</t>
  </si>
  <si>
    <t>1980000_30|1990000_300000|1022505_15913</t>
  </si>
  <si>
    <t>解锁&lt;color=#00bfff&gt;[麻将胡了]&lt;/color&gt;游戏建筑</t>
  </si>
  <si>
    <t>12273_1_1110</t>
  </si>
  <si>
    <t>1024001_5000|1990000_500000|1022505_24711</t>
  </si>
  <si>
    <t>在[麻将胡了]游戏中&lt;color=#00bfff&gt;投注20次&lt;/color&gt;</t>
  </si>
  <si>
    <t>12221_100700_20</t>
  </si>
  <si>
    <t>1980000_30|1024007_3|1022505_24711</t>
  </si>
  <si>
    <t>[麻将胡了]建筑&lt;color=#00bfff&gt;等级升到3级&lt;/color&gt;</t>
  </si>
  <si>
    <t>12207_1110_3</t>
  </si>
  <si>
    <t>1024005_30|1022502_3|1022505_24711</t>
  </si>
  <si>
    <t>[麻将胡了]游戏&lt;color=#00bfff&gt;技能升级1次&lt;/color&gt;</t>
  </si>
  <si>
    <t>12304_100700_1</t>
  </si>
  <si>
    <t>[麻将胡了]建筑&lt;color=#00bfff&gt;等级升到5级&lt;/color&gt;</t>
  </si>
  <si>
    <t>12207_1110_5</t>
  </si>
  <si>
    <t>在[麻将胡了]游戏中&lt;color=#00bfff&gt;赢取5万金币&lt;/color&gt;</t>
  </si>
  <si>
    <t>12225_100700_1990000_50000</t>
  </si>
  <si>
    <t>1024013_1|1990000_500000|1022505_24711</t>
  </si>
  <si>
    <t>在[雇员]卡池&lt;color=#00bfff&gt;招募1次&lt;/color&gt;</t>
  </si>
  <si>
    <t>1126101_20|1990000_500000|1022505_24711</t>
  </si>
  <si>
    <t>1980000_30|1022502_3|1022505_24711</t>
  </si>
  <si>
    <t>[麻将胡了]游戏&lt;color=#00bfff&gt;技能升级2次&lt;/color&gt;</t>
  </si>
  <si>
    <t>12304_100700_2</t>
  </si>
  <si>
    <t>在[麻将胡了]游戏中&lt;color=#00bfff&gt;投注10万金币&lt;/color&gt;</t>
  </si>
  <si>
    <t>12001_100700_100000</t>
  </si>
  <si>
    <t>[麻将胡了]建筑&lt;color=#00bfff&gt;等级升到8级&lt;/color&gt;</t>
  </si>
  <si>
    <t>12207_1110_8</t>
  </si>
  <si>
    <t>1024014_2|1990000_500000|1022505_24711</t>
  </si>
  <si>
    <t>在[麻将胡了]游戏中&lt;color=#00bfff&gt;赢取10万金币&lt;/color&gt;</t>
  </si>
  <si>
    <t>12225_100700_1990000_100000</t>
  </si>
  <si>
    <t>1024013_2|1024005_30|1022505_24711</t>
  </si>
  <si>
    <t>[麻将胡了]游戏&lt;color=#00bfff&gt;技能战力升到4000以上&lt;/color&gt;</t>
  </si>
  <si>
    <t>12269_100700_4000</t>
  </si>
  <si>
    <t>在[麻将胡了]游戏中&lt;color=#00bfff&gt;投注20万金币&lt;/color&gt;</t>
  </si>
  <si>
    <t>12001_100700_200000</t>
  </si>
  <si>
    <t>[麻将胡了]建筑&lt;color=#00bfff&gt;等级升到12级&lt;/color&gt;</t>
  </si>
  <si>
    <t>12207_1110_12</t>
  </si>
  <si>
    <t>在[麻将胡了]游戏中&lt;color=#00bfff&gt;赢取15万金币&lt;/color&gt;</t>
  </si>
  <si>
    <t>12225_100700_1990000_150000</t>
  </si>
  <si>
    <t>[麻将胡了]游戏&lt;color=#00bfff&gt;技能战力升到8000以上&lt;/color&gt;</t>
  </si>
  <si>
    <t>12269_100700_8000</t>
  </si>
  <si>
    <t>1960000_100000|1131101_10|1022505_24711</t>
  </si>
  <si>
    <t>在赛季[恶魔之子]游戏中&lt;color=#00bfff&gt;赢取10万赛季币&lt;/color&gt;</t>
  </si>
  <si>
    <t>12225_103800_1960000_100000</t>
  </si>
  <si>
    <t>1960000_100000|1131102_10|1022505_24711</t>
  </si>
  <si>
    <t>参与并&lt;color=#00bfff&gt;完成3次[Aether Trial]扑克游戏&lt;/color&gt;</t>
  </si>
  <si>
    <t>12223_3</t>
  </si>
  <si>
    <t>1980000_50|1990000_500000|1022505_24711</t>
  </si>
  <si>
    <t>解锁&lt;color=#00bfff&gt;[篮球巨星]&lt;/color&gt;游戏建筑</t>
  </si>
  <si>
    <t>12273_1_1107</t>
  </si>
  <si>
    <t>1024001_5000|1990000_500000|1022505_60800</t>
  </si>
  <si>
    <t>在[篮球巨星]游戏中&lt;color=#00bfff&gt;投注20次&lt;/color&gt;</t>
  </si>
  <si>
    <t>12221_101800_20</t>
  </si>
  <si>
    <t>1980000_50|1024007_2|1022505_60800</t>
  </si>
  <si>
    <t>[篮球巨星]建筑&lt;color=#00bfff&gt;等级升到2级&lt;/color&gt;</t>
  </si>
  <si>
    <t>12207_1107_2</t>
  </si>
  <si>
    <t>1024005_50|1022502_3|1022505_60800</t>
  </si>
  <si>
    <t>[篮球巨星]游戏&lt;color=#00bfff&gt;技能升级1次&lt;/color&gt;</t>
  </si>
  <si>
    <t>12304_101800_1</t>
  </si>
  <si>
    <t>1980000_50|1024007_3|1022505_60800</t>
  </si>
  <si>
    <t>[篮球巨星]建筑&lt;color=#00bfff&gt;等级升到5级&lt;/color&gt;</t>
  </si>
  <si>
    <t>12207_1107_5</t>
  </si>
  <si>
    <t>在[篮球巨星]游戏中&lt;color=#00bfff&gt;赢取5万金币&lt;/color&gt;</t>
  </si>
  <si>
    <t>12225_101800_1990000_50000</t>
  </si>
  <si>
    <t>1024013_2|1990000_500000|1022505_60800</t>
  </si>
  <si>
    <t>1024005_20|1022502_3|1022505_60800</t>
  </si>
  <si>
    <t>[篮球巨星]游戏&lt;color=#00bfff&gt;技能升级3次&lt;/color&gt;</t>
  </si>
  <si>
    <t>12304_101800_3</t>
  </si>
  <si>
    <t>在[篮球巨星]游戏中&lt;color=#00bfff&gt;投注15万金币&lt;/color&gt;</t>
  </si>
  <si>
    <t>12001_101800_150000</t>
  </si>
  <si>
    <t>[篮球巨星]建筑&lt;color=#00bfff&gt;等级升到10级&lt;/color&gt;</t>
  </si>
  <si>
    <t>12207_1107_10</t>
  </si>
  <si>
    <t>1024014_2|1990000_500000|1022505_60800</t>
  </si>
  <si>
    <t>在[篮球巨星]游戏中&lt;color=#00bfff&gt;赢取20万金币&lt;/color&gt;</t>
  </si>
  <si>
    <t>12225_101800_1990000_200000</t>
  </si>
  <si>
    <t>1024013_2|1024005_50|1022505_60800</t>
  </si>
  <si>
    <t>[篮球巨星]游戏&lt;color=#00bfff&gt;技能战力升到5000以上&lt;/color&gt;</t>
  </si>
  <si>
    <t>12269_101800_5000</t>
  </si>
  <si>
    <t>在[篮球巨星]游戏中&lt;color=#00bfff&gt;投注10万金币&lt;/color&gt;</t>
  </si>
  <si>
    <t>12001_101800_100000</t>
  </si>
  <si>
    <t>[篮球巨星]建筑&lt;color=#00bfff&gt;等级升到15级&lt;/color&gt;</t>
  </si>
  <si>
    <t>12207_1107_15</t>
  </si>
  <si>
    <t>在[篮球巨星]游戏中&lt;color=#00bfff&gt;赢取30万金币&lt;/color&gt;</t>
  </si>
  <si>
    <t>12225_101800_1990000_300000</t>
  </si>
  <si>
    <t>1024013_1|1024005_50|1022505_60800</t>
  </si>
  <si>
    <t>[篮球巨星]游戏&lt;color=#00bfff&gt;技能战力升到10000以上&lt;/color&gt;</t>
  </si>
  <si>
    <t>12269_101800_10000</t>
  </si>
  <si>
    <t>1960000_100000|1131103_10|1022505_60800</t>
  </si>
  <si>
    <t>在赛季[恶魔之子]游戏中&lt;color=#00bfff&gt;投注20次&lt;/color&gt;</t>
  </si>
  <si>
    <t>12221_103800_20</t>
  </si>
  <si>
    <t>1960000_100000|1131104_10|1022505_60800</t>
  </si>
  <si>
    <t>参与并&lt;color=#00bfff&gt;完成6次[Aether Trial]扑克游戏&lt;/color&gt;</t>
  </si>
  <si>
    <t>12223_6</t>
  </si>
  <si>
    <t>1980000_50|1990000_500000|1022505_60800</t>
  </si>
  <si>
    <t>解锁&lt;color=#00bfff&gt;[绿巨人]&lt;/color&gt;游戏建筑</t>
  </si>
  <si>
    <t>12273_1_1106</t>
  </si>
  <si>
    <t>1024001_5000|1990000_1000000|1022505_96275</t>
  </si>
  <si>
    <t>在[绿巨人]游戏中&lt;color=#00bfff&gt;投注20次&lt;/color&gt;</t>
  </si>
  <si>
    <t>12221_103100_20</t>
  </si>
  <si>
    <t>1980000_20|1024007_5|1022505_96275</t>
  </si>
  <si>
    <t>[绿巨人]建筑&lt;color=#00bfff&gt;等级升到3级&lt;/color&gt;</t>
  </si>
  <si>
    <t>12207_1106_3</t>
  </si>
  <si>
    <t>1024005_20|1022502_3|1022505_96275</t>
  </si>
  <si>
    <t>[绿巨人]游戏&lt;color=#00bfff&gt;技能升级1次&lt;/color&gt;</t>
  </si>
  <si>
    <t>12304_103100_1</t>
  </si>
  <si>
    <t>在[绿巨人]游戏中&lt;color=#00bfff&gt;赢取50万金币&lt;/color&gt;</t>
  </si>
  <si>
    <t>12225_103100_1990000_500000</t>
  </si>
  <si>
    <t>[绿巨人]建筑&lt;color=#00bfff&gt;等级升到5级&lt;/color&gt;</t>
  </si>
  <si>
    <t>12207_1106_5</t>
  </si>
  <si>
    <t>1024005_40|1990000_1000000|1022505_96275</t>
  </si>
  <si>
    <t>在[绿巨人]游戏中&lt;color=#00bfff&gt;投注100万金币&lt;/color&gt;</t>
  </si>
  <si>
    <t>12001_103100_1000000</t>
  </si>
  <si>
    <t>[绿巨人]建筑&lt;color=#00bfff&gt;等级升到10级&lt;/color&gt;</t>
  </si>
  <si>
    <t>12207_1106_10</t>
  </si>
  <si>
    <t>1024005_60|1022502_3|1022505_96275</t>
  </si>
  <si>
    <t>[绿巨人]游戏&lt;color=#00bfff&gt;技能战力升到5000以上&lt;/color&gt;</t>
  </si>
  <si>
    <t>12269_103100_5000</t>
  </si>
  <si>
    <t>在[绿巨人]游戏中&lt;color=#00bfff&gt;投注50次&lt;/color&gt;</t>
  </si>
  <si>
    <t>12221_103100_50</t>
  </si>
  <si>
    <t>[绿巨人]建筑&lt;color=#00bfff&gt;等级升到15级&lt;/color&gt;</t>
  </si>
  <si>
    <t>12207_1106_15</t>
  </si>
  <si>
    <t>在[绿巨人]游戏中&lt;color=#00bfff&gt;赢取100万金币&lt;/color&gt;</t>
  </si>
  <si>
    <t>12225_103100_1990000_1000000</t>
  </si>
  <si>
    <t>[绿巨人]建筑&lt;color=#00bfff&gt;等级升到20级&lt;/color&gt;</t>
  </si>
  <si>
    <t>12207_1106_20</t>
  </si>
  <si>
    <t>在[绿巨人]游戏中&lt;color=#00bfff&gt;投注300万金币&lt;/color&gt;</t>
  </si>
  <si>
    <t>12001_103100_3000000</t>
  </si>
  <si>
    <t>[绿巨人]建筑&lt;color=#00bfff&gt;等级升到25级&lt;/color&gt;</t>
  </si>
  <si>
    <t>12207_1106_25</t>
  </si>
  <si>
    <t>1024005_80|1022502_3|1022505_96275</t>
  </si>
  <si>
    <t>[绿巨人]游戏&lt;color=#00bfff&gt;技能战力升到20000以上&lt;/color&gt;</t>
  </si>
  <si>
    <t>12269_103100_20000</t>
  </si>
  <si>
    <t>在[绿巨人]游戏中&lt;color=#00bfff&gt;投注100次&lt;/color&gt;</t>
  </si>
  <si>
    <t>12221_103100_100</t>
  </si>
  <si>
    <t>[绿巨人]建筑&lt;color=#00bfff&gt;等级升到30级&lt;/color&gt;</t>
  </si>
  <si>
    <t>12207_1106_30</t>
  </si>
  <si>
    <t>[绿巨人]建筑&lt;color=#00bfff&gt;等级升到35级&lt;/color&gt;</t>
  </si>
  <si>
    <t>12207_1106_35</t>
  </si>
  <si>
    <t>在[绿巨人]游戏中&lt;color=#00bfff&gt;投注500万金币&lt;/color&gt;</t>
  </si>
  <si>
    <t>12001_103100_5000000</t>
  </si>
  <si>
    <t>[绿巨人]建筑&lt;color=#00bfff&gt;等级升到40级&lt;/color&gt;</t>
  </si>
  <si>
    <t>12207_1106_40</t>
  </si>
  <si>
    <t>1024005_100|1022502_3|1022505_96275</t>
  </si>
  <si>
    <t>[绿巨人]游戏&lt;color=#00bfff&gt;技能战力升到50000以上&lt;/color&gt;</t>
  </si>
  <si>
    <t>12269_103100_50000</t>
  </si>
  <si>
    <t>解锁&lt;color=#00bfff&gt;[寒冰王座]&lt;/color&gt;游戏建筑</t>
  </si>
  <si>
    <t>12273_1_1105</t>
  </si>
  <si>
    <t>1024001_5000|1990000_1000000|1022505_169045</t>
  </si>
  <si>
    <t>在[寒冰王座]游戏中&lt;color=#00bfff&gt;投注20次&lt;/color&gt;</t>
  </si>
  <si>
    <t>12221_102500_20</t>
  </si>
  <si>
    <t>1980000_20|1024007_5|1022505_169045</t>
  </si>
  <si>
    <t>[寒冰王座]建筑&lt;color=#00bfff&gt;等级升到3级&lt;/color&gt;</t>
  </si>
  <si>
    <t>12207_1105_3</t>
  </si>
  <si>
    <t>1024005_20|1022502_3|1022505_169045</t>
  </si>
  <si>
    <t>[寒冰王座]游戏&lt;color=#00bfff&gt;技能升级1次&lt;/color&gt;</t>
  </si>
  <si>
    <t>12304_102500_1</t>
  </si>
  <si>
    <t>在[寒冰王座]游戏中&lt;color=#00bfff&gt;赢取50万金币&lt;/color&gt;</t>
  </si>
  <si>
    <t>12225_102500_1990000_500000</t>
  </si>
  <si>
    <t>[寒冰王座]建筑&lt;color=#00bfff&gt;等级升到5级&lt;/color&gt;</t>
  </si>
  <si>
    <t>12207_1105_5</t>
  </si>
  <si>
    <t>1024005_40|1022502_3|1022505_169045</t>
  </si>
  <si>
    <t>在[寒冰王座]游戏中&lt;color=#00bfff&gt;投注100万金币&lt;/color&gt;</t>
  </si>
  <si>
    <t>12001_102500_1000000</t>
  </si>
  <si>
    <t>[寒冰王座]建筑&lt;color=#00bfff&gt;等级升到10级&lt;/color&gt;</t>
  </si>
  <si>
    <t>12207_1105_10</t>
  </si>
  <si>
    <t>1024005_60|1990000_1000000|1022505_169045</t>
  </si>
  <si>
    <t>[寒冰王座]游戏&lt;color=#00bfff&gt;技能战力升到5000以上&lt;/color&gt;</t>
  </si>
  <si>
    <t>12269_102500_5000</t>
  </si>
  <si>
    <t>在[寒冰王座]游戏中&lt;color=#00bfff&gt;投注50次&lt;/color&gt;</t>
  </si>
  <si>
    <t>12221_102500_50</t>
  </si>
  <si>
    <t>[寒冰王座]建筑&lt;color=#00bfff&gt;等级升到15级&lt;/color&gt;</t>
  </si>
  <si>
    <t>12207_1105_15</t>
  </si>
  <si>
    <t>在[寒冰王座]游戏中&lt;color=#00bfff&gt;赢取100万金币&lt;/color&gt;</t>
  </si>
  <si>
    <t>12225_102500_1990000_1000000</t>
  </si>
  <si>
    <t>[寒冰王座]建筑&lt;color=#00bfff&gt;等级升到20级&lt;/color&gt;</t>
  </si>
  <si>
    <t>12207_1105_20</t>
  </si>
  <si>
    <t>在[寒冰王座]游戏中&lt;color=#00bfff&gt;投注300万金币&lt;/color&gt;</t>
  </si>
  <si>
    <t>12001_102500_3000000</t>
  </si>
  <si>
    <t>[寒冰王座]建筑&lt;color=#00bfff&gt;等级升到25级&lt;/color&gt;</t>
  </si>
  <si>
    <t>12207_1105_25</t>
  </si>
  <si>
    <t>1024005_80|1022502_3|1022505_169045</t>
  </si>
  <si>
    <t>[寒冰王座]游戏&lt;color=#00bfff&gt;技能战力升到20000以上&lt;/color&gt;</t>
  </si>
  <si>
    <t>12269_102500_20000</t>
  </si>
  <si>
    <t>在[寒冰王座]游戏中&lt;color=#00bfff&gt;投注100次&lt;/color&gt;</t>
  </si>
  <si>
    <t>12221_102500_100</t>
  </si>
  <si>
    <t>[寒冰王座]建筑&lt;color=#00bfff&gt;等级升到30级&lt;/color&gt;</t>
  </si>
  <si>
    <t>12207_1105_30</t>
  </si>
  <si>
    <t>[寒冰王座]建筑&lt;color=#00bfff&gt;等级升到35级&lt;/color&gt;</t>
  </si>
  <si>
    <t>12207_1105_35</t>
  </si>
  <si>
    <t>在[寒冰王座]游戏中&lt;color=#00bfff&gt;投注500万金币&lt;/color&gt;</t>
  </si>
  <si>
    <t>12001_102500_5000000</t>
  </si>
  <si>
    <t>[寒冰王座]建筑&lt;color=#00bfff&gt;等级升到40级&lt;/color&gt;</t>
  </si>
  <si>
    <t>12207_1105_40</t>
  </si>
  <si>
    <t>1024005_100|1022502_3|1022505_169045</t>
  </si>
  <si>
    <t>[寒冰王座]游戏&lt;color=#00bfff&gt;技能战力升到50000以上&lt;/color&gt;</t>
  </si>
  <si>
    <t>12269_102500_50000</t>
  </si>
  <si>
    <t>解锁&lt;color=#00bfff&gt;[财神来了]&lt;/color&gt;游戏建筑</t>
  </si>
  <si>
    <t>12273_1_1104</t>
  </si>
  <si>
    <t>1024001_5000|1990000_1000000|1022505_271350</t>
  </si>
  <si>
    <t>在[财神来了]游戏中&lt;color=#00bfff&gt;投注20次&lt;/color&gt;</t>
  </si>
  <si>
    <t>12221_101200_20</t>
  </si>
  <si>
    <t>1980000_20|1024007_5|1022505_271350</t>
  </si>
  <si>
    <t>[财神来了]建筑&lt;color=#00bfff&gt;等级升到3级&lt;/color&gt;</t>
  </si>
  <si>
    <t>12207_1104_3</t>
  </si>
  <si>
    <t>1024005_20|1022502_3|1022505_271350</t>
  </si>
  <si>
    <t>[财神来了]游戏&lt;color=#00bfff&gt;技能升级1次&lt;/color&gt;</t>
  </si>
  <si>
    <t>12304_101200_1</t>
  </si>
  <si>
    <t>在[财神来了]游戏中&lt;color=#00bfff&gt;赢取50万金币&lt;/color&gt;</t>
  </si>
  <si>
    <t>12225_101200_1990000_500000</t>
  </si>
  <si>
    <t>[财神来了]建筑&lt;color=#00bfff&gt;等级升到5级&lt;/color&gt;</t>
  </si>
  <si>
    <t>12207_1104_5</t>
  </si>
  <si>
    <t>1024005_40|1022502_3|1022505_271350</t>
  </si>
  <si>
    <t>在[财神来了]游戏中&lt;color=#00bfff&gt;投注100万金币&lt;/color&gt;</t>
  </si>
  <si>
    <t>12001_101200_1000000</t>
  </si>
  <si>
    <t>[财神来了]建筑&lt;color=#00bfff&gt;等级升到10级&lt;/color&gt;</t>
  </si>
  <si>
    <t>12207_1104_10</t>
  </si>
  <si>
    <t>1024005_60|1022502_3|1022505_271350</t>
  </si>
  <si>
    <t>[财神来了]游戏&lt;color=#00bfff&gt;技能战力升到5000以上&lt;/color&gt;</t>
  </si>
  <si>
    <t>12269_101200_5000</t>
  </si>
  <si>
    <t>在[财神来了]游戏中&lt;color=#00bfff&gt;投注50次&lt;/color&gt;</t>
  </si>
  <si>
    <t>12221_101200_50</t>
  </si>
  <si>
    <t>[财神来了]建筑&lt;color=#00bfff&gt;等级升到15级&lt;/color&gt;</t>
  </si>
  <si>
    <t>12207_1104_15</t>
  </si>
  <si>
    <t>在[财神来了]游戏中&lt;color=#00bfff&gt;赢取100万金币&lt;/color&gt;</t>
  </si>
  <si>
    <t>12225_101200_1990000_1000000</t>
  </si>
  <si>
    <t>[财神来了]建筑&lt;color=#00bfff&gt;等级升到20级&lt;/color&gt;</t>
  </si>
  <si>
    <t>12207_1104_20</t>
  </si>
  <si>
    <t>在[财神来了]游戏中&lt;color=#00bfff&gt;投注300万金币&lt;/color&gt;</t>
  </si>
  <si>
    <t>12001_101200_3000000</t>
  </si>
  <si>
    <t>[财神来了]建筑&lt;color=#00bfff&gt;等级升到25级&lt;/color&gt;</t>
  </si>
  <si>
    <t>12207_1104_25</t>
  </si>
  <si>
    <t>1024005_80|1022502_3|1022505_271350</t>
  </si>
  <si>
    <t>[财神来了]游戏&lt;color=#00bfff&gt;技能战力升到20000以上&lt;/color&gt;</t>
  </si>
  <si>
    <t>12269_101200_20000</t>
  </si>
  <si>
    <t>在[财神来了]游戏中&lt;color=#00bfff&gt;投注100次&lt;/color&gt;</t>
  </si>
  <si>
    <t>12221_101200_100</t>
  </si>
  <si>
    <t>[财神来了]建筑&lt;color=#00bfff&gt;等级升到30级&lt;/color&gt;</t>
  </si>
  <si>
    <t>12207_1104_30</t>
  </si>
  <si>
    <t>[财神来了]建筑&lt;color=#00bfff&gt;等级升到35级&lt;/color&gt;</t>
  </si>
  <si>
    <t>12207_1104_35</t>
  </si>
  <si>
    <t>在[财神来了]游戏中&lt;color=#00bfff&gt;投注500万金币&lt;/color&gt;</t>
  </si>
  <si>
    <t>12001_101200_5000000</t>
  </si>
  <si>
    <t>[财神来了]建筑&lt;color=#00bfff&gt;等级升到40级&lt;/color&gt;</t>
  </si>
  <si>
    <t>12207_1104_40</t>
  </si>
  <si>
    <t>1024005_100|1022502_3|1022505_271350</t>
  </si>
  <si>
    <t>[财神来了]游戏&lt;color=#00bfff&gt;技能战力升到50000以上&lt;/color&gt;</t>
  </si>
  <si>
    <t>12269_101200_50000</t>
  </si>
  <si>
    <t>解锁&lt;color=#00bfff&gt;[超级明星]&lt;/color&gt;游戏建筑</t>
  </si>
  <si>
    <t>12273_1_1103</t>
  </si>
  <si>
    <t>1024001_5000|1990000_1000000|1022505_408262</t>
  </si>
  <si>
    <t>在[超级明星]游戏中&lt;color=#00bfff&gt;投注20次&lt;/color&gt;</t>
  </si>
  <si>
    <t>12221_100300_20</t>
  </si>
  <si>
    <t>1980000_20|1024007_5|1022505_408262</t>
  </si>
  <si>
    <t>[超级明星]建筑&lt;color=#00bfff&gt;等级升到3级&lt;/color&gt;</t>
  </si>
  <si>
    <t>12207_1103_3</t>
  </si>
  <si>
    <t>1024005_20|1022502_3|1022505_408262</t>
  </si>
  <si>
    <t>[超级明星]游戏&lt;color=#00bfff&gt;技能升级1次&lt;/color&gt;</t>
  </si>
  <si>
    <t>12304_100300_1</t>
  </si>
  <si>
    <t>在[超级明星]游戏中&lt;color=#00bfff&gt;赢取50万金币&lt;/color&gt;</t>
  </si>
  <si>
    <t>12225_100300_1990000_500000</t>
  </si>
  <si>
    <t>[超级明星]建筑&lt;color=#00bfff&gt;等级升到5级&lt;/color&gt;</t>
  </si>
  <si>
    <t>12207_1103_5</t>
  </si>
  <si>
    <t>1024005_40|1990000_1000000|1022505_408262</t>
  </si>
  <si>
    <t>在[超级明星]游戏中&lt;color=#00bfff&gt;投注100万金币&lt;/color&gt;</t>
  </si>
  <si>
    <t>12001_100300_1000000</t>
  </si>
  <si>
    <t>[超级明星]建筑&lt;color=#00bfff&gt;等级升到10级&lt;/color&gt;</t>
  </si>
  <si>
    <t>12207_1103_10</t>
  </si>
  <si>
    <t>1024005_60|1022502_3|1022505_408262</t>
  </si>
  <si>
    <t>[超级明星]游戏&lt;color=#00bfff&gt;技能战力升到5000以上&lt;/color&gt;</t>
  </si>
  <si>
    <t>12269_100300_5000</t>
  </si>
  <si>
    <t>在[超级明星]游戏中&lt;color=#00bfff&gt;投注50次&lt;/color&gt;</t>
  </si>
  <si>
    <t>12221_100300_50</t>
  </si>
  <si>
    <t>[超级明星]建筑&lt;color=#00bfff&gt;等级升到15级&lt;/color&gt;</t>
  </si>
  <si>
    <t>12207_1103_15</t>
  </si>
  <si>
    <t>在[超级明星]游戏中&lt;color=#00bfff&gt;赢取100万金币&lt;/color&gt;</t>
  </si>
  <si>
    <t>12225_100300_1990000_1000000</t>
  </si>
  <si>
    <t>[超级明星]建筑&lt;color=#00bfff&gt;等级升到20级&lt;/color&gt;</t>
  </si>
  <si>
    <t>12207_1103_20</t>
  </si>
  <si>
    <t>在[超级明星]游戏中&lt;color=#00bfff&gt;投注300万金币&lt;/color&gt;</t>
  </si>
  <si>
    <t>12001_100300_3000000</t>
  </si>
  <si>
    <t>[超级明星]建筑&lt;color=#00bfff&gt;等级升到25级&lt;/color&gt;</t>
  </si>
  <si>
    <t>12207_1103_25</t>
  </si>
  <si>
    <t>1024005_80|1022502_3|1022505_408262</t>
  </si>
  <si>
    <t>[超级明星]游戏&lt;color=#00bfff&gt;技能战力升到20000以上&lt;/color&gt;</t>
  </si>
  <si>
    <t>12269_100300_20000</t>
  </si>
  <si>
    <t>在[超级明星]游戏中&lt;color=#00bfff&gt;投注100次&lt;/color&gt;</t>
  </si>
  <si>
    <t>12221_100300_100</t>
  </si>
  <si>
    <t>[超级明星]建筑&lt;color=#00bfff&gt;等级升到30级&lt;/color&gt;</t>
  </si>
  <si>
    <t>12207_1103_30</t>
  </si>
  <si>
    <t>[超级明星]建筑&lt;color=#00bfff&gt;等级升到35级&lt;/color&gt;</t>
  </si>
  <si>
    <t>12207_1103_35</t>
  </si>
  <si>
    <t>在[超级明星]游戏中&lt;color=#00bfff&gt;投注500万金币&lt;/color&gt;</t>
  </si>
  <si>
    <t>12001_100300_5000000</t>
  </si>
  <si>
    <t>[超级明星]建筑&lt;color=#00bfff&gt;等级升到40级&lt;/color&gt;</t>
  </si>
  <si>
    <t>12207_1103_40</t>
  </si>
  <si>
    <t>1024005_100|1022502_3|1022505_408262</t>
  </si>
  <si>
    <t>[超级明星]游戏&lt;color=#00bfff&gt;技能战力升到50000以上&lt;/color&gt;</t>
  </si>
  <si>
    <t>12269_100300_50000</t>
  </si>
  <si>
    <t>解锁&lt;color=#00bfff&gt;[狼月]&lt;/color&gt;游戏建筑</t>
  </si>
  <si>
    <t>12273_1_1109</t>
  </si>
  <si>
    <t>1024001_5000|1990000_1000000|1022505_584779</t>
  </si>
  <si>
    <t>在[狼月]游戏中&lt;color=#00bfff&gt;投注20次&lt;/color&gt;</t>
  </si>
  <si>
    <t>12221_101500_20</t>
  </si>
  <si>
    <t>1980000_20|1024007_5|1022505_584779</t>
  </si>
  <si>
    <t>[狼月]建筑&lt;color=#00bfff&gt;等级升到3级&lt;/color&gt;</t>
  </si>
  <si>
    <t>12207_1109_3</t>
  </si>
  <si>
    <t>1024005_20|1022502_3|1022505_584779</t>
  </si>
  <si>
    <t>[狼月]游戏&lt;color=#00bfff&gt;技能升级1次&lt;/color&gt;</t>
  </si>
  <si>
    <t>12304_101500_1</t>
  </si>
  <si>
    <t>在[狼月]游戏中&lt;color=#00bfff&gt;赢取50万金币&lt;/color&gt;</t>
  </si>
  <si>
    <t>12225_101500_1990000_500000</t>
  </si>
  <si>
    <t>[狼月]建筑&lt;color=#00bfff&gt;等级升到5级&lt;/color&gt;</t>
  </si>
  <si>
    <t>12207_1109_5</t>
  </si>
  <si>
    <t>1024005_40|1990000_1000000|1022505_584779</t>
  </si>
  <si>
    <t>在[狼月]游戏中&lt;color=#00bfff&gt;投注100万金币&lt;/color&gt;</t>
  </si>
  <si>
    <t>12001_101500_1000000</t>
  </si>
  <si>
    <t>[狼月]建筑&lt;color=#00bfff&gt;等级升到10级&lt;/color&gt;</t>
  </si>
  <si>
    <t>12207_1109_10</t>
  </si>
  <si>
    <t>1024005_60|1022502_3|1022505_584779</t>
  </si>
  <si>
    <t>[狼月]游戏&lt;color=#00bfff&gt;技能战力升到5000以上&lt;/color&gt;</t>
  </si>
  <si>
    <t>12269_101500_5000</t>
  </si>
  <si>
    <t>在[狼月]游戏中&lt;color=#00bfff&gt;投注50次&lt;/color&gt;</t>
  </si>
  <si>
    <t>12221_101500_50</t>
  </si>
  <si>
    <t>[狼月]建筑&lt;color=#00bfff&gt;等级升到15级&lt;/color&gt;</t>
  </si>
  <si>
    <t>12207_1109_15</t>
  </si>
  <si>
    <t>在[狼月]游戏中&lt;color=#00bfff&gt;赢取100万金币&lt;/color&gt;</t>
  </si>
  <si>
    <t>12225_101500_1990000_1000000</t>
  </si>
  <si>
    <t>[狼月]建筑&lt;color=#00bfff&gt;等级升到20级&lt;/color&gt;</t>
  </si>
  <si>
    <t>12207_1109_20</t>
  </si>
  <si>
    <t>在[狼月]游戏中&lt;color=#00bfff&gt;投注300万金币&lt;/color&gt;</t>
  </si>
  <si>
    <t>12001_101500_3000000</t>
  </si>
  <si>
    <t>[狼月]建筑&lt;color=#00bfff&gt;等级升到25级&lt;/color&gt;</t>
  </si>
  <si>
    <t>12207_1109_25</t>
  </si>
  <si>
    <t>1024005_80|1022502_3|1022505_584779</t>
  </si>
  <si>
    <t>[狼月]游戏&lt;color=#00bfff&gt;技能战力升到20000以上&lt;/color&gt;</t>
  </si>
  <si>
    <t>12269_101500_20000</t>
  </si>
  <si>
    <t>在[狼月]游戏中&lt;color=#00bfff&gt;投注100次&lt;/color&gt;</t>
  </si>
  <si>
    <t>12221_101500_100</t>
  </si>
  <si>
    <t>[狼月]建筑&lt;color=#00bfff&gt;等级升到30级&lt;/color&gt;</t>
  </si>
  <si>
    <t>12207_1109_30</t>
  </si>
  <si>
    <t>[狼月]建筑&lt;color=#00bfff&gt;等级升到35级&lt;/color&gt;</t>
  </si>
  <si>
    <t>12207_1109_35</t>
  </si>
  <si>
    <t>在[狼月]游戏中&lt;color=#00bfff&gt;投注500万金币&lt;/color&gt;</t>
  </si>
  <si>
    <t>12001_101500_5000000</t>
  </si>
  <si>
    <t>[狼月]建筑&lt;color=#00bfff&gt;等级升到40级&lt;/color&gt;</t>
  </si>
  <si>
    <t>12207_1109_40</t>
  </si>
  <si>
    <t>1024005_100|1022502_3|1022505_584779</t>
  </si>
  <si>
    <t>[狼月]游戏&lt;color=#00bfff&gt;技能战力升到50000以上&lt;/color&gt;</t>
  </si>
  <si>
    <t>12269_101500_50000</t>
  </si>
  <si>
    <t>解锁&lt;color=#00bfff&gt;[宙斯vs哈迪斯]&lt;/color&gt;游戏建筑</t>
  </si>
  <si>
    <t>12273_1_1108</t>
  </si>
  <si>
    <t>1024001_5000|1990000_1000000|1022505_805725</t>
  </si>
  <si>
    <t>在[宙斯vs哈迪斯]游戏中&lt;color=#00bfff&gt;投注20次&lt;/color&gt;</t>
  </si>
  <si>
    <t>12221_102000_20</t>
  </si>
  <si>
    <t>1980000_20|1024007_5|1022505_805725</t>
  </si>
  <si>
    <t>[宙斯vs哈迪斯]建筑&lt;color=#00bfff&gt;等级升到3级&lt;/color&gt;</t>
  </si>
  <si>
    <t>12207_1108_3</t>
  </si>
  <si>
    <t>1024005_20|1990000_1000000|1022505_805725</t>
  </si>
  <si>
    <t>[宙斯vs哈迪斯]游戏&lt;color=#00bfff&gt;技能升级1次&lt;/color&gt;</t>
  </si>
  <si>
    <t>12304_102000_1</t>
  </si>
  <si>
    <t>在[宙斯vs哈迪斯]游戏中&lt;color=#00bfff&gt;赢取50万金币&lt;/color&gt;</t>
  </si>
  <si>
    <t>12225_102000_1990000_500000</t>
  </si>
  <si>
    <t>[宙斯vs哈迪斯]建筑&lt;color=#00bfff&gt;等级升到5级&lt;/color&gt;</t>
  </si>
  <si>
    <t>12207_1108_5</t>
  </si>
  <si>
    <t>1024005_40|1022502_3|1022505_805725</t>
  </si>
  <si>
    <t>在[宙斯vs哈迪斯]游戏中&lt;color=#00bfff&gt;投注100万金币&lt;/color&gt;</t>
  </si>
  <si>
    <t>12001_102000_1000000</t>
  </si>
  <si>
    <t>[宙斯vs哈迪斯]建筑&lt;color=#00bfff&gt;等级升到10级&lt;/color&gt;</t>
  </si>
  <si>
    <t>12207_1108_10</t>
  </si>
  <si>
    <t>1024005_60|1022502_3|1022505_805725</t>
  </si>
  <si>
    <t>[宙斯vs哈迪斯]游戏&lt;color=#00bfff&gt;技能战力升到5000以上&lt;/color&gt;</t>
  </si>
  <si>
    <t>12269_102000_5000</t>
  </si>
  <si>
    <t>在[宙斯vs哈迪斯]游戏中&lt;color=#00bfff&gt;投注50次&lt;/color&gt;</t>
  </si>
  <si>
    <t>12221_102000_50</t>
  </si>
  <si>
    <t>[宙斯vs哈迪斯]建筑&lt;color=#00bfff&gt;等级升到15级&lt;/color&gt;</t>
  </si>
  <si>
    <t>12207_1108_15</t>
  </si>
  <si>
    <t>在[宙斯vs哈迪斯]游戏中&lt;color=#00bfff&gt;赢取100万金币&lt;/color&gt;</t>
  </si>
  <si>
    <t>12225_102000_1990000_1000000</t>
  </si>
  <si>
    <t>[宙斯vs哈迪斯]建筑&lt;color=#00bfff&gt;等级升到20级&lt;/color&gt;</t>
  </si>
  <si>
    <t>12207_1108_20</t>
  </si>
  <si>
    <t>在[宙斯vs哈迪斯]游戏中&lt;color=#00bfff&gt;投注300万金币&lt;/color&gt;</t>
  </si>
  <si>
    <t>12001_102000_3000000</t>
  </si>
  <si>
    <t>[宙斯vs哈迪斯]建筑&lt;color=#00bfff&gt;等级升到25级&lt;/color&gt;</t>
  </si>
  <si>
    <t>12207_1108_25</t>
  </si>
  <si>
    <t>1024005_80|1022502_3|1022505_805725</t>
  </si>
  <si>
    <t>[宙斯vs哈迪斯]游戏&lt;color=#00bfff&gt;技能战力升到20000以上&lt;/color&gt;</t>
  </si>
  <si>
    <t>12269_102000_20000</t>
  </si>
  <si>
    <t>在[宙斯vs哈迪斯]游戏中&lt;color=#00bfff&gt;投注100次&lt;/color&gt;</t>
  </si>
  <si>
    <t>12221_102000_100</t>
  </si>
  <si>
    <t>[宙斯vs哈迪斯]建筑&lt;color=#00bfff&gt;等级升到30级&lt;/color&gt;</t>
  </si>
  <si>
    <t>12207_1108_30</t>
  </si>
  <si>
    <t>[宙斯vs哈迪斯]建筑&lt;color=#00bfff&gt;等级升到35级&lt;/color&gt;</t>
  </si>
  <si>
    <t>12207_1108_35</t>
  </si>
  <si>
    <t>在[宙斯vs哈迪斯]游戏中&lt;color=#00bfff&gt;投注500万金币&lt;/color&gt;</t>
  </si>
  <si>
    <t>12001_102000_5000000</t>
  </si>
  <si>
    <t>[宙斯vs哈迪斯]建筑&lt;color=#00bfff&gt;等级升到40级&lt;/color&gt;</t>
  </si>
  <si>
    <t>12207_1108_40</t>
  </si>
  <si>
    <t>1024005_100|1022502_3|1022505_805725</t>
  </si>
  <si>
    <t>[宙斯vs哈迪斯]游戏&lt;color=#00bfff&gt;技能战力升到50000以上&lt;/color&gt;</t>
  </si>
  <si>
    <t>12269_102000_50000</t>
  </si>
  <si>
    <t>解锁&lt;color=#00bfff&gt;[杰克船长]&lt;/color&gt;游戏建筑</t>
  </si>
  <si>
    <t>12273_1_1112</t>
  </si>
  <si>
    <t>1024001_5000|1990000_1000000|1022505_1076470</t>
  </si>
  <si>
    <t>在[杰克船长]游戏中&lt;color=#00bfff&gt;投注20次&lt;/color&gt;</t>
  </si>
  <si>
    <t>12221_102100_20</t>
  </si>
  <si>
    <t>1980000_20|1024007_5|1022505_1076470</t>
  </si>
  <si>
    <t>[杰克船长]建筑&lt;color=#00bfff&gt;等级升到3级&lt;/color&gt;</t>
  </si>
  <si>
    <t>12207_1112_3</t>
  </si>
  <si>
    <t>1024005_20|1990000_1000000|1022505_1076470</t>
  </si>
  <si>
    <t>[杰克船长]游戏&lt;color=#00bfff&gt;技能升级1次&lt;/color&gt;</t>
  </si>
  <si>
    <t>12304_102100_1</t>
  </si>
  <si>
    <t>在[杰克船长]游戏中&lt;color=#00bfff&gt;赢取50万金币&lt;/color&gt;</t>
  </si>
  <si>
    <t>12225_102100_1990000_500000</t>
  </si>
  <si>
    <t>[杰克船长]建筑&lt;color=#00bfff&gt;等级升到5级&lt;/color&gt;</t>
  </si>
  <si>
    <t>12207_1112_5</t>
  </si>
  <si>
    <t>1024005_40|1022502_3|1022505_1076470</t>
  </si>
  <si>
    <t>在[杰克船长]游戏中&lt;color=#00bfff&gt;投注100万金币&lt;/color&gt;</t>
  </si>
  <si>
    <t>12001_102100_1000000</t>
  </si>
  <si>
    <t>[杰克船长]建筑&lt;color=#00bfff&gt;等级升到10级&lt;/color&gt;</t>
  </si>
  <si>
    <t>12207_1112_10</t>
  </si>
  <si>
    <t>1024005_60|1022502_3|1022505_1076470</t>
  </si>
  <si>
    <t>[杰克船长]游戏&lt;color=#00bfff&gt;技能战力升到5000以上&lt;/color&gt;</t>
  </si>
  <si>
    <t>12269_102100_5000</t>
  </si>
  <si>
    <t>在[杰克船长]游戏中&lt;color=#00bfff&gt;投注50次&lt;/color&gt;</t>
  </si>
  <si>
    <t>12221_102100_50</t>
  </si>
  <si>
    <t>[杰克船长]建筑&lt;color=#00bfff&gt;等级升到15级&lt;/color&gt;</t>
  </si>
  <si>
    <t>12207_1112_15</t>
  </si>
  <si>
    <t>在[杰克船长]游戏中&lt;color=#00bfff&gt;赢取100万金币&lt;/color&gt;</t>
  </si>
  <si>
    <t>12225_102100_1990000_1000000</t>
  </si>
  <si>
    <t>[杰克船长]建筑&lt;color=#00bfff&gt;等级升到20级&lt;/color&gt;</t>
  </si>
  <si>
    <t>12207_1112_20</t>
  </si>
  <si>
    <t>在[杰克船长]游戏中&lt;color=#00bfff&gt;投注300万金币&lt;/color&gt;</t>
  </si>
  <si>
    <t>12001_102100_3000000</t>
  </si>
  <si>
    <t>[杰克船长]建筑&lt;color=#00bfff&gt;等级升到25级&lt;/color&gt;</t>
  </si>
  <si>
    <t>12207_1112_25</t>
  </si>
  <si>
    <t>1024005_80|1022502_3|1022505_1076470</t>
  </si>
  <si>
    <t>[杰克船长]游戏&lt;color=#00bfff&gt;技能战力升到20000以上&lt;/color&gt;</t>
  </si>
  <si>
    <t>12269_102100_20000</t>
  </si>
  <si>
    <t>在[杰克船长]游戏中&lt;color=#00bfff&gt;投注100次&lt;/color&gt;</t>
  </si>
  <si>
    <t>12221_102100_100</t>
  </si>
  <si>
    <t>[杰克船长]建筑&lt;color=#00bfff&gt;等级升到30级&lt;/color&gt;</t>
  </si>
  <si>
    <t>12207_1112_30</t>
  </si>
  <si>
    <t>[杰克船长]建筑&lt;color=#00bfff&gt;等级升到35级&lt;/color&gt;</t>
  </si>
  <si>
    <t>12207_1112_35</t>
  </si>
  <si>
    <t>在[杰克船长]游戏中&lt;color=#00bfff&gt;投注500万金币&lt;/color&gt;</t>
  </si>
  <si>
    <t>12001_102100_5000000</t>
  </si>
  <si>
    <t>[杰克船长]建筑&lt;color=#00bfff&gt;等级升到40级&lt;/color&gt;</t>
  </si>
  <si>
    <t>12207_1112_40</t>
  </si>
  <si>
    <t>1024005_100|1022502_3|1022505_1076470</t>
  </si>
  <si>
    <t>[杰克船长]游戏&lt;color=#00bfff&gt;技能战力升到50000以上&lt;/color&gt;</t>
  </si>
  <si>
    <t>12269_102100_50000</t>
  </si>
  <si>
    <t>成就任务</t>
  </si>
  <si>
    <t>12265_1</t>
  </si>
  <si>
    <t>1150001_1|1980000_200</t>
  </si>
  <si>
    <t/>
  </si>
  <si>
    <t>1150001.png</t>
  </si>
  <si>
    <t>累积登陆&lt;color=#00bfff&gt;1天&lt;/color&gt;</t>
  </si>
  <si>
    <t>12265_2</t>
  </si>
  <si>
    <t>1990000_400000|1980000_400</t>
  </si>
  <si>
    <t>1150032.png</t>
  </si>
  <si>
    <t>累积登陆&lt;color=#00bfff&gt;2天&lt;/color&gt;</t>
  </si>
  <si>
    <t>12265_3</t>
  </si>
  <si>
    <t>1990000_400000|1980000_600</t>
  </si>
  <si>
    <t>累积登陆&lt;color=#00bfff&gt;3天&lt;/color&gt;</t>
  </si>
  <si>
    <t>12265_4</t>
  </si>
  <si>
    <t>1990000_600000|1980000_800</t>
  </si>
  <si>
    <t>累积登陆&lt;color=#00bfff&gt;4天&lt;/color&gt;</t>
  </si>
  <si>
    <t>12265_5</t>
  </si>
  <si>
    <t>1990000_1000000|1980000_1000</t>
  </si>
  <si>
    <t>累积登陆&lt;color=#00bfff&gt;5天&lt;/color&gt;</t>
  </si>
  <si>
    <t>12265_6</t>
  </si>
  <si>
    <t>1150032_1|1980000_1200</t>
  </si>
  <si>
    <t>累积登陆&lt;color=#00bfff&gt;6天&lt;/color&gt;</t>
  </si>
  <si>
    <t>12268_1_5</t>
  </si>
  <si>
    <t>1990000_200000|1980000_200</t>
  </si>
  <si>
    <t>1150002.png</t>
  </si>
  <si>
    <t>赌场等级达到&lt;color=#00bfff&gt;5级&lt;/color&gt;</t>
  </si>
  <si>
    <t>12268_1_10</t>
  </si>
  <si>
    <t>赌场等级达到&lt;color=#00bfff&gt;10级&lt;/color&gt;</t>
  </si>
  <si>
    <t>12268_1_15</t>
  </si>
  <si>
    <t>1150002_1|1980000_600</t>
  </si>
  <si>
    <t>赌场等级达到&lt;color=#00bfff&gt;15级&lt;/color&gt;</t>
  </si>
  <si>
    <t>12268_1_20</t>
  </si>
  <si>
    <t>1150053.png</t>
  </si>
  <si>
    <t>赌场等级达到&lt;color=#00bfff&gt;20级&lt;/color&gt;</t>
  </si>
  <si>
    <t>12268_1_30</t>
  </si>
  <si>
    <t>赌场等级达到&lt;color=#00bfff&gt;30级&lt;/color&gt;</t>
  </si>
  <si>
    <t>12268_1_40</t>
  </si>
  <si>
    <t>1150053_1|1980000_1200</t>
  </si>
  <si>
    <t>赌场等级达到&lt;color=#00bfff&gt;40级&lt;/color&gt;</t>
  </si>
  <si>
    <t>12256_5_5</t>
  </si>
  <si>
    <t>1150016.png</t>
  </si>
  <si>
    <t>拥有&lt;color=#00bfff&gt;5个5级以上的游戏建筑&lt;/color&gt;</t>
  </si>
  <si>
    <t>12256_10_5</t>
  </si>
  <si>
    <t>拥有&lt;color=#00bfff&gt;10个5级以上的游戏建筑&lt;/color&gt;</t>
  </si>
  <si>
    <t>12256_5_20</t>
  </si>
  <si>
    <t>1150016_1|1980000_600</t>
  </si>
  <si>
    <t>拥有&lt;color=#00bfff&gt;5个20级以上的游戏建筑&lt;/color&gt;</t>
  </si>
  <si>
    <t>12256_10_20</t>
  </si>
  <si>
    <t>1150029.png</t>
  </si>
  <si>
    <t>拥有&lt;color=#00bfff&gt;10个20级以上的游戏建筑&lt;/color&gt;</t>
  </si>
  <si>
    <t>12256_8_30</t>
  </si>
  <si>
    <t>拥有&lt;color=#00bfff&gt;8个30级以上的游戏建筑&lt;/color&gt;</t>
  </si>
  <si>
    <t>12256_5_40</t>
  </si>
  <si>
    <t>1150029_1|1980000_1200</t>
  </si>
  <si>
    <t>拥有&lt;color=#00bfff&gt;5个40级以上的游戏建筑&lt;/color&gt;</t>
  </si>
  <si>
    <t>12257_10</t>
  </si>
  <si>
    <t>1150030.png</t>
  </si>
  <si>
    <t>观看&lt;color=#00bfff&gt;10次广告&lt;/color&gt;</t>
  </si>
  <si>
    <t>12257_20</t>
  </si>
  <si>
    <t>观看&lt;color=#00bfff&gt;20次广告&lt;/color&gt;</t>
  </si>
  <si>
    <t>12257_50</t>
  </si>
  <si>
    <t>1150030_1|1980000_600</t>
  </si>
  <si>
    <t>观看&lt;color=#00bfff&gt;50次广告&lt;/color&gt;</t>
  </si>
  <si>
    <t>12257_100</t>
  </si>
  <si>
    <t>1150028.png</t>
  </si>
  <si>
    <t>观看&lt;color=#00bfff&gt;100次广告&lt;/color&gt;</t>
  </si>
  <si>
    <t>12257_150</t>
  </si>
  <si>
    <t>观看&lt;color=#00bfff&gt;150次广告&lt;/color&gt;</t>
  </si>
  <si>
    <t>12257_200</t>
  </si>
  <si>
    <t>1150028_1|1980000_1200</t>
  </si>
  <si>
    <t>观看&lt;color=#00bfff&gt;200次广告&lt;/color&gt;</t>
  </si>
  <si>
    <t>12259_10_3_3</t>
  </si>
  <si>
    <t>1150017.png</t>
  </si>
  <si>
    <t>拥有&lt;color=#00bfff&gt;3个3星游戏经理&lt;/color&gt;</t>
  </si>
  <si>
    <t>12259_10_4_5</t>
  </si>
  <si>
    <t>拥有&lt;color=#00bfff&gt;4个5星游戏经理&lt;/color&gt;</t>
  </si>
  <si>
    <t>12259_20_3_3</t>
  </si>
  <si>
    <t>1150017_1|1980000_600</t>
  </si>
  <si>
    <t>拥有&lt;color=#00bfff&gt;3个3星服务经理&lt;/color&gt;</t>
  </si>
  <si>
    <t>12259_20_4_5</t>
  </si>
  <si>
    <t>1150018.png</t>
  </si>
  <si>
    <t>拥有&lt;color=#00bfff&gt;4个5星服务经理&lt;/color&gt;</t>
  </si>
  <si>
    <t>12259_30_3_3</t>
  </si>
  <si>
    <t>拥有&lt;color=#00bfff&gt;3个3星公关经理&lt;/color&gt;</t>
  </si>
  <si>
    <t>12259_30_4_5</t>
  </si>
  <si>
    <t>1150018_1|1980000_1200</t>
  </si>
  <si>
    <t>拥有&lt;color=#00bfff&gt;4个5星公关经理&lt;/color&gt;</t>
  </si>
  <si>
    <t>12263_2</t>
  </si>
  <si>
    <t>1150031.png</t>
  </si>
  <si>
    <t>解锁&lt;color=#00bfff&gt;2个SLOT游戏&lt;/color&gt;</t>
  </si>
  <si>
    <t>12263_4</t>
  </si>
  <si>
    <t>解锁&lt;color=#00bfff&gt;4个SLOT游戏&lt;/color&gt;</t>
  </si>
  <si>
    <t>12263_6</t>
  </si>
  <si>
    <t>1150031_1|1980000_600</t>
  </si>
  <si>
    <t>解锁&lt;color=#00bfff&gt;6个SLOT游戏&lt;/color&gt;</t>
  </si>
  <si>
    <t>12263_8</t>
  </si>
  <si>
    <t>1150048.png</t>
  </si>
  <si>
    <t>解锁&lt;color=#00bfff&gt;8个SLOT游戏&lt;/color&gt;</t>
  </si>
  <si>
    <t>12263_10</t>
  </si>
  <si>
    <t>解锁&lt;color=#00bfff&gt;10个SLOT游戏&lt;/color&gt;</t>
  </si>
  <si>
    <t>12263_12</t>
  </si>
  <si>
    <t>1150048_1|1980000_1200</t>
  </si>
  <si>
    <t>解锁&lt;color=#00bfff&gt;12个SLOT游戏&lt;/color&gt;</t>
  </si>
  <si>
    <t>多人任务</t>
  </si>
  <si>
    <t>12501_100300_120_2_2</t>
  </si>
  <si>
    <t>1024013_1|1024014_1</t>
  </si>
  <si>
    <t>1_3</t>
  </si>
  <si>
    <t>在[超级明星]游戏中120次旋转内中2次樱桃符号</t>
  </si>
  <si>
    <t>12501_100300_240_2_5</t>
  </si>
  <si>
    <t>1024013_2|1024014_2</t>
  </si>
  <si>
    <t>1_4</t>
  </si>
  <si>
    <t>在[超级明星]游戏中240次旋转内中5次樱桃符号</t>
  </si>
  <si>
    <t>12501_100300_360_2_10</t>
  </si>
  <si>
    <t>1024013_3|1024014_3</t>
  </si>
  <si>
    <t>1_5</t>
  </si>
  <si>
    <t>在[超级明星]游戏中360次旋转内中10次樱桃符号</t>
  </si>
  <si>
    <t>12501_100700_120_2_1</t>
  </si>
  <si>
    <t>在[麻将胡了]游戏中120次旋转内中1次免费模式</t>
  </si>
  <si>
    <t>12501_100700_240_2_3</t>
  </si>
  <si>
    <t>在[麻将胡了]游戏中240次旋转内中3次免费模式</t>
  </si>
  <si>
    <t>12501_100700_360_2_6</t>
  </si>
  <si>
    <t>在[麻将胡了]游戏中360次旋转内中6次免费模式</t>
  </si>
  <si>
    <t>12501_101200_120_3_1</t>
  </si>
  <si>
    <t>在[财神来了]游戏中120次旋转内中1次财神到模式</t>
  </si>
  <si>
    <t>12501_101200_240_3_3</t>
  </si>
  <si>
    <t>在[财神来了]游戏中240次旋转内中3次财神到模式</t>
  </si>
  <si>
    <t>12501_101200_360_3_6</t>
  </si>
  <si>
    <t>在[财神来了]游戏中360次旋转内中6次财神到模式</t>
  </si>
  <si>
    <t>12501_102500_120_2_1</t>
  </si>
  <si>
    <t>在[寒冰王座]游戏中120次旋转内中1次免费模式</t>
  </si>
  <si>
    <t>12501_102500_240_2_3</t>
  </si>
  <si>
    <t>在[寒冰王座]游戏中240次旋转内中3次免费模式</t>
  </si>
  <si>
    <t>12501_102500_360_2_6</t>
  </si>
  <si>
    <t>在[寒冰王座]游戏中360次旋转内中6次免费模式</t>
  </si>
  <si>
    <t>12501_101800_120_2_1</t>
  </si>
  <si>
    <t>在[篮球巨星]游戏中120次旋转内中1次免费模式</t>
  </si>
  <si>
    <t>12501_101800_240_2_3</t>
  </si>
  <si>
    <t>在[篮球巨星]游戏中240次旋转内中3次免费模式</t>
  </si>
  <si>
    <t>12501_101800_360_2_6</t>
  </si>
  <si>
    <t>在[篮球巨星]游戏中360次旋转内中6次免费模式</t>
  </si>
  <si>
    <t>12501_102200_120_2_1</t>
  </si>
  <si>
    <t>在[雷神]游戏中120次旋转内中1次免费模式</t>
  </si>
  <si>
    <t>12501_102200_240_2_3</t>
  </si>
  <si>
    <t>在[雷神]游戏中240次旋转内中3次免费模式</t>
  </si>
  <si>
    <t>12501_102200_360_2_6</t>
  </si>
  <si>
    <t>在[雷神]游戏中360次旋转内中6次免费模式</t>
  </si>
  <si>
    <t>12501_103900_120_2_1</t>
  </si>
  <si>
    <t>在[愤怒的小鸟]游戏中120次旋转内中1次免费模式</t>
  </si>
  <si>
    <t>12501_103900_240_2_3</t>
  </si>
  <si>
    <t>在[愤怒的小鸟]游戏中240次旋转内中3次免费模式</t>
  </si>
  <si>
    <t>12501_103900_360_2_6</t>
  </si>
  <si>
    <t>在[愤怒的小鸟]游戏中360次旋转内中6次免费模式</t>
  </si>
  <si>
    <t>12501_102000_120_2_1</t>
  </si>
  <si>
    <t>在[宙斯VS哈迪斯]游戏中120次旋转内中1次免费模式</t>
  </si>
  <si>
    <t>12501_102000_240_2_3</t>
  </si>
  <si>
    <t>在[宙斯VS哈迪斯]游戏中240次旋转内中3次免费模式</t>
  </si>
  <si>
    <t>12501_102000_360_2_6</t>
  </si>
  <si>
    <t>在[宙斯VS哈迪斯]游戏中360次旋转内中6次免费模式</t>
  </si>
  <si>
    <t>12501_102100_120_2_1</t>
  </si>
  <si>
    <t>在[杰克船长]游戏中120次旋转内中1次免费模式</t>
  </si>
  <si>
    <t>12501_102100_240_2_3</t>
  </si>
  <si>
    <t>在[杰克船长]游戏中240次旋转内中3次免费模式</t>
  </si>
  <si>
    <t>12501_102100_360_2_6</t>
  </si>
  <si>
    <t>在[杰克船长]游戏中360次旋转内中6次免费模式</t>
  </si>
  <si>
    <t>12501_102100_180_3_1</t>
  </si>
  <si>
    <t>在[杰克船长]游戏中180次旋转内中1次奖励模式</t>
  </si>
  <si>
    <t>12501_102100_360_3_3</t>
  </si>
  <si>
    <t>在[杰克船长]游戏中360次旋转内中3次奖励模式</t>
  </si>
  <si>
    <t>12501_102100_540_3_6</t>
  </si>
  <si>
    <t>在[杰克船长]游戏中540次旋转内中6次奖励模式</t>
  </si>
  <si>
    <t>12501_103100_120_2_1</t>
  </si>
  <si>
    <t>在[绿巨人]游戏中120次旋转内中1次免费模式</t>
  </si>
  <si>
    <t>12501_103100_240_2_3</t>
  </si>
  <si>
    <t>在[绿巨人]游戏中240次旋转内中3次免费模式</t>
  </si>
  <si>
    <t>12501_103100_360_2_6</t>
  </si>
  <si>
    <t>在[绿巨人]游戏中360次旋转内中6次免费模式</t>
  </si>
  <si>
    <t>12501_103100_180_3_1</t>
  </si>
  <si>
    <t>在[绿巨人]游戏中180次旋转内中1次奖励模式</t>
  </si>
  <si>
    <t>12501_103100_360_3_3</t>
  </si>
  <si>
    <t>在[绿巨人]游戏中360次旋转内中3次奖励模式</t>
  </si>
  <si>
    <t>12501_103100_540_3_6</t>
  </si>
  <si>
    <t>在[绿巨人]游戏中540次旋转内中6次奖励模式</t>
  </si>
  <si>
    <t>12502_0_60_100000</t>
  </si>
  <si>
    <t>在任意游戏中60次旋转内累计赢奖100000</t>
  </si>
  <si>
    <t>12502_0_120_200000</t>
  </si>
  <si>
    <t>在任意游戏中120次旋转内累计赢奖200000</t>
  </si>
  <si>
    <t>12502_0_180_300000</t>
  </si>
  <si>
    <t>在任意游戏中180次旋转内累计赢奖300000</t>
  </si>
  <si>
    <t>12502_0_60_200000</t>
  </si>
  <si>
    <t>在任意游戏中60次旋转内累计赢奖200000</t>
  </si>
  <si>
    <t>12502_0_120_400000</t>
  </si>
  <si>
    <t>在任意游戏中120次旋转内累计赢奖400000</t>
  </si>
  <si>
    <t>12502_0_180_600000</t>
  </si>
  <si>
    <t>在任意游戏中180次旋转内累计赢奖600000</t>
  </si>
  <si>
    <t>12502_0_60_400000</t>
  </si>
  <si>
    <t>在任意游戏中60次旋转内累计赢奖400000</t>
  </si>
  <si>
    <t>12502_0_120_800000</t>
  </si>
  <si>
    <t>在任意游戏中120次旋转内累计赢奖800000</t>
  </si>
  <si>
    <t>12502_0_180_1200000</t>
  </si>
  <si>
    <t>在任意游戏中180次旋转内累计赢奖1200000</t>
  </si>
  <si>
    <t>12503_0_120_5_5</t>
  </si>
  <si>
    <t>在任意游戏中120次旋转内中5次5倍及以上大奖</t>
  </si>
  <si>
    <t>12503_0_240_5_10</t>
  </si>
  <si>
    <t>在任意游戏中240次旋转内中10次5倍及以上大奖</t>
  </si>
  <si>
    <t>12503_0_360_5_15</t>
  </si>
  <si>
    <t>在任意游戏中360次旋转内中15次5倍及以上大奖</t>
  </si>
  <si>
    <t>12503_0_120_5_7</t>
  </si>
  <si>
    <t>在任意游戏中120次旋转内中7次5倍及以上大奖</t>
  </si>
  <si>
    <t>12503_0_240_5_14</t>
  </si>
  <si>
    <t>在任意游戏中240次旋转内中14次5倍及以上大奖</t>
  </si>
  <si>
    <t>12503_0_360_5_21</t>
  </si>
  <si>
    <t>在任意游戏中360次旋转内中21次5倍及以上大奖</t>
  </si>
  <si>
    <t>12503_0_120_5_10</t>
  </si>
  <si>
    <t>在任意游戏中120次旋转内中10次5倍及以上大奖</t>
  </si>
  <si>
    <t>12503_0_240_5_20</t>
  </si>
  <si>
    <t>在任意游戏中240次旋转内中20次5倍及以上大奖</t>
  </si>
  <si>
    <t>12503_0_360_5_30</t>
  </si>
  <si>
    <t>在任意游戏中360次旋转内中30次5倍及以上大奖</t>
  </si>
  <si>
    <t>12503_0_120_10_2</t>
  </si>
  <si>
    <t>在任意游戏中120次旋转内中2次10倍及以上大奖</t>
  </si>
  <si>
    <t>12503_0_240_10_4</t>
  </si>
  <si>
    <t>在任意游戏中240次旋转内中4次10倍及以上大奖</t>
  </si>
  <si>
    <t>12503_0_360_10_6</t>
  </si>
  <si>
    <t>在任意游戏中360次旋转内中6次10倍及以上大奖</t>
  </si>
  <si>
    <t>12503_0_120_10_3</t>
  </si>
  <si>
    <t>在任意游戏中120次旋转内中3次10倍及以上大奖</t>
  </si>
  <si>
    <t>12503_0_240_10_6</t>
  </si>
  <si>
    <t>在任意游戏中240次旋转内中6次10倍及以上大奖</t>
  </si>
  <si>
    <t>12503_0_360_10_9</t>
  </si>
  <si>
    <t>在任意游戏中360次旋转内中9次10倍及以上大奖</t>
  </si>
  <si>
    <t>12503_0_120_10_4</t>
  </si>
  <si>
    <t>在任意游戏中120次旋转内中4次10倍及以上大奖</t>
  </si>
  <si>
    <t>12503_0_240_10_8</t>
  </si>
  <si>
    <t>在任意游戏中240次旋转内中8次10倍及以上大奖</t>
  </si>
  <si>
    <t>12503_0_360_10_12</t>
  </si>
  <si>
    <t>在任意游戏中360次旋转内中12次10倍及以上大奖</t>
  </si>
  <si>
    <t>12503_0_240_20_2</t>
  </si>
  <si>
    <t>在任意游戏中240次旋转内中2次20倍及以上大奖</t>
  </si>
  <si>
    <t>12503_0_360_20_3</t>
  </si>
  <si>
    <t>在任意游戏中360次旋转内中3次20倍及以上大奖</t>
  </si>
  <si>
    <t>12503_0_480_20_4</t>
  </si>
  <si>
    <t>在任意游戏中480次旋转内中4次20倍及以上大奖</t>
  </si>
  <si>
    <t>12503_0_240_20_3</t>
  </si>
  <si>
    <t>在任意游戏中240次旋转内中3次20倍及以上大奖</t>
  </si>
  <si>
    <t>12503_0_360_20_5</t>
  </si>
  <si>
    <t>在任意游戏中360次旋转内中5次20倍及以上大奖</t>
  </si>
  <si>
    <t>12503_0_480_20_6</t>
  </si>
  <si>
    <t>在任意游戏中480次旋转内中6次20倍及以上大奖</t>
  </si>
  <si>
    <t>12504_0_60_100000</t>
  </si>
  <si>
    <t>1_2</t>
  </si>
  <si>
    <t>在任意游戏中60次旋转累计下注100000</t>
  </si>
  <si>
    <t>12504_0_120_200000</t>
  </si>
  <si>
    <t>在任意游戏中120次旋转累计下注200000</t>
  </si>
  <si>
    <t>12504_0_180_300000</t>
  </si>
  <si>
    <t>在任意游戏中180次旋转累计下注300000</t>
  </si>
  <si>
    <t>12504_0_60_10000000</t>
  </si>
  <si>
    <t>在任意游戏中60次旋转累计下注10000000</t>
  </si>
  <si>
    <t>12504_0_120_20000000</t>
  </si>
  <si>
    <t>在任意游戏中120次旋转累计下注20000000</t>
  </si>
  <si>
    <t>12504_0_180_30000000</t>
  </si>
  <si>
    <t>在任意游戏中180次旋转累计下注30000000</t>
  </si>
  <si>
    <t>12504_0_60_100000000</t>
  </si>
  <si>
    <t>在任意游戏中60次旋转累计下注100000000</t>
  </si>
  <si>
    <t>12504_0_120_200000000</t>
  </si>
  <si>
    <t>在任意游戏中120次旋转累计下注200000000</t>
  </si>
  <si>
    <t>12504_0_180_300000000</t>
  </si>
  <si>
    <t>在任意游戏中180次旋转累计下注300000000</t>
  </si>
  <si>
    <t>联盟任务</t>
  </si>
  <si>
    <t>12301_0_1_5_1</t>
  </si>
  <si>
    <t>1024011_50|1024012_50</t>
  </si>
  <si>
    <t>中1次5倍奖励</t>
  </si>
  <si>
    <t>12301_0_1_5_3</t>
  </si>
  <si>
    <t>1024011_150|1024012_150</t>
  </si>
  <si>
    <t>中3次5倍奖励</t>
  </si>
  <si>
    <t>12301_0_1_5_5</t>
  </si>
  <si>
    <t>1024011_250|1024012_250</t>
  </si>
  <si>
    <t>中5次5倍奖励</t>
  </si>
  <si>
    <t>12301_0_1_5_10</t>
  </si>
  <si>
    <t>1024011_500|1024012_500</t>
  </si>
  <si>
    <t>中10次5倍奖励</t>
  </si>
  <si>
    <t>12301_0_1_5_20</t>
  </si>
  <si>
    <t>1024011_1000|1024012_1000</t>
  </si>
  <si>
    <t>中20次5倍奖励</t>
  </si>
  <si>
    <t>12301_0_1_5_30</t>
  </si>
  <si>
    <t>1024011_1500|1024012_1500</t>
  </si>
  <si>
    <t>中30次5倍奖励</t>
  </si>
  <si>
    <t>12301_0_1_5_50</t>
  </si>
  <si>
    <t>1024011_2500|1024012_2500</t>
  </si>
  <si>
    <t>中50次5倍奖励</t>
  </si>
  <si>
    <t>12301_0_1_10_1</t>
  </si>
  <si>
    <t>1024011_100|1024012_100</t>
  </si>
  <si>
    <t>中1次10倍奖励</t>
  </si>
  <si>
    <t>12301_0_1_10_3</t>
  </si>
  <si>
    <t>1024011_300|1024012_300</t>
  </si>
  <si>
    <t>中3次10倍奖励</t>
  </si>
  <si>
    <t>12301_0_1_10_5</t>
  </si>
  <si>
    <t>中5次10倍奖励</t>
  </si>
  <si>
    <t>12301_0_1_10_10</t>
  </si>
  <si>
    <t>中10次10倍奖励</t>
  </si>
  <si>
    <t>12301_0_1_10_20</t>
  </si>
  <si>
    <t>1024011_2000|1024012_2000</t>
  </si>
  <si>
    <t>中20次10倍奖励</t>
  </si>
  <si>
    <t>12301_0_1_10_30</t>
  </si>
  <si>
    <t>1024011_3000|1024012_3000</t>
  </si>
  <si>
    <t>中30次10倍奖励</t>
  </si>
  <si>
    <t>12301_0_1_10_50</t>
  </si>
  <si>
    <t>1024011_5000|1024012_5000</t>
  </si>
  <si>
    <t>中50次10倍奖励</t>
  </si>
  <si>
    <t>12301_0_1_20_1</t>
  </si>
  <si>
    <t>1024011_500|1024012_100</t>
  </si>
  <si>
    <t>中1次20倍奖励</t>
  </si>
  <si>
    <t>12301_0_1_20_3</t>
  </si>
  <si>
    <t>1024011_1500|1024012_300</t>
  </si>
  <si>
    <t>中3次20倍奖励</t>
  </si>
  <si>
    <t>12301_0_1_20_5</t>
  </si>
  <si>
    <t>1024011_2500|1024012_500</t>
  </si>
  <si>
    <t>中5次20倍奖励</t>
  </si>
  <si>
    <t>12301_0_1_20_10</t>
  </si>
  <si>
    <t>1024011_5000|1024012_1000</t>
  </si>
  <si>
    <t>中10次20倍奖励</t>
  </si>
  <si>
    <t>12301_0_1_20_20</t>
  </si>
  <si>
    <t>1024011_10000|1024012_2000</t>
  </si>
  <si>
    <t>中20次20倍奖励</t>
  </si>
  <si>
    <t>12301_0_1_20_30</t>
  </si>
  <si>
    <t>1024011_15000|1024012_3000</t>
  </si>
  <si>
    <t>中30次20倍奖励</t>
  </si>
  <si>
    <t>12301_0_1_20_50</t>
  </si>
  <si>
    <t>1024011_25000|1024012_5000</t>
  </si>
  <si>
    <t>中50次20倍奖励</t>
  </si>
  <si>
    <t>12302_0_1_10</t>
  </si>
  <si>
    <t>1024011_20|1024012_20</t>
  </si>
  <si>
    <t>下注10次</t>
  </si>
  <si>
    <t>12302_0_1_20</t>
  </si>
  <si>
    <t>1024011_40|1024012_40</t>
  </si>
  <si>
    <t>下注20次</t>
  </si>
  <si>
    <t>12302_0_1_50</t>
  </si>
  <si>
    <t>下注50次</t>
  </si>
  <si>
    <t>12302_0_1_80</t>
  </si>
  <si>
    <t>1024011_160|1024012_160</t>
  </si>
  <si>
    <t>下注80次</t>
  </si>
  <si>
    <t>12302_0_1_100</t>
  </si>
  <si>
    <t>1024011_200|1024012_200</t>
  </si>
  <si>
    <t>下注100次</t>
  </si>
  <si>
    <t>12302_0_1_200</t>
  </si>
  <si>
    <t>1024011_400|1024012_400</t>
  </si>
  <si>
    <t>下注200次</t>
  </si>
  <si>
    <t>12302_0_1_300</t>
  </si>
  <si>
    <t>1024011_600|1024012_600</t>
  </si>
  <si>
    <t>下注300次</t>
  </si>
  <si>
    <t>12302_0_1_500</t>
  </si>
  <si>
    <t>下注500次</t>
  </si>
  <si>
    <t>12302_0_1_800</t>
  </si>
  <si>
    <t>1024011_1600|1024012_1600</t>
  </si>
  <si>
    <t>下注800次</t>
  </si>
  <si>
    <t>12302_0_1_1000</t>
  </si>
  <si>
    <t>下注1000次</t>
  </si>
  <si>
    <t>12303_0_5</t>
  </si>
  <si>
    <t>卡池抽奖5次</t>
  </si>
  <si>
    <t>12303_0_10</t>
  </si>
  <si>
    <t>卡池抽奖10次</t>
  </si>
  <si>
    <t>12303_0_20</t>
  </si>
  <si>
    <t>卡池抽奖20次</t>
  </si>
  <si>
    <t>12303_0_30</t>
  </si>
  <si>
    <t>卡池抽奖30次</t>
  </si>
  <si>
    <t>12303_0_50</t>
  </si>
  <si>
    <t>卡池抽奖50次</t>
  </si>
  <si>
    <t>12303_0_100</t>
  </si>
  <si>
    <t>卡池抽奖100次</t>
  </si>
  <si>
    <t>12303_0_150</t>
  </si>
  <si>
    <t>卡池抽奖150次</t>
  </si>
  <si>
    <t>12305_0_2</t>
  </si>
  <si>
    <t>联盟捐献2次</t>
  </si>
  <si>
    <t>12305_0_4</t>
  </si>
  <si>
    <t>联盟捐献4次</t>
  </si>
  <si>
    <t>12305_0_6</t>
  </si>
  <si>
    <t>联盟捐献6次</t>
  </si>
  <si>
    <t>12305_0_8</t>
  </si>
  <si>
    <t>联盟捐献8次</t>
  </si>
  <si>
    <t>12305_0_10</t>
  </si>
  <si>
    <t>联盟捐献10次</t>
  </si>
  <si>
    <t>12305_0_12</t>
  </si>
  <si>
    <t>联盟捐献12次</t>
  </si>
  <si>
    <t>12305_0_15</t>
  </si>
  <si>
    <t>1024011_750|1024012_750</t>
  </si>
  <si>
    <t>联盟捐献15次</t>
  </si>
  <si>
    <t>12304_0_5</t>
  </si>
  <si>
    <t>技能研究5次</t>
  </si>
  <si>
    <t>12304_0_10</t>
  </si>
  <si>
    <t>技能研究10次</t>
  </si>
  <si>
    <t>12304_0_15</t>
  </si>
  <si>
    <t>技能研究15次</t>
  </si>
  <si>
    <t>12304_0_20</t>
  </si>
  <si>
    <t>1024011_800|1024012_800</t>
  </si>
  <si>
    <t>技能研究20次</t>
  </si>
  <si>
    <t>12304_0_25</t>
  </si>
  <si>
    <t>技能研究25次</t>
  </si>
  <si>
    <t>12304_0_30</t>
  </si>
  <si>
    <t>1024011_1200|1024012_1200</t>
  </si>
  <si>
    <t>技能研究30次</t>
  </si>
  <si>
    <t>12206_0_5</t>
  </si>
  <si>
    <t>建筑升级5次</t>
  </si>
  <si>
    <t>12206_0_10</t>
  </si>
  <si>
    <t>建筑升级10次</t>
  </si>
  <si>
    <t>12206_0_15</t>
  </si>
  <si>
    <t>建筑升级15次</t>
  </si>
  <si>
    <t>12206_0_20</t>
  </si>
  <si>
    <t>建筑升级20次</t>
  </si>
  <si>
    <t>12206_0_25</t>
  </si>
  <si>
    <t>建筑升级25次</t>
  </si>
  <si>
    <t>12206_0_30</t>
  </si>
  <si>
    <t>建筑升级30次</t>
  </si>
  <si>
    <t>12306_0_1_1990000_100000</t>
  </si>
  <si>
    <t>游戏中累计赢奖100000</t>
  </si>
  <si>
    <t>12306_0_1_1990000_200000</t>
  </si>
  <si>
    <t>游戏中累计赢奖200000</t>
  </si>
  <si>
    <t>12306_0_1_1990000_300000</t>
  </si>
  <si>
    <t>1024011_60|1024012_60</t>
  </si>
  <si>
    <t>游戏中累计赢奖300000</t>
  </si>
  <si>
    <t>12306_0_1_1990000_500000</t>
  </si>
  <si>
    <t>游戏中累计赢奖500000</t>
  </si>
  <si>
    <t>12306_0_1_1990000_800000</t>
  </si>
  <si>
    <t>游戏中累计赢奖800000</t>
  </si>
  <si>
    <t>12306_0_1_1990000_1000000</t>
  </si>
  <si>
    <t>游戏中累计赢奖1000000</t>
  </si>
  <si>
    <t>12306_0_1_1990000_1500000</t>
  </si>
  <si>
    <t>游戏中累计赢奖1500000</t>
  </si>
  <si>
    <t>12306_0_1_1990000_2000000</t>
  </si>
  <si>
    <t>游戏中累计赢奖2000000</t>
  </si>
  <si>
    <t>12306_0_1_1990000_2500000</t>
  </si>
  <si>
    <t>游戏中累计赢奖2500000</t>
  </si>
  <si>
    <t>12306_0_1_1990000_3000000</t>
  </si>
  <si>
    <t>游戏中累计赢奖3000000</t>
  </si>
  <si>
    <t>12306_0_1_1990000_4000000</t>
  </si>
  <si>
    <t>游戏中累计赢奖4000000</t>
  </si>
  <si>
    <t>12306_0_1_1990000_5000000</t>
  </si>
  <si>
    <t>游戏中累计赢奖5000000</t>
  </si>
  <si>
    <t>12307_0_500</t>
  </si>
  <si>
    <t>累计充值金额5</t>
  </si>
  <si>
    <t>12307_0_1000</t>
  </si>
  <si>
    <t>累计充值金额10</t>
  </si>
  <si>
    <t>12307_0_2000</t>
  </si>
  <si>
    <t>累计充值金额20</t>
  </si>
  <si>
    <t>12307_0_3000</t>
  </si>
  <si>
    <t>累计充值金额30</t>
  </si>
  <si>
    <t>12307_0_5000</t>
  </si>
  <si>
    <t>累计充值金额50</t>
  </si>
  <si>
    <t>12307_0_10000</t>
  </si>
  <si>
    <t>1024011_4000|1024012_4000</t>
  </si>
  <si>
    <t>累计充值金额100</t>
  </si>
  <si>
    <t>试炼任务</t>
  </si>
  <si>
    <t>12601_100300_5_400</t>
  </si>
  <si>
    <t>1960000_50</t>
  </si>
  <si>
    <t>5局收益达到400</t>
  </si>
  <si>
    <t>12601_100300_5_600</t>
  </si>
  <si>
    <t>1960000_100</t>
  </si>
  <si>
    <t>5局收益达到600</t>
  </si>
  <si>
    <t>12601_100300_5_800</t>
  </si>
  <si>
    <t>1960000_200</t>
  </si>
  <si>
    <t>5局收益达到800</t>
  </si>
  <si>
    <t>12602_100300_100_2_1</t>
  </si>
  <si>
    <t>100局触发一次樱桃</t>
  </si>
  <si>
    <t>12602_100300_100_2_2</t>
  </si>
  <si>
    <t>100局触发二次樱桃</t>
  </si>
  <si>
    <t>12602_100300_100_2_3</t>
  </si>
  <si>
    <t>100局触发三次樱桃</t>
  </si>
  <si>
    <t>12603_100300_30_2_1</t>
  </si>
  <si>
    <t>30局触发1次2倍奖励</t>
  </si>
  <si>
    <t>12603_100300_30_2_2</t>
  </si>
  <si>
    <t>30局触发2次2倍奖励</t>
  </si>
  <si>
    <t>12603_100300_30_2_3</t>
  </si>
  <si>
    <t>30局触发3次2倍奖励</t>
  </si>
  <si>
    <t>12604_100300_5_1</t>
  </si>
  <si>
    <t>5局内中奖1次</t>
  </si>
  <si>
    <t>12604_100300_5_2</t>
  </si>
  <si>
    <t>5局内中奖2次</t>
  </si>
  <si>
    <t>12604_100300_5_3</t>
  </si>
  <si>
    <t>5局内中奖3次</t>
  </si>
  <si>
    <t>12603_100300_50_5_1</t>
  </si>
  <si>
    <t>50局触发1次5倍奖励</t>
  </si>
  <si>
    <t>12603_100300_50_5_2</t>
  </si>
  <si>
    <t>50局触发2次5倍奖励</t>
  </si>
  <si>
    <t>12603_100300_50_5_3</t>
  </si>
  <si>
    <t>50局触发3次5倍奖励</t>
  </si>
  <si>
    <t>12605_100300_5_4_1</t>
  </si>
  <si>
    <t>5局出现铃铛图标1次</t>
  </si>
  <si>
    <t>12605_100300_5_4_2</t>
  </si>
  <si>
    <t>5局出现铃铛图标2次</t>
  </si>
  <si>
    <t>12605_100300_5_4_3</t>
  </si>
  <si>
    <t>5局出现铃铛图标3次</t>
  </si>
  <si>
    <r>
      <rPr>
        <sz val="11"/>
        <color theme="1"/>
        <rFont val="微软雅黑"/>
        <charset val="134"/>
      </rPr>
      <t>自由搭配，</t>
    </r>
    <r>
      <rPr>
        <sz val="10.5"/>
        <color theme="1"/>
        <rFont val="微软雅黑"/>
        <charset val="134"/>
      </rPr>
      <t>5局总收益≥800</t>
    </r>
  </si>
  <si>
    <t>12601_100300_5_1000</t>
  </si>
  <si>
    <r>
      <rPr>
        <sz val="11"/>
        <color theme="1"/>
        <rFont val="微软雅黑"/>
        <charset val="134"/>
      </rPr>
      <t>自由搭配，</t>
    </r>
    <r>
      <rPr>
        <sz val="10.5"/>
        <color theme="1"/>
        <rFont val="微软雅黑"/>
        <charset val="134"/>
      </rPr>
      <t>5局总收益≥1000</t>
    </r>
  </si>
  <si>
    <t>12601_100300_5_1200</t>
  </si>
  <si>
    <t>自由搭配，5局总收益≥1200</t>
  </si>
  <si>
    <t>12606_100300_3_200</t>
  </si>
  <si>
    <r>
      <rPr>
        <sz val="11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局内单局最高收益≥200</t>
    </r>
  </si>
  <si>
    <t>12606_100300_3_300</t>
  </si>
  <si>
    <r>
      <rPr>
        <sz val="11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局内单局最高收益≥300</t>
    </r>
  </si>
  <si>
    <t>12606_100300_3_400</t>
  </si>
  <si>
    <r>
      <rPr>
        <sz val="11"/>
        <color theme="1"/>
        <rFont val="微软雅黑"/>
        <charset val="134"/>
      </rPr>
      <t>3</t>
    </r>
    <r>
      <rPr>
        <sz val="10.5"/>
        <color theme="1"/>
        <rFont val="微软雅黑"/>
        <charset val="134"/>
      </rPr>
      <t>局内单局最高收益≥400</t>
    </r>
  </si>
  <si>
    <t>11002_0_5</t>
  </si>
  <si>
    <t>11002_0_10</t>
  </si>
  <si>
    <t>11002_0_20</t>
  </si>
  <si>
    <t>游戏成就</t>
  </si>
  <si>
    <t>萌宠小队</t>
  </si>
  <si>
    <t>12207_1101_10</t>
  </si>
  <si>
    <t>1990000_1000000</t>
  </si>
  <si>
    <t>[愤怒的小鸟]建筑&lt;color=#00bfff&gt;等级达到10级&lt;/color&gt;</t>
  </si>
  <si>
    <t>12207_1101_20</t>
  </si>
  <si>
    <t>1990000_2000000</t>
  </si>
  <si>
    <t>[愤怒的小鸟]建筑&lt;color=#00bfff&gt;等级达到20级&lt;/color&gt;</t>
  </si>
  <si>
    <t>12207_1101_30</t>
  </si>
  <si>
    <t>1990000_4000000</t>
  </si>
  <si>
    <t>[愤怒的小鸟]建筑&lt;color=#00bfff&gt;等级达到30级&lt;/color&gt;</t>
  </si>
  <si>
    <t>12207_1101_40</t>
  </si>
  <si>
    <t>1990000_8000000</t>
  </si>
  <si>
    <t>[愤怒的小鸟]建筑&lt;color=#00bfff&gt;等级达到40级&lt;/color&gt;</t>
  </si>
  <si>
    <t>12207_1101_50</t>
  </si>
  <si>
    <t>1990000_16000000</t>
  </si>
  <si>
    <t>[愤怒的小鸟]建筑&lt;color=#00bfff&gt;等级达到50级&lt;/color&gt;</t>
  </si>
  <si>
    <t>12207_1101_60</t>
  </si>
  <si>
    <t>1990000_32000000</t>
  </si>
  <si>
    <t>[愤怒的小鸟]建筑&lt;color=#00bfff&gt;等级达到60级&lt;/color&gt;</t>
  </si>
  <si>
    <t>12269_103900_5000</t>
  </si>
  <si>
    <t>[愤怒的小鸟]游戏&lt;color=#00bfff&gt;技能战力达到5000以上&lt;/color&gt;</t>
  </si>
  <si>
    <t>12269_103900_10000</t>
  </si>
  <si>
    <t>[愤怒的小鸟]游戏&lt;color=#00bfff&gt;技能战力达到10000以上&lt;/color&gt;</t>
  </si>
  <si>
    <t>12269_103900_20000</t>
  </si>
  <si>
    <t>[愤怒的小鸟]游戏&lt;color=#00bfff&gt;技能战力达到20000以上&lt;/color&gt;</t>
  </si>
  <si>
    <t>12269_103900_40000</t>
  </si>
  <si>
    <t>[愤怒的小鸟]游戏&lt;color=#00bfff&gt;技能战力达到40000以上&lt;/color&gt;</t>
  </si>
  <si>
    <t>12269_103900_70000</t>
  </si>
  <si>
    <t>[愤怒的小鸟]游戏&lt;color=#00bfff&gt;技能战力达到70000以上&lt;/color&gt;</t>
  </si>
  <si>
    <t>12269_103900_100000</t>
  </si>
  <si>
    <t>[愤怒的小鸟]游戏&lt;color=#00bfff&gt;技能战力达到100000以上&lt;/color&gt;</t>
  </si>
  <si>
    <t>12252_103900_1_10</t>
  </si>
  <si>
    <t>在[愤怒的小鸟]SLOT游戏中&lt;color=#00bfff&gt;触发10次SWEET WIN奖&lt;/color&gt;</t>
  </si>
  <si>
    <t>12252_103900_1_20</t>
  </si>
  <si>
    <t>在[愤怒的小鸟]SLOT游戏中&lt;color=#00bfff&gt;触发20次SWEET WIN奖&lt;/color&gt;</t>
  </si>
  <si>
    <t>12252_103900_1_30</t>
  </si>
  <si>
    <t>在[愤怒的小鸟]SLOT游戏中&lt;color=#00bfff&gt;触发30次SWEET WIN奖&lt;/color&gt;</t>
  </si>
  <si>
    <t>12252_103900_1_40</t>
  </si>
  <si>
    <t>在[愤怒的小鸟]SLOT游戏中&lt;color=#00bfff&gt;触发40次SWEET WIN奖&lt;/color&gt;</t>
  </si>
  <si>
    <t>12252_103900_1_50</t>
  </si>
  <si>
    <t>在[愤怒的小鸟]SLOT游戏中&lt;color=#00bfff&gt;触发50次SWEET WIN奖&lt;/color&gt;</t>
  </si>
  <si>
    <t>12252_103900_1_60</t>
  </si>
  <si>
    <t>在[愤怒的小鸟]SLOT游戏中&lt;color=#00bfff&gt;触发60次SWEET WIN奖&lt;/color&gt;</t>
  </si>
  <si>
    <t>12272_103900_200</t>
  </si>
  <si>
    <t>在[愤怒的小鸟]SLOT游戏中&lt;color=#00bfff&gt;投注200次&lt;/color&gt;</t>
  </si>
  <si>
    <t>12272_103900_500</t>
  </si>
  <si>
    <t>在[愤怒的小鸟]SLOT游戏中&lt;color=#00bfff&gt;投注500次&lt;/color&gt;</t>
  </si>
  <si>
    <t>12272_103900_1000</t>
  </si>
  <si>
    <t>在[愤怒的小鸟]SLOT游戏中&lt;color=#00bfff&gt;投注1000次&lt;/color&gt;</t>
  </si>
  <si>
    <t>12272_103900_2000</t>
  </si>
  <si>
    <t>在[愤怒的小鸟]SLOT游戏中&lt;color=#00bfff&gt;投注2000次&lt;/color&gt;</t>
  </si>
  <si>
    <t>12272_103900_5000</t>
  </si>
  <si>
    <t>在[愤怒的小鸟]SLOT游戏中&lt;color=#00bfff&gt;投注5000次&lt;/color&gt;</t>
  </si>
  <si>
    <t>12272_103900_10000</t>
  </si>
  <si>
    <t>在[愤怒的小鸟]SLOT游戏中&lt;color=#00bfff&gt;投注10000次&lt;/color&gt;</t>
  </si>
  <si>
    <t>12254_103900_1</t>
  </si>
  <si>
    <t>在[愤怒的小鸟]SLOT游戏中旋转&lt;color=#00bfff&gt;触发1次免费模式&lt;/color&gt;</t>
  </si>
  <si>
    <t>12254_103900_2</t>
  </si>
  <si>
    <t>在[愤怒的小鸟]SLOT游戏中旋转&lt;color=#00bfff&gt;触发2次免费模式&lt;/color&gt;</t>
  </si>
  <si>
    <t>12254_103900_5</t>
  </si>
  <si>
    <t>在[愤怒的小鸟]SLOT游戏中旋转&lt;color=#00bfff&gt;触发5次免费模式&lt;/color&gt;</t>
  </si>
  <si>
    <t>12254_103900_10</t>
  </si>
  <si>
    <t>在[愤怒的小鸟]SLOT游戏中旋转&lt;color=#00bfff&gt;触发10次免费模式&lt;/color&gt;</t>
  </si>
  <si>
    <t>12254_103900_20</t>
  </si>
  <si>
    <t>在[愤怒的小鸟]SLOT游戏中旋转&lt;color=#00bfff&gt;触发20次免费模式&lt;/color&gt;</t>
  </si>
  <si>
    <t>12254_103900_50</t>
  </si>
  <si>
    <t>在[愤怒的小鸟]SLOT游戏中旋转&lt;color=#00bfff&gt;触发50次免费模式&lt;/color&gt;</t>
  </si>
  <si>
    <t>12251_103900_1024081_1</t>
  </si>
  <si>
    <t>在[愤怒的小鸟]SLOT游戏中旋转获得&lt;color=#00bfff&gt;1个专属研究点&lt;/color&gt;</t>
  </si>
  <si>
    <t>12251_103900_1024081_2</t>
  </si>
  <si>
    <t>在[愤怒的小鸟]SLOT游戏中旋转获得&lt;color=#00bfff&gt;2个专属研究点&lt;/color&gt;</t>
  </si>
  <si>
    <t>12251_103900_1024081_3</t>
  </si>
  <si>
    <t>在[愤怒的小鸟]SLOT游戏中旋转获得&lt;color=#00bfff&gt;3个专属研究点&lt;/color&gt;</t>
  </si>
  <si>
    <t>12251_103900_1024081_4</t>
  </si>
  <si>
    <t>在[愤怒的小鸟]SLOT游戏中旋转获得&lt;color=#00bfff&gt;4个专属研究点&lt;/color&gt;</t>
  </si>
  <si>
    <t>12251_103900_1024081_5</t>
  </si>
  <si>
    <t>在[愤怒的小鸟]SLOT游戏中旋转获得&lt;color=#00bfff&gt;5个专属研究点&lt;/color&gt;</t>
  </si>
  <si>
    <t>12251_103900_1024081_6</t>
  </si>
  <si>
    <t>在[愤怒的小鸟]SLOT游戏中旋转获得&lt;color=#00bfff&gt;6个专属研究点&lt;/color&gt;</t>
  </si>
  <si>
    <t>12274_103900_1990000_500000</t>
  </si>
  <si>
    <t>在[愤怒的小鸟]SLOT游戏中&lt;color=#00bfff&gt;赢取50万金币&lt;/color&gt;</t>
  </si>
  <si>
    <t>12274_103900_1990000_1000000</t>
  </si>
  <si>
    <t>在[愤怒的小鸟]SLOT游戏中&lt;color=#00bfff&gt;赢取100万金币&lt;/color&gt;</t>
  </si>
  <si>
    <t>12274_103900_1990000_2000000</t>
  </si>
  <si>
    <t>1990000_3000000</t>
  </si>
  <si>
    <t>在[愤怒的小鸟]SLOT游戏中&lt;color=#00bfff&gt;赢取200万金币&lt;/color&gt;</t>
  </si>
  <si>
    <t>12274_103900_1990000_3000000</t>
  </si>
  <si>
    <t>在[愤怒的小鸟]SLOT游戏中&lt;color=#00bfff&gt;赢取300万金币&lt;/color&gt;</t>
  </si>
  <si>
    <t>12274_103900_1990000_5000000</t>
  </si>
  <si>
    <t>1990000_5000000</t>
  </si>
  <si>
    <t>在[愤怒的小鸟]SLOT游戏中&lt;color=#00bfff&gt;赢取500万金币&lt;/color&gt;</t>
  </si>
  <si>
    <t>12274_103900_1990000_10000000</t>
  </si>
  <si>
    <t>1990000_6000000</t>
  </si>
  <si>
    <t>在[愤怒的小鸟]SLOT游戏中&lt;color=#00bfff&gt;赢取1000万金币&lt;/color&gt;</t>
  </si>
  <si>
    <t>12274_103900_1990000_20000000</t>
  </si>
  <si>
    <t>1990000_7000000</t>
  </si>
  <si>
    <t>在[愤怒的小鸟]SLOT游戏中&lt;color=#00bfff&gt;赢取2000万金币&lt;/color&gt;</t>
  </si>
  <si>
    <t>12274_103900_1990000_50000000</t>
  </si>
  <si>
    <t>在[愤怒的小鸟]SLOT游戏中&lt;color=#00bfff&gt;赢取5000万金币&lt;/color&gt;</t>
  </si>
  <si>
    <t>12253_103900_1_1</t>
  </si>
  <si>
    <t>在[愤怒的小鸟]SLOT游戏中&lt;color=#00bfff&gt;触发1次MINI奖池&lt;/color&gt;</t>
  </si>
  <si>
    <t>12253_103900_1_2</t>
  </si>
  <si>
    <t>在[愤怒的小鸟]SLOT游戏中&lt;color=#00bfff&gt;触发2次MINI奖池&lt;/color&gt;</t>
  </si>
  <si>
    <t>12253_103900_1_3</t>
  </si>
  <si>
    <t>在[愤怒的小鸟]SLOT游戏中&lt;color=#00bfff&gt;触发3次MINI奖池&lt;/color&gt;</t>
  </si>
  <si>
    <t>12253_103900_1_4</t>
  </si>
  <si>
    <t>在[愤怒的小鸟]SLOT游戏中&lt;color=#00bfff&gt;触发4次MINI奖池&lt;/color&gt;</t>
  </si>
  <si>
    <t>12253_103900_1_5</t>
  </si>
  <si>
    <t>在[愤怒的小鸟]SLOT游戏中&lt;color=#00bfff&gt;触发5次MINI奖池&lt;/color&gt;</t>
  </si>
  <si>
    <t>12253_103900_1_6</t>
  </si>
  <si>
    <t>在[愤怒的小鸟]SLOT游戏中&lt;color=#00bfff&gt;触发6次MINI奖池&lt;/color&gt;</t>
  </si>
  <si>
    <t>象财神</t>
  </si>
  <si>
    <t>12207_1102_10</t>
  </si>
  <si>
    <t>[象财神]建筑&lt;color=#00bfff&gt;等级达到10级&lt;/color&gt;</t>
  </si>
  <si>
    <t>12207_1102_20</t>
  </si>
  <si>
    <t>[象财神]建筑&lt;color=#00bfff&gt;等级达到20级&lt;/color&gt;</t>
  </si>
  <si>
    <t>12207_1102_30</t>
  </si>
  <si>
    <t>[象财神]建筑&lt;color=#00bfff&gt;等级达到30级&lt;/color&gt;</t>
  </si>
  <si>
    <t>12207_1102_40</t>
  </si>
  <si>
    <t>[象财神]建筑&lt;color=#00bfff&gt;等级达到40级&lt;/color&gt;</t>
  </si>
  <si>
    <t>12207_1102_50</t>
  </si>
  <si>
    <t>[象财神]建筑&lt;color=#00bfff&gt;等级达到50级&lt;/color&gt;</t>
  </si>
  <si>
    <t>12207_1102_60</t>
  </si>
  <si>
    <t>[象财神]建筑&lt;color=#00bfff&gt;等级达到60级&lt;/color&gt;</t>
  </si>
  <si>
    <t>12269_102700_5000</t>
  </si>
  <si>
    <t>[象财神]游戏&lt;color=#00bfff&gt;技能战力达到5000以上&lt;/color&gt;</t>
  </si>
  <si>
    <t>12269_102700_10000</t>
  </si>
  <si>
    <t>[象财神]游戏&lt;color=#00bfff&gt;技能战力达到10000以上&lt;/color&gt;</t>
  </si>
  <si>
    <t>12269_102700_20000</t>
  </si>
  <si>
    <t>[象财神]游戏&lt;color=#00bfff&gt;技能战力达到20000以上&lt;/color&gt;</t>
  </si>
  <si>
    <t>12269_102700_40000</t>
  </si>
  <si>
    <t>[象财神]游戏&lt;color=#00bfff&gt;技能战力达到40000以上&lt;/color&gt;</t>
  </si>
  <si>
    <t>12269_102700_70000</t>
  </si>
  <si>
    <t>[象财神]游戏&lt;color=#00bfff&gt;技能战力达到70000以上&lt;/color&gt;</t>
  </si>
  <si>
    <t>12269_102700_90000</t>
  </si>
  <si>
    <t>[象财神]游戏&lt;color=#00bfff&gt;技能战力达到94000以上&lt;/color&gt;</t>
  </si>
  <si>
    <t>12252_102700_1_10</t>
  </si>
  <si>
    <t>在[象财神]SLOT游戏中&lt;color=#00bfff&gt;触发10次SWEET WIN奖&lt;/color&gt;</t>
  </si>
  <si>
    <t>12252_102700_1_20</t>
  </si>
  <si>
    <t>在[象财神]SLOT游戏中&lt;color=#00bfff&gt;触发20次SWEET WIN奖&lt;/color&gt;</t>
  </si>
  <si>
    <t>12252_102700_1_30</t>
  </si>
  <si>
    <t>在[象财神]SLOT游戏中&lt;color=#00bfff&gt;触发30次SWEET WIN奖&lt;/color&gt;</t>
  </si>
  <si>
    <t>12252_102700_1_40</t>
  </si>
  <si>
    <t>在[象财神]SLOT游戏中&lt;color=#00bfff&gt;触发40次SWEET WIN奖&lt;/color&gt;</t>
  </si>
  <si>
    <t>12252_102700_1_50</t>
  </si>
  <si>
    <t>在[象财神]SLOT游戏中&lt;color=#00bfff&gt;触发50次SWEET WIN奖&lt;/color&gt;</t>
  </si>
  <si>
    <t>12252_102700_1_60</t>
  </si>
  <si>
    <t>在[象财神]SLOT游戏中&lt;color=#00bfff&gt;触发60次SWEET WIN奖&lt;/color&gt;</t>
  </si>
  <si>
    <t>12272_102700_200</t>
  </si>
  <si>
    <t>在[象财神]SLOT游戏中&lt;color=#00bfff&gt;投注200次&lt;/color&gt;</t>
  </si>
  <si>
    <t>12272_102700_500</t>
  </si>
  <si>
    <t>在[象财神]SLOT游戏中&lt;color=#00bfff&gt;投注500次&lt;/color&gt;</t>
  </si>
  <si>
    <t>12272_102700_1000</t>
  </si>
  <si>
    <t>在[象财神]SLOT游戏中&lt;color=#00bfff&gt;投注1000次&lt;/color&gt;</t>
  </si>
  <si>
    <t>12272_102700_2000</t>
  </si>
  <si>
    <t>在[象财神]SLOT游戏中&lt;color=#00bfff&gt;投注2000次&lt;/color&gt;</t>
  </si>
  <si>
    <t>12272_102700_5000</t>
  </si>
  <si>
    <t>在[象财神]SLOT游戏中&lt;color=#00bfff&gt;投注5000次&lt;/color&gt;</t>
  </si>
  <si>
    <t>12272_102700_10000</t>
  </si>
  <si>
    <t>在[象财神]SLOT游戏中&lt;color=#00bfff&gt;投注10000次&lt;/color&gt;</t>
  </si>
  <si>
    <t>12254_102700_1</t>
  </si>
  <si>
    <t>在[象财神]SLOT游戏中旋转&lt;color=#00bfff&gt;触发1次免费模式&lt;/color&gt;</t>
  </si>
  <si>
    <t>12254_102700_2</t>
  </si>
  <si>
    <t>在[象财神]SLOT游戏中旋转&lt;color=#00bfff&gt;触发2次免费模式&lt;/color&gt;</t>
  </si>
  <si>
    <t>12254_102700_5</t>
  </si>
  <si>
    <t>在[象财神]SLOT游戏中旋转&lt;color=#00bfff&gt;触发5次免费模式&lt;/color&gt;</t>
  </si>
  <si>
    <t>12254_102700_10</t>
  </si>
  <si>
    <t>在[象财神]SLOT游戏中旋转&lt;color=#00bfff&gt;触发10次免费模式&lt;/color&gt;</t>
  </si>
  <si>
    <t>12254_102700_20</t>
  </si>
  <si>
    <t>在[象财神]SLOT游戏中旋转&lt;color=#00bfff&gt;触发20次免费模式&lt;/color&gt;</t>
  </si>
  <si>
    <t>12254_102700_50</t>
  </si>
  <si>
    <t>在[象财神]SLOT游戏中旋转&lt;color=#00bfff&gt;触发50次免费模式&lt;/color&gt;</t>
  </si>
  <si>
    <t>12251_102700_1024083_1</t>
  </si>
  <si>
    <t>在[象财神]SLOT游戏中旋转获得&lt;color=#00bfff&gt;1个专属研究点&lt;/color&gt;</t>
  </si>
  <si>
    <t>12251_102700_1024083_2</t>
  </si>
  <si>
    <t>在[象财神]SLOT游戏中旋转获得&lt;color=#00bfff&gt;2个专属研究点&lt;/color&gt;</t>
  </si>
  <si>
    <t>12251_102700_1024083_3</t>
  </si>
  <si>
    <t>在[象财神]SLOT游戏中旋转获得&lt;color=#00bfff&gt;3个专属研究点&lt;/color&gt;</t>
  </si>
  <si>
    <t>12251_102700_1024083_4</t>
  </si>
  <si>
    <t>在[象财神]SLOT游戏中旋转获得&lt;color=#00bfff&gt;4个专属研究点&lt;/color&gt;</t>
  </si>
  <si>
    <t>12251_102700_1024083_5</t>
  </si>
  <si>
    <t>在[象财神]SLOT游戏中旋转获得&lt;color=#00bfff&gt;5个专属研究点&lt;/color&gt;</t>
  </si>
  <si>
    <t>12251_102700_1024083_6</t>
  </si>
  <si>
    <t>在[象财神]SLOT游戏中旋转获得&lt;color=#00bfff&gt;6个专属研究点&lt;/color&gt;</t>
  </si>
  <si>
    <t>12274_102700_1990000_500000</t>
  </si>
  <si>
    <t>在[象财神]SLOT游戏中&lt;color=#00bfff&gt;赢取50万金币&lt;/color&gt;</t>
  </si>
  <si>
    <t>12274_102700_1990000_1000000</t>
  </si>
  <si>
    <t>在[象财神]SLOT游戏中&lt;color=#00bfff&gt;赢取100万金币&lt;/color&gt;</t>
  </si>
  <si>
    <t>12274_102700_1990000_2000000</t>
  </si>
  <si>
    <t>在[象财神]SLOT游戏中&lt;color=#00bfff&gt;赢取200万金币&lt;/color&gt;</t>
  </si>
  <si>
    <t>12274_102700_1990000_3000000</t>
  </si>
  <si>
    <t>在[象财神]SLOT游戏中&lt;color=#00bfff&gt;赢取300万金币&lt;/color&gt;</t>
  </si>
  <si>
    <t>12274_102700_1990000_5000000</t>
  </si>
  <si>
    <t>在[象财神]SLOT游戏中&lt;color=#00bfff&gt;赢取500万金币&lt;/color&gt;</t>
  </si>
  <si>
    <t>12274_102700_1990000_10000000</t>
  </si>
  <si>
    <t>在[象财神]SLOT游戏中&lt;color=#00bfff&gt;赢取1000万金币&lt;/color&gt;</t>
  </si>
  <si>
    <t>12274_102700_1990000_20000000</t>
  </si>
  <si>
    <t>在[象财神]SLOT游戏中&lt;color=#00bfff&gt;赢取2000万金币&lt;/color&gt;</t>
  </si>
  <si>
    <t>12274_102700_1990000_50000000</t>
  </si>
  <si>
    <t>在[象财神]SLOT游戏中&lt;color=#00bfff&gt;赢取5000万金币&lt;/color&gt;</t>
  </si>
  <si>
    <t>12253_102700_1_1</t>
  </si>
  <si>
    <t>在[象财神]SLOT游戏中&lt;color=#00bfff&gt;触发1次MINI奖池&lt;/color&gt;</t>
  </si>
  <si>
    <t>12253_102700_1_2</t>
  </si>
  <si>
    <t>在[象财神]SLOT游戏中&lt;color=#00bfff&gt;触发2次MINI奖池&lt;/color&gt;</t>
  </si>
  <si>
    <t>12253_102700_1_3</t>
  </si>
  <si>
    <t>在[象财神]SLOT游戏中&lt;color=#00bfff&gt;触发3次MINI奖池&lt;/color&gt;</t>
  </si>
  <si>
    <t>12253_102700_1_4</t>
  </si>
  <si>
    <t>在[象财神]SLOT游戏中&lt;color=#00bfff&gt;触发4次MINI奖池&lt;/color&gt;</t>
  </si>
  <si>
    <t>12253_102700_1_5</t>
  </si>
  <si>
    <t>在[象财神]SLOT游戏中&lt;color=#00bfff&gt;触发5次MINI奖池&lt;/color&gt;</t>
  </si>
  <si>
    <t>12253_102700_1_6</t>
  </si>
  <si>
    <t>在[象财神]SLOT游戏中&lt;color=#00bfff&gt;触发6次MINI奖池&lt;/color&gt;</t>
  </si>
  <si>
    <t>[超级明星]建筑&lt;color=#00bfff&gt;等级达到10级&lt;/color&gt;</t>
  </si>
  <si>
    <t>[超级明星]建筑&lt;color=#00bfff&gt;等级达到20级&lt;/color&gt;</t>
  </si>
  <si>
    <t>[超级明星]建筑&lt;color=#00bfff&gt;等级达到30级&lt;/color&gt;</t>
  </si>
  <si>
    <t>[超级明星]建筑&lt;color=#00bfff&gt;等级达到40级&lt;/color&gt;</t>
  </si>
  <si>
    <t>12207_1103_50</t>
  </si>
  <si>
    <t>[超级明星]建筑&lt;color=#00bfff&gt;等级达到50级&lt;/color&gt;</t>
  </si>
  <si>
    <t>12207_1103_60</t>
  </si>
  <si>
    <t>[超级明星]建筑&lt;color=#00bfff&gt;等级达到60级&lt;/color&gt;</t>
  </si>
  <si>
    <t>[超级明星]游戏&lt;color=#00bfff&gt;技能战力达到5000以上&lt;/color&gt;</t>
  </si>
  <si>
    <t>12269_100300_10000</t>
  </si>
  <si>
    <t>[超级明星]游戏&lt;color=#00bfff&gt;技能战力达到10000以上&lt;/color&gt;</t>
  </si>
  <si>
    <t>[超级明星]游戏&lt;color=#00bfff&gt;技能战力达到20000以上&lt;/color&gt;</t>
  </si>
  <si>
    <t>12269_100300_40000</t>
  </si>
  <si>
    <t>[超级明星]游戏&lt;color=#00bfff&gt;技能战力达到40000以上&lt;/color&gt;</t>
  </si>
  <si>
    <t>12269_100300_60000</t>
  </si>
  <si>
    <t>[超级明星]游戏&lt;color=#00bfff&gt;技能战力达到60000以上&lt;/color&gt;</t>
  </si>
  <si>
    <t>12269_100300_80000</t>
  </si>
  <si>
    <t>[超级明星]游戏&lt;color=#00bfff&gt;技能战力达到86000以上&lt;/color&gt;</t>
  </si>
  <si>
    <t>12252_100300_1_10</t>
  </si>
  <si>
    <t>在[超级明星]SLOT游戏中&lt;color=#00bfff&gt;触发10次SWEET WIN奖&lt;/color&gt;</t>
  </si>
  <si>
    <t>12252_100300_1_20</t>
  </si>
  <si>
    <t>在[超级明星]SLOT游戏中&lt;color=#00bfff&gt;触发20次SWEET WIN奖&lt;/color&gt;</t>
  </si>
  <si>
    <t>12252_100300_1_30</t>
  </si>
  <si>
    <t>在[超级明星]SLOT游戏中&lt;color=#00bfff&gt;触发30次SWEET WIN奖&lt;/color&gt;</t>
  </si>
  <si>
    <t>12252_100300_1_40</t>
  </si>
  <si>
    <t>在[超级明星]SLOT游戏中&lt;color=#00bfff&gt;触发40次SWEET WIN奖&lt;/color&gt;</t>
  </si>
  <si>
    <t>12252_100300_1_50</t>
  </si>
  <si>
    <t>在[超级明星]SLOT游戏中&lt;color=#00bfff&gt;触发50次SWEET WIN奖&lt;/color&gt;</t>
  </si>
  <si>
    <t>12252_100300_1_60</t>
  </si>
  <si>
    <t>在[超级明星]SLOT游戏中&lt;color=#00bfff&gt;触发60次SWEET WIN奖&lt;/color&gt;</t>
  </si>
  <si>
    <t>12272_100300_200</t>
  </si>
  <si>
    <t>在[超级明星]SLOT游戏中&lt;color=#00bfff&gt;投注200次&lt;/color&gt;</t>
  </si>
  <si>
    <t>12272_100300_500</t>
  </si>
  <si>
    <t>在[超级明星]SLOT游戏中&lt;color=#00bfff&gt;投注500次&lt;/color&gt;</t>
  </si>
  <si>
    <t>12272_100300_1000</t>
  </si>
  <si>
    <t>在[超级明星]SLOT游戏中&lt;color=#00bfff&gt;投注1000次&lt;/color&gt;</t>
  </si>
  <si>
    <t>12272_100300_2000</t>
  </si>
  <si>
    <t>在[超级明星]SLOT游戏中&lt;color=#00bfff&gt;投注2000次&lt;/color&gt;</t>
  </si>
  <si>
    <t>12272_100300_5000</t>
  </si>
  <si>
    <t>在[超级明星]SLOT游戏中&lt;color=#00bfff&gt;投注5000次&lt;/color&gt;</t>
  </si>
  <si>
    <t>12272_100300_10000</t>
  </si>
  <si>
    <t>在[超级明星]SLOT游戏中&lt;color=#00bfff&gt;投注10000次&lt;/color&gt;</t>
  </si>
  <si>
    <t>12253_100300_5_1</t>
  </si>
  <si>
    <t>在[超级明星]SLOT游戏中旋转&lt;color=#00bfff&gt;触发1次jackpot&lt;/color&gt;</t>
  </si>
  <si>
    <t>12253_100300_5_2</t>
  </si>
  <si>
    <t>在[超级明星]SLOT游戏中旋转&lt;color=#00bfff&gt;触发2次jackpot&lt;/color&gt;</t>
  </si>
  <si>
    <t>12253_100300_5_3</t>
  </si>
  <si>
    <t>在[超级明星]SLOT游戏中旋转&lt;color=#00bfff&gt;触发5次jackpot&lt;/color&gt;</t>
  </si>
  <si>
    <t>12253_100300_5_4</t>
  </si>
  <si>
    <t>在[超级明星]SLOT游戏中旋转&lt;color=#00bfff&gt;触发10次jackpot&lt;/color&gt;</t>
  </si>
  <si>
    <t>12253_100300_5_5</t>
  </si>
  <si>
    <t>在[超级明星]SLOT游戏中旋转&lt;color=#00bfff&gt;触发20次jackpot&lt;/color&gt;</t>
  </si>
  <si>
    <t>12253_100300_5_6</t>
  </si>
  <si>
    <t>在[超级明星]SLOT游戏中旋转&lt;color=#00bfff&gt;触发50次jackpot&lt;/color&gt;</t>
  </si>
  <si>
    <t>12251_100300_1024024_1</t>
  </si>
  <si>
    <t>在[超级明星]SLOT游戏中旋转获得&lt;color=#00bfff&gt;1个专属研究点&lt;/color&gt;</t>
  </si>
  <si>
    <t>12251_100300_1024024_2</t>
  </si>
  <si>
    <t>在[超级明星]SLOT游戏中旋转获得&lt;color=#00bfff&gt;2个专属研究点&lt;/color&gt;</t>
  </si>
  <si>
    <t>12251_100300_1024024_3</t>
  </si>
  <si>
    <t>在[超级明星]SLOT游戏中旋转获得&lt;color=#00bfff&gt;3个专属研究点&lt;/color&gt;</t>
  </si>
  <si>
    <t>12251_100300_1024024_4</t>
  </si>
  <si>
    <t>在[超级明星]SLOT游戏中旋转获得&lt;color=#00bfff&gt;4个专属研究点&lt;/color&gt;</t>
  </si>
  <si>
    <t>12251_100300_1024024_5</t>
  </si>
  <si>
    <t>在[超级明星]SLOT游戏中旋转获得&lt;color=#00bfff&gt;5个专属研究点&lt;/color&gt;</t>
  </si>
  <si>
    <t>12251_100300_1024024_6</t>
  </si>
  <si>
    <t>在[超级明星]SLOT游戏中旋转获得&lt;color=#00bfff&gt;6个专属研究点&lt;/color&gt;</t>
  </si>
  <si>
    <t>12274_100300_1990000_5000000</t>
  </si>
  <si>
    <t>在[超级明星]SLOT游戏中&lt;color=#00bfff&gt;赢取500万金币&lt;/color&gt;</t>
  </si>
  <si>
    <t>12274_100300_1990000_10000000</t>
  </si>
  <si>
    <t>在[超级明星]SLOT游戏中&lt;color=#00bfff&gt;赢取1000万金币&lt;/color&gt;</t>
  </si>
  <si>
    <t>12274_100300_1990000_20000000</t>
  </si>
  <si>
    <t>在[超级明星]SLOT游戏中&lt;color=#00bfff&gt;赢取2000万金币&lt;/color&gt;</t>
  </si>
  <si>
    <t>12274_100300_1990000_30000000</t>
  </si>
  <si>
    <t>在[超级明星]SLOT游戏中&lt;color=#00bfff&gt;赢取3000万金币&lt;/color&gt;</t>
  </si>
  <si>
    <t>12274_100300_1990000_50000000</t>
  </si>
  <si>
    <t>在[超级明星]SLOT游戏中&lt;color=#00bfff&gt;赢取5000万金币&lt;/color&gt;</t>
  </si>
  <si>
    <t>12274_100300_1990000_100000000</t>
  </si>
  <si>
    <t>在[超级明星]SLOT游戏中&lt;color=#00bfff&gt;赢取1亿金币&lt;/color&gt;</t>
  </si>
  <si>
    <t>12274_100300_1990000_200000000</t>
  </si>
  <si>
    <t>在[超级明星]SLOT游戏中&lt;color=#00bfff&gt;赢取2亿金币&lt;/color&gt;</t>
  </si>
  <si>
    <t>12274_100300_1990000_500000000</t>
  </si>
  <si>
    <t>在[超级明星]SLOT游戏中&lt;color=#00bfff&gt;赢取5亿金币&lt;/color&gt;</t>
  </si>
  <si>
    <t>12253_100300_1_1</t>
  </si>
  <si>
    <t>在[超级明星]SLOT游戏中&lt;color=#00bfff&gt;触发1次MINI奖池&lt;/color&gt;</t>
  </si>
  <si>
    <t>12253_100300_1_2</t>
  </si>
  <si>
    <t>在[超级明星]SLOT游戏中&lt;color=#00bfff&gt;触发2次MINI奖池&lt;/color&gt;</t>
  </si>
  <si>
    <t>12253_100300_1_3</t>
  </si>
  <si>
    <t>在[超级明星]SLOT游戏中&lt;color=#00bfff&gt;触发3次MINI奖池&lt;/color&gt;</t>
  </si>
  <si>
    <t>12253_100300_1_4</t>
  </si>
  <si>
    <t>在[超级明星]SLOT游戏中&lt;color=#00bfff&gt;触发4次MINI奖池&lt;/color&gt;</t>
  </si>
  <si>
    <t>12253_100300_1_5</t>
  </si>
  <si>
    <t>在[超级明星]SLOT游戏中&lt;color=#00bfff&gt;触发5次MINI奖池&lt;/color&gt;</t>
  </si>
  <si>
    <t>12253_100300_1_6</t>
  </si>
  <si>
    <t>在[超级明星]SLOT游戏中&lt;color=#00bfff&gt;触发6次MINI奖池&lt;/color&gt;</t>
  </si>
  <si>
    <t>财神来了</t>
  </si>
  <si>
    <t>[财神来了]建筑&lt;color=#00bfff&gt;等级达到10级&lt;/color&gt;</t>
  </si>
  <si>
    <t>[财神来了]建筑&lt;color=#00bfff&gt;等级达到20级&lt;/color&gt;</t>
  </si>
  <si>
    <t>[财神来了]建筑&lt;color=#00bfff&gt;等级达到30级&lt;/color&gt;</t>
  </si>
  <si>
    <t>[财神来了]建筑&lt;color=#00bfff&gt;等级达到40级&lt;/color&gt;</t>
  </si>
  <si>
    <t>12207_1104_50</t>
  </si>
  <si>
    <t>[财神来了]建筑&lt;color=#00bfff&gt;等级达到50级&lt;/color&gt;</t>
  </si>
  <si>
    <t>12207_1104_60</t>
  </si>
  <si>
    <t>[财神来了]建筑&lt;color=#00bfff&gt;等级达到60级&lt;/color&gt;</t>
  </si>
  <si>
    <t>[财神来了]游戏&lt;color=#00bfff&gt;技能战力达到5000以上&lt;/color&gt;</t>
  </si>
  <si>
    <t>12269_101200_10000</t>
  </si>
  <si>
    <t>[财神来了]游戏&lt;color=#00bfff&gt;技能战力达到10000以上&lt;/color&gt;</t>
  </si>
  <si>
    <t>[财神来了]游戏&lt;color=#00bfff&gt;技能战力达到20000以上&lt;/color&gt;</t>
  </si>
  <si>
    <t>12269_101200_35000</t>
  </si>
  <si>
    <t>[财神来了]游戏&lt;color=#00bfff&gt;技能战力达到35000以上&lt;/color&gt;</t>
  </si>
  <si>
    <t>[财神来了]游戏&lt;color=#00bfff&gt;技能战力达到50000以上&lt;/color&gt;</t>
  </si>
  <si>
    <t>12269_101200_60000</t>
  </si>
  <si>
    <t>[财神来了]游戏&lt;color=#00bfff&gt;技能战力达到66000以上&lt;/color&gt;</t>
  </si>
  <si>
    <t>12252_101200_1_10</t>
  </si>
  <si>
    <t>在[财神来了]SLOT游戏中&lt;color=#00bfff&gt;触发10次SWEET WIN奖&lt;/color&gt;</t>
  </si>
  <si>
    <t>12252_101200_1_20</t>
  </si>
  <si>
    <t>在[财神来了]SLOT游戏中&lt;color=#00bfff&gt;触发20次SWEET WIN奖&lt;/color&gt;</t>
  </si>
  <si>
    <t>12252_101200_1_30</t>
  </si>
  <si>
    <t>在[财神来了]SLOT游戏中&lt;color=#00bfff&gt;触发30次SWEET WIN奖&lt;/color&gt;</t>
  </si>
  <si>
    <t>12252_101200_1_40</t>
  </si>
  <si>
    <t>在[财神来了]SLOT游戏中&lt;color=#00bfff&gt;触发40次SWEET WIN奖&lt;/color&gt;</t>
  </si>
  <si>
    <t>12252_101200_1_50</t>
  </si>
  <si>
    <t>在[财神来了]SLOT游戏中&lt;color=#00bfff&gt;触发50次SWEET WIN奖&lt;/color&gt;</t>
  </si>
  <si>
    <t>12252_101200_1_60</t>
  </si>
  <si>
    <t>在[财神来了]SLOT游戏中&lt;color=#00bfff&gt;触发60次SWEET WIN奖&lt;/color&gt;</t>
  </si>
  <si>
    <t>12272_101200_200</t>
  </si>
  <si>
    <t>在[财神来了]SLOT游戏中&lt;color=#00bfff&gt;投注200次&lt;/color&gt;</t>
  </si>
  <si>
    <t>12272_101200_500</t>
  </si>
  <si>
    <t>在[财神来了]SLOT游戏中&lt;color=#00bfff&gt;投注500次&lt;/color&gt;</t>
  </si>
  <si>
    <t>12272_101200_1000</t>
  </si>
  <si>
    <t>在[财神来了]SLOT游戏中&lt;color=#00bfff&gt;投注1000次&lt;/color&gt;</t>
  </si>
  <si>
    <t>12272_101200_2000</t>
  </si>
  <si>
    <t>在[财神来了]SLOT游戏中&lt;color=#00bfff&gt;投注2000次&lt;/color&gt;</t>
  </si>
  <si>
    <t>12272_101200_5000</t>
  </si>
  <si>
    <t>在[财神来了]SLOT游戏中&lt;color=#00bfff&gt;投注5000次&lt;/color&gt;</t>
  </si>
  <si>
    <t>12272_101200_10000</t>
  </si>
  <si>
    <t>在[财神来了]SLOT游戏中&lt;color=#00bfff&gt;投注10000次&lt;/color&gt;</t>
  </si>
  <si>
    <t>12275_1</t>
  </si>
  <si>
    <t>在[财神来了]SLOT游戏中旋转&lt;color=#00bfff&gt;触发1次财神到模式&lt;/color&gt;</t>
  </si>
  <si>
    <t>12275_2</t>
  </si>
  <si>
    <t>在[财神来了]SLOT游戏中旋转&lt;color=#00bfff&gt;触发2次财神到模式&lt;/color&gt;</t>
  </si>
  <si>
    <t>12275_5</t>
  </si>
  <si>
    <t>在[财神来了]SLOT游戏中旋转&lt;color=#00bfff&gt;触发5次财神到模式&lt;/color&gt;</t>
  </si>
  <si>
    <t>12275_10</t>
  </si>
  <si>
    <t>在[财神来了]SLOT游戏中旋转&lt;color=#00bfff&gt;触发10次财神到模式&lt;/color&gt;</t>
  </si>
  <si>
    <t>12275_20</t>
  </si>
  <si>
    <t>在[财神来了]SLOT游戏中旋转&lt;color=#00bfff&gt;触发20次财神到模式&lt;/color&gt;</t>
  </si>
  <si>
    <t>12275_50</t>
  </si>
  <si>
    <t>在[财神来了]SLOT游戏中旋转&lt;color=#00bfff&gt;触发50次财神到模式&lt;/color&gt;</t>
  </si>
  <si>
    <t>12251_101200_1024040_1</t>
  </si>
  <si>
    <t>在[财神来了]SLOT游戏中旋转获得&lt;color=#00bfff&gt;1个专属研究点&lt;/color&gt;</t>
  </si>
  <si>
    <t>12251_101200_1024040_2</t>
  </si>
  <si>
    <t>在[财神来了]SLOT游戏中旋转获得&lt;color=#00bfff&gt;2个专属研究点&lt;/color&gt;</t>
  </si>
  <si>
    <t>12251_101200_1024040_3</t>
  </si>
  <si>
    <t>在[财神来了]SLOT游戏中旋转获得&lt;color=#00bfff&gt;3个专属研究点&lt;/color&gt;</t>
  </si>
  <si>
    <t>12251_101200_1024040_4</t>
  </si>
  <si>
    <t>在[财神来了]SLOT游戏中旋转获得&lt;color=#00bfff&gt;4个专属研究点&lt;/color&gt;</t>
  </si>
  <si>
    <t>12251_101200_1024040_5</t>
  </si>
  <si>
    <t>在[财神来了]SLOT游戏中旋转获得&lt;color=#00bfff&gt;5个专属研究点&lt;/color&gt;</t>
  </si>
  <si>
    <t>12251_101200_1024040_6</t>
  </si>
  <si>
    <t>在[财神来了]SLOT游戏中旋转获得&lt;color=#00bfff&gt;6个专属研究点&lt;/color&gt;</t>
  </si>
  <si>
    <t>12274_101200_1990000_500000</t>
  </si>
  <si>
    <t>在[财神来了]SLOT游戏中&lt;color=#00bfff&gt;赢取500万金币&lt;/color&gt;</t>
  </si>
  <si>
    <t>12274_101200_1990000_1000000</t>
  </si>
  <si>
    <t>在[财神来了]SLOT游戏中&lt;color=#00bfff&gt;赢取1000万金币&lt;/color&gt;</t>
  </si>
  <si>
    <t>12274_101200_1990000_2000000</t>
  </si>
  <si>
    <t>在[财神来了]SLOT游戏中&lt;color=#00bfff&gt;赢取2000万金币&lt;/color&gt;</t>
  </si>
  <si>
    <t>12274_101200_1990000_3000000</t>
  </si>
  <si>
    <t>在[财神来了]SLOT游戏中&lt;color=#00bfff&gt;赢取3000万金币&lt;/color&gt;</t>
  </si>
  <si>
    <t>12274_101200_1990000_5000000</t>
  </si>
  <si>
    <t>在[财神来了]SLOT游戏中&lt;color=#00bfff&gt;赢取5000万金币&lt;/color&gt;</t>
  </si>
  <si>
    <t>12274_101200_1990000_10000000</t>
  </si>
  <si>
    <t>在[财神来了]SLOT游戏中&lt;color=#00bfff&gt;赢取1亿金币&lt;/color&gt;</t>
  </si>
  <si>
    <t>12274_101200_1990000_20000000</t>
  </si>
  <si>
    <t>在[财神来了]SLOT游戏中&lt;color=#00bfff&gt;赢取2亿金币&lt;/color&gt;</t>
  </si>
  <si>
    <t>12274_101200_1990000_50000000</t>
  </si>
  <si>
    <t>在[财神来了]SLOT游戏中&lt;color=#00bfff&gt;赢取5亿金币&lt;/color&gt;</t>
  </si>
  <si>
    <t>12253_101200_5_1</t>
  </si>
  <si>
    <t>在[财神来了]SLOT游戏中&lt;color=#00bfff&gt;触发1次jackpot&lt;/color&gt;</t>
  </si>
  <si>
    <t>12253_101200_5_2</t>
  </si>
  <si>
    <t>在[财神来了]SLOT游戏中&lt;color=#00bfff&gt;触发2次jackpot&lt;/color&gt;</t>
  </si>
  <si>
    <t>12253_101200_5_3</t>
  </si>
  <si>
    <t>在[财神来了]SLOT游戏中&lt;color=#00bfff&gt;触发3次jackpot&lt;/color&gt;</t>
  </si>
  <si>
    <t>12253_101200_5_4</t>
  </si>
  <si>
    <t>在[财神来了]SLOT游戏中&lt;color=#00bfff&gt;触发4次jackpot&lt;/color&gt;</t>
  </si>
  <si>
    <t>12253_101200_5_5</t>
  </si>
  <si>
    <t>在[财神来了]SLOT游戏中&lt;color=#00bfff&gt;触发5次jackpot&lt;/color&gt;</t>
  </si>
  <si>
    <t>12253_101200_5_6</t>
  </si>
  <si>
    <t>在[财神来了]SLOT游戏中&lt;color=#00bfff&gt;触发6次jackpot&lt;/color&gt;</t>
  </si>
  <si>
    <t>寒冰王座</t>
  </si>
  <si>
    <t>[寒冰王座]建筑&lt;color=#00bfff&gt;等级达到10级&lt;/color&gt;</t>
  </si>
  <si>
    <t>[寒冰王座]建筑&lt;color=#00bfff&gt;等级达到20级&lt;/color&gt;</t>
  </si>
  <si>
    <t>[寒冰王座]建筑&lt;color=#00bfff&gt;等级达到30级&lt;/color&gt;</t>
  </si>
  <si>
    <t>[寒冰王座]建筑&lt;color=#00bfff&gt;等级达到40级&lt;/color&gt;</t>
  </si>
  <si>
    <t>12207_1105_50</t>
  </si>
  <si>
    <t>[寒冰王座]建筑&lt;color=#00bfff&gt;等级达到50级&lt;/color&gt;</t>
  </si>
  <si>
    <t>12207_1105_60</t>
  </si>
  <si>
    <t>[寒冰王座]建筑&lt;color=#00bfff&gt;等级达到60级&lt;/color&gt;</t>
  </si>
  <si>
    <t>[寒冰王座]游戏&lt;color=#00bfff&gt;技能战力达到5000以上&lt;/color&gt;</t>
  </si>
  <si>
    <t>12269_102500_10000</t>
  </si>
  <si>
    <t>[寒冰王座]游戏&lt;color=#00bfff&gt;技能战力达到10000以上&lt;/color&gt;</t>
  </si>
  <si>
    <t>[寒冰王座]游戏&lt;color=#00bfff&gt;技能战力达到20000以上&lt;/color&gt;</t>
  </si>
  <si>
    <t>12269_102500_40000</t>
  </si>
  <si>
    <t>[寒冰王座]游戏&lt;color=#00bfff&gt;技能战力达到40000以上&lt;/color&gt;</t>
  </si>
  <si>
    <t>12269_102500_70000</t>
  </si>
  <si>
    <t>[寒冰王座]游戏&lt;color=#00bfff&gt;技能战力达到70000以上&lt;/color&gt;</t>
  </si>
  <si>
    <t>12269_102500_96000</t>
  </si>
  <si>
    <t>[寒冰王座]游戏&lt;color=#00bfff&gt;技能战力达到96000以上&lt;/color&gt;</t>
  </si>
  <si>
    <t>12252_102500_1_10</t>
  </si>
  <si>
    <t>在[寒冰王座]SLOT游戏中&lt;color=#00bfff&gt;触发10次SWEET WIN奖&lt;/color&gt;</t>
  </si>
  <si>
    <t>12252_102500_1_20</t>
  </si>
  <si>
    <t>在[寒冰王座]SLOT游戏中&lt;color=#00bfff&gt;触发20次SWEET WIN奖&lt;/color&gt;</t>
  </si>
  <si>
    <t>12252_102500_1_30</t>
  </si>
  <si>
    <t>在[寒冰王座]SLOT游戏中&lt;color=#00bfff&gt;触发30次SWEET WIN奖&lt;/color&gt;</t>
  </si>
  <si>
    <t>12252_102500_1_40</t>
  </si>
  <si>
    <t>在[寒冰王座]SLOT游戏中&lt;color=#00bfff&gt;触发40次SWEET WIN奖&lt;/color&gt;</t>
  </si>
  <si>
    <t>12252_102500_1_50</t>
  </si>
  <si>
    <t>在[寒冰王座]SLOT游戏中&lt;color=#00bfff&gt;触发50次SWEET WIN奖&lt;/color&gt;</t>
  </si>
  <si>
    <t>12252_102500_1_60</t>
  </si>
  <si>
    <t>在[寒冰王座]SLOT游戏中&lt;color=#00bfff&gt;触发60次SWEET WIN奖&lt;/color&gt;</t>
  </si>
  <si>
    <t>12272_102500_200</t>
  </si>
  <si>
    <t>在[寒冰王座]SLOT游戏中&lt;color=#00bfff&gt;投注200次&lt;/color&gt;</t>
  </si>
  <si>
    <t>12272_102500_500</t>
  </si>
  <si>
    <t>在[寒冰王座]SLOT游戏中&lt;color=#00bfff&gt;投注500次&lt;/color&gt;</t>
  </si>
  <si>
    <t>12272_102500_1000</t>
  </si>
  <si>
    <t>在[寒冰王座]SLOT游戏中&lt;color=#00bfff&gt;投注1000次&lt;/color&gt;</t>
  </si>
  <si>
    <t>12272_102500_2000</t>
  </si>
  <si>
    <t>在[寒冰王座]SLOT游戏中&lt;color=#00bfff&gt;投注2000次&lt;/color&gt;</t>
  </si>
  <si>
    <t>12272_102500_5000</t>
  </si>
  <si>
    <t>在[寒冰王座]SLOT游戏中&lt;color=#00bfff&gt;投注5000次&lt;/color&gt;</t>
  </si>
  <si>
    <t>12272_102500_10000</t>
  </si>
  <si>
    <t>在[寒冰王座]SLOT游戏中&lt;color=#00bfff&gt;投注10000次&lt;/color&gt;</t>
  </si>
  <si>
    <t>12254_102500_1</t>
  </si>
  <si>
    <t>在[寒冰王座]SLOT游戏中旋转&lt;color=#00bfff&gt;触发1次免费模式&lt;/color&gt;</t>
  </si>
  <si>
    <t>12254_102500_2</t>
  </si>
  <si>
    <t>在[寒冰王座]SLOT游戏中旋转&lt;color=#00bfff&gt;触发2次免费模式&lt;/color&gt;</t>
  </si>
  <si>
    <t>12254_102500_5</t>
  </si>
  <si>
    <t>在[寒冰王座]SLOT游戏中旋转&lt;color=#00bfff&gt;触发5次免费模式&lt;/color&gt;</t>
  </si>
  <si>
    <t>12254_102500_10</t>
  </si>
  <si>
    <t>在[寒冰王座]SLOT游戏中旋转&lt;color=#00bfff&gt;触发10次免费模式&lt;/color&gt;</t>
  </si>
  <si>
    <t>12254_102500_20</t>
  </si>
  <si>
    <t>在[寒冰王座]SLOT游戏中旋转&lt;color=#00bfff&gt;触发20次免费模式&lt;/color&gt;</t>
  </si>
  <si>
    <t>12254_102500_50</t>
  </si>
  <si>
    <t>在[寒冰王座]SLOT游戏中旋转&lt;color=#00bfff&gt;触发50次免费模式&lt;/color&gt;</t>
  </si>
  <si>
    <t>12251_102500_1024077_1</t>
  </si>
  <si>
    <t>在[寒冰王座]SLOT游戏中旋转获得&lt;color=#00bfff&gt;1个专属研究点&lt;/color&gt;</t>
  </si>
  <si>
    <t>12251_102500_1024077_2</t>
  </si>
  <si>
    <t>在[寒冰王座]SLOT游戏中旋转获得&lt;color=#00bfff&gt;2个专属研究点&lt;/color&gt;</t>
  </si>
  <si>
    <t>12251_102500_1024077_3</t>
  </si>
  <si>
    <t>在[寒冰王座]SLOT游戏中旋转获得&lt;color=#00bfff&gt;3个专属研究点&lt;/color&gt;</t>
  </si>
  <si>
    <t>12251_102500_1024077_4</t>
  </si>
  <si>
    <t>在[寒冰王座]SLOT游戏中旋转获得&lt;color=#00bfff&gt;4个专属研究点&lt;/color&gt;</t>
  </si>
  <si>
    <t>12251_102500_1024077_5</t>
  </si>
  <si>
    <t>在[寒冰王座]SLOT游戏中旋转获得&lt;color=#00bfff&gt;5个专属研究点&lt;/color&gt;</t>
  </si>
  <si>
    <t>12251_102500_1024077_6</t>
  </si>
  <si>
    <t>在[寒冰王座]SLOT游戏中旋转获得&lt;color=#00bfff&gt;6个专属研究点&lt;/color&gt;</t>
  </si>
  <si>
    <t>12274_102500_1990000_5000000</t>
  </si>
  <si>
    <t>在[寒冰王座]SLOT游戏中&lt;color=#00bfff&gt;赢取500万金币&lt;/color&gt;</t>
  </si>
  <si>
    <t>12274_102500_1990000_10000000</t>
  </si>
  <si>
    <t>在[寒冰王座]SLOT游戏中&lt;color=#00bfff&gt;赢取1000万金币&lt;/color&gt;</t>
  </si>
  <si>
    <t>12274_102500_1990000_20000000</t>
  </si>
  <si>
    <t>在[寒冰王座]SLOT游戏中&lt;color=#00bfff&gt;赢取2000万金币&lt;/color&gt;</t>
  </si>
  <si>
    <t>12274_102500_1990000_30000000</t>
  </si>
  <si>
    <t>在[寒冰王座]SLOT游戏中&lt;color=#00bfff&gt;赢取3000万金币&lt;/color&gt;</t>
  </si>
  <si>
    <t>12274_102500_1990000_50000000</t>
  </si>
  <si>
    <t>在[寒冰王座]SLOT游戏中&lt;color=#00bfff&gt;赢取5000万金币&lt;/color&gt;</t>
  </si>
  <si>
    <t>12274_102500_1990000_100000000</t>
  </si>
  <si>
    <t>在[寒冰王座]SLOT游戏中&lt;color=#00bfff&gt;赢取1亿金币&lt;/color&gt;</t>
  </si>
  <si>
    <t>12274_102500_1990000_200000000</t>
  </si>
  <si>
    <t>在[寒冰王座]SLOT游戏中&lt;color=#00bfff&gt;赢取2亿金币&lt;/color&gt;</t>
  </si>
  <si>
    <t>12274_102500_1990000_500000000</t>
  </si>
  <si>
    <t>在[寒冰王座]SLOT游戏中&lt;color=#00bfff&gt;赢取5亿金币&lt;/color&gt;</t>
  </si>
  <si>
    <t>12253_102500_1_1</t>
  </si>
  <si>
    <t>在[寒冰王座]SLOT游戏中&lt;color=#00bfff&gt;触发1次MINI奖池&lt;/color&gt;</t>
  </si>
  <si>
    <t>12253_102500_1_2</t>
  </si>
  <si>
    <t>在[寒冰王座]SLOT游戏中&lt;color=#00bfff&gt;触发2次MINI奖池&lt;/color&gt;</t>
  </si>
  <si>
    <t>12253_102500_1_3</t>
  </si>
  <si>
    <t>在[寒冰王座]SLOT游戏中&lt;color=#00bfff&gt;触发3次MINI奖池&lt;/color&gt;</t>
  </si>
  <si>
    <t>12253_102500_1_4</t>
  </si>
  <si>
    <t>在[寒冰王座]SLOT游戏中&lt;color=#00bfff&gt;触发4次MINI奖池&lt;/color&gt;</t>
  </si>
  <si>
    <t>12253_102500_1_5</t>
  </si>
  <si>
    <t>在[寒冰王座]SLOT游戏中&lt;color=#00bfff&gt;触发5次MINI奖池&lt;/color&gt;</t>
  </si>
  <si>
    <t>12253_102500_1_6</t>
  </si>
  <si>
    <t>在[寒冰王座]SLOT游戏中&lt;color=#00bfff&gt;触发6次MINI奖池&lt;/color&gt;</t>
  </si>
  <si>
    <t>绿巨人</t>
  </si>
  <si>
    <t>[绿巨人]建筑&lt;color=#00bfff&gt;等级达到10级&lt;/color&gt;</t>
  </si>
  <si>
    <t>[绿巨人]建筑&lt;color=#00bfff&gt;等级达到20级&lt;/color&gt;</t>
  </si>
  <si>
    <t>[绿巨人]建筑&lt;color=#00bfff&gt;等级达到30级&lt;/color&gt;</t>
  </si>
  <si>
    <t>[绿巨人]建筑&lt;color=#00bfff&gt;等级达到40级&lt;/color&gt;</t>
  </si>
  <si>
    <t>12207_1106_50</t>
  </si>
  <si>
    <t>[绿巨人]建筑&lt;color=#00bfff&gt;等级达到50级&lt;/color&gt;</t>
  </si>
  <si>
    <t>12207_1106_60</t>
  </si>
  <si>
    <t>[绿巨人]建筑&lt;color=#00bfff&gt;等级达到60级&lt;/color&gt;</t>
  </si>
  <si>
    <t>[绿巨人]游戏&lt;color=#00bfff&gt;技能战力达到5000以上&lt;/color&gt;</t>
  </si>
  <si>
    <t>12269_103100_10000</t>
  </si>
  <si>
    <t>[绿巨人]游戏&lt;color=#00bfff&gt;技能战力达到10000以上&lt;/color&gt;</t>
  </si>
  <si>
    <t>12269_103100_30000</t>
  </si>
  <si>
    <t>[绿巨人]游戏&lt;color=#00bfff&gt;技能战力达到30000以上&lt;/color&gt;</t>
  </si>
  <si>
    <t>12269_103100_60000</t>
  </si>
  <si>
    <t>[绿巨人]游戏&lt;color=#00bfff&gt;技能战力达到60000以上&lt;/color&gt;</t>
  </si>
  <si>
    <t>12269_103100_100000</t>
  </si>
  <si>
    <t>[绿巨人]游戏&lt;color=#00bfff&gt;技能战力达到100000以上&lt;/color&gt;</t>
  </si>
  <si>
    <t>12269_103100_135000</t>
  </si>
  <si>
    <t>[绿巨人]游戏&lt;color=#00bfff&gt;技能战力达到135000以上&lt;/color&gt;</t>
  </si>
  <si>
    <t>12252_103100_1_10</t>
  </si>
  <si>
    <t>在[绿巨人]SLOT游戏中&lt;color=#00bfff&gt;触发10次SWEET WIN奖&lt;/color&gt;</t>
  </si>
  <si>
    <t>12252_103100_1_20</t>
  </si>
  <si>
    <t>在[绿巨人]SLOT游戏中&lt;color=#00bfff&gt;触发20次SWEET WIN奖&lt;/color&gt;</t>
  </si>
  <si>
    <t>12252_103100_1_30</t>
  </si>
  <si>
    <t>在[绿巨人]SLOT游戏中&lt;color=#00bfff&gt;触发30次SWEET WIN奖&lt;/color&gt;</t>
  </si>
  <si>
    <t>12252_103100_1_40</t>
  </si>
  <si>
    <t>在[绿巨人]SLOT游戏中&lt;color=#00bfff&gt;触发40次SWEET WIN奖&lt;/color&gt;</t>
  </si>
  <si>
    <t>12252_103100_1_50</t>
  </si>
  <si>
    <t>在[绿巨人]SLOT游戏中&lt;color=#00bfff&gt;触发50次SWEET WIN奖&lt;/color&gt;</t>
  </si>
  <si>
    <t>12252_103100_1_60</t>
  </si>
  <si>
    <t>在[绿巨人]SLOT游戏中&lt;color=#00bfff&gt;触发60次SWEET WIN奖&lt;/color&gt;</t>
  </si>
  <si>
    <t>12272_103100_200</t>
  </si>
  <si>
    <t>在[绿巨人]SLOT游戏中&lt;color=#00bfff&gt;投注200次&lt;/color&gt;</t>
  </si>
  <si>
    <t>12272_103100_500</t>
  </si>
  <si>
    <t>在[绿巨人]SLOT游戏中&lt;color=#00bfff&gt;投注500次&lt;/color&gt;</t>
  </si>
  <si>
    <t>12272_103100_1000</t>
  </si>
  <si>
    <t>在[绿巨人]SLOT游戏中&lt;color=#00bfff&gt;投注1000次&lt;/color&gt;</t>
  </si>
  <si>
    <t>12272_103100_2000</t>
  </si>
  <si>
    <t>在[绿巨人]SLOT游戏中&lt;color=#00bfff&gt;投注2000次&lt;/color&gt;</t>
  </si>
  <si>
    <t>12272_103100_5000</t>
  </si>
  <si>
    <t>在[绿巨人]SLOT游戏中&lt;color=#00bfff&gt;投注5000次&lt;/color&gt;</t>
  </si>
  <si>
    <t>12272_103100_10000</t>
  </si>
  <si>
    <t>在[绿巨人]SLOT游戏中&lt;color=#00bfff&gt;投注10000次&lt;/color&gt;</t>
  </si>
  <si>
    <t>12254_103100_1</t>
  </si>
  <si>
    <t>在[绿巨人]SLOT游戏中旋转&lt;color=#00bfff&gt;触发1次免费模式&lt;/color&gt;</t>
  </si>
  <si>
    <t>12254_103100_2</t>
  </si>
  <si>
    <t>在[绿巨人]SLOT游戏中旋转&lt;color=#00bfff&gt;触发2次免费模式&lt;/color&gt;</t>
  </si>
  <si>
    <t>12254_103100_5</t>
  </si>
  <si>
    <t>在[绿巨人]SLOT游戏中旋转&lt;color=#00bfff&gt;触发5次免费模式&lt;/color&gt;</t>
  </si>
  <si>
    <t>12254_103100_10</t>
  </si>
  <si>
    <t>在[绿巨人]SLOT游戏中旋转&lt;color=#00bfff&gt;触发10次免费模式&lt;/color&gt;</t>
  </si>
  <si>
    <t>12254_103100_20</t>
  </si>
  <si>
    <t>在[绿巨人]SLOT游戏中旋转&lt;color=#00bfff&gt;触发20次免费模式&lt;/color&gt;</t>
  </si>
  <si>
    <t>12254_103100_50</t>
  </si>
  <si>
    <t>在[绿巨人]SLOT游戏中旋转&lt;color=#00bfff&gt;触发50次免费模式&lt;/color&gt;</t>
  </si>
  <si>
    <t>12251_103100_1024078_1</t>
  </si>
  <si>
    <t>在[绿巨人]SLOT游戏中旋转获得&lt;color=#00bfff&gt;1个专属研究点&lt;/color&gt;</t>
  </si>
  <si>
    <t>12251_103100_1024078_2</t>
  </si>
  <si>
    <t>在[绿巨人]SLOT游戏中旋转获得&lt;color=#00bfff&gt;2个专属研究点&lt;/color&gt;</t>
  </si>
  <si>
    <t>12251_103100_1024078_3</t>
  </si>
  <si>
    <t>在[绿巨人]SLOT游戏中旋转获得&lt;color=#00bfff&gt;3个专属研究点&lt;/color&gt;</t>
  </si>
  <si>
    <t>12251_103100_1024078_4</t>
  </si>
  <si>
    <t>在[绿巨人]SLOT游戏中旋转获得&lt;color=#00bfff&gt;4个专属研究点&lt;/color&gt;</t>
  </si>
  <si>
    <t>12251_103100_1024078_5</t>
  </si>
  <si>
    <t>在[绿巨人]SLOT游戏中旋转获得&lt;color=#00bfff&gt;5个专属研究点&lt;/color&gt;</t>
  </si>
  <si>
    <t>12251_103100_1024078_6</t>
  </si>
  <si>
    <t>在[绿巨人]SLOT游戏中旋转获得&lt;color=#00bfff&gt;6个专属研究点&lt;/color&gt;</t>
  </si>
  <si>
    <t>12274_103100_1990000_5000000</t>
  </si>
  <si>
    <t>在[绿巨人]SLOT游戏中&lt;color=#00bfff&gt;赢取500万金币&lt;/color&gt;</t>
  </si>
  <si>
    <t>12274_103100_1990000_10000000</t>
  </si>
  <si>
    <t>在[绿巨人]SLOT游戏中&lt;color=#00bfff&gt;赢取1000万金币&lt;/color&gt;</t>
  </si>
  <si>
    <t>12274_103100_1990000_20000000</t>
  </si>
  <si>
    <t>在[绿巨人]SLOT游戏中&lt;color=#00bfff&gt;赢取2000万金币&lt;/color&gt;</t>
  </si>
  <si>
    <t>12274_103100_1990000_30000000</t>
  </si>
  <si>
    <t>在[绿巨人]SLOT游戏中&lt;color=#00bfff&gt;赢取3000万金币&lt;/color&gt;</t>
  </si>
  <si>
    <t>12274_103100_1990000_50000000</t>
  </si>
  <si>
    <t>在[绿巨人]SLOT游戏中&lt;color=#00bfff&gt;赢取5000万金币&lt;/color&gt;</t>
  </si>
  <si>
    <t>12274_103100_1990000_100000000</t>
  </si>
  <si>
    <t>在[绿巨人]SLOT游戏中&lt;color=#00bfff&gt;赢取1亿金币&lt;/color&gt;</t>
  </si>
  <si>
    <t>12274_103100_1990000_200000000</t>
  </si>
  <si>
    <t>在[绿巨人]SLOT游戏中&lt;color=#00bfff&gt;赢取2亿金币&lt;/color&gt;</t>
  </si>
  <si>
    <t>12274_103100_1990000_500000000</t>
  </si>
  <si>
    <t>在[绿巨人]SLOT游戏中&lt;color=#00bfff&gt;赢取5亿金币&lt;/color&gt;</t>
  </si>
  <si>
    <t>12253_103100_1_1</t>
  </si>
  <si>
    <t>在[绿巨人]SLOT游戏中&lt;color=#00bfff&gt;触发1次MINI奖池&lt;/color&gt;</t>
  </si>
  <si>
    <t>12253_103100_1_2</t>
  </si>
  <si>
    <t>在[绿巨人]SLOT游戏中&lt;color=#00bfff&gt;触发2次MINI奖池&lt;/color&gt;</t>
  </si>
  <si>
    <t>12253_103100_1_3</t>
  </si>
  <si>
    <t>在[绿巨人]SLOT游戏中&lt;color=#00bfff&gt;触发3次MINI奖池&lt;/color&gt;</t>
  </si>
  <si>
    <t>12253_103100_1_4</t>
  </si>
  <si>
    <t>在[绿巨人]SLOT游戏中&lt;color=#00bfff&gt;触发4次MINI奖池&lt;/color&gt;</t>
  </si>
  <si>
    <t>12253_103100_1_5</t>
  </si>
  <si>
    <t>在[绿巨人]SLOT游戏中&lt;color=#00bfff&gt;触发5次MINI奖池&lt;/color&gt;</t>
  </si>
  <si>
    <t>12253_103100_1_6</t>
  </si>
  <si>
    <t>在[绿巨人]SLOT游戏中&lt;color=#00bfff&gt;触发6次MINI奖池&lt;/color&gt;</t>
  </si>
  <si>
    <t>篮球巨星</t>
  </si>
  <si>
    <t>[篮球巨星]建筑&lt;color=#00bfff&gt;等级达到10级&lt;/color&gt;</t>
  </si>
  <si>
    <t>12207_1107_20</t>
  </si>
  <si>
    <t>[篮球巨星]建筑&lt;color=#00bfff&gt;等级达到20级&lt;/color&gt;</t>
  </si>
  <si>
    <t>12207_1107_30</t>
  </si>
  <si>
    <t>[篮球巨星]建筑&lt;color=#00bfff&gt;等级达到30级&lt;/color&gt;</t>
  </si>
  <si>
    <t>12207_1107_40</t>
  </si>
  <si>
    <t>[篮球巨星]建筑&lt;color=#00bfff&gt;等级达到40级&lt;/color&gt;</t>
  </si>
  <si>
    <t>12207_1107_50</t>
  </si>
  <si>
    <t>[篮球巨星]建筑&lt;color=#00bfff&gt;等级达到50级&lt;/color&gt;</t>
  </si>
  <si>
    <t>12207_1107_60</t>
  </si>
  <si>
    <t>[篮球巨星]建筑&lt;color=#00bfff&gt;等级达到60级&lt;/color&gt;</t>
  </si>
  <si>
    <t>[篮球巨星]游戏&lt;color=#00bfff&gt;技能战力达到5000以上&lt;/color&gt;</t>
  </si>
  <si>
    <t>[篮球巨星]游戏&lt;color=#00bfff&gt;技能战力达到10000以上&lt;/color&gt;</t>
  </si>
  <si>
    <t>12269_101800_30000</t>
  </si>
  <si>
    <t>[篮球巨星]游戏&lt;color=#00bfff&gt;技能战力达到30000以上&lt;/color&gt;</t>
  </si>
  <si>
    <t>12269_101800_50000</t>
  </si>
  <si>
    <t>[篮球巨星]游戏&lt;color=#00bfff&gt;技能战力达到50000以上&lt;/color&gt;</t>
  </si>
  <si>
    <t>12269_101800_70000</t>
  </si>
  <si>
    <t>[篮球巨星]游戏&lt;color=#00bfff&gt;技能战力达到70000以上&lt;/color&gt;</t>
  </si>
  <si>
    <t>12269_101800_100000</t>
  </si>
  <si>
    <t>[篮球巨星]游戏&lt;color=#00bfff&gt;技能战力达到105000以上&lt;/color&gt;</t>
  </si>
  <si>
    <t>12252_101800_1_10</t>
  </si>
  <si>
    <t>在[篮球巨星]SLOT游戏中&lt;color=#00bfff&gt;触发10次SWEET WIN奖&lt;/color&gt;</t>
  </si>
  <si>
    <t>12252_101800_1_20</t>
  </si>
  <si>
    <t>在[篮球巨星]SLOT游戏中&lt;color=#00bfff&gt;触发20次SWEET WIN奖&lt;/color&gt;</t>
  </si>
  <si>
    <t>12252_101800_1_30</t>
  </si>
  <si>
    <t>在[篮球巨星]SLOT游戏中&lt;color=#00bfff&gt;触发30次SWEET WIN奖&lt;/color&gt;</t>
  </si>
  <si>
    <t>12252_101800_1_40</t>
  </si>
  <si>
    <t>在[篮球巨星]SLOT游戏中&lt;color=#00bfff&gt;触发40次SWEET WIN奖&lt;/color&gt;</t>
  </si>
  <si>
    <t>12252_101800_1_50</t>
  </si>
  <si>
    <t>在[篮球巨星]SLOT游戏中&lt;color=#00bfff&gt;触发50次SWEET WIN奖&lt;/color&gt;</t>
  </si>
  <si>
    <t>12252_101800_1_60</t>
  </si>
  <si>
    <t>在[篮球巨星]SLOT游戏中&lt;color=#00bfff&gt;触发60次SWEET WIN奖&lt;/color&gt;</t>
  </si>
  <si>
    <t>12272_101800_200</t>
  </si>
  <si>
    <t>在[篮球巨星]SLOT游戏中&lt;color=#00bfff&gt;投注200次&lt;/color&gt;</t>
  </si>
  <si>
    <t>12272_101800_500</t>
  </si>
  <si>
    <t>在[篮球巨星]SLOT游戏中&lt;color=#00bfff&gt;投注500次&lt;/color&gt;</t>
  </si>
  <si>
    <t>12272_101800_1000</t>
  </si>
  <si>
    <t>在[篮球巨星]SLOT游戏中&lt;color=#00bfff&gt;投注1000次&lt;/color&gt;</t>
  </si>
  <si>
    <t>12272_101800_2000</t>
  </si>
  <si>
    <t>在[篮球巨星]SLOT游戏中&lt;color=#00bfff&gt;投注2000次&lt;/color&gt;</t>
  </si>
  <si>
    <t>12272_101800_5000</t>
  </si>
  <si>
    <t>在[篮球巨星]SLOT游戏中&lt;color=#00bfff&gt;投注5000次&lt;/color&gt;</t>
  </si>
  <si>
    <t>12272_101800_10000</t>
  </si>
  <si>
    <t>在[篮球巨星]SLOT游戏中&lt;color=#00bfff&gt;投注10000次&lt;/color&gt;</t>
  </si>
  <si>
    <t>12254_101800_1</t>
  </si>
  <si>
    <t>在[篮球巨星]SLOT游戏中旋转&lt;color=#00bfff&gt;触发1次免费模式&lt;/color&gt;</t>
  </si>
  <si>
    <t>12254_101800_2</t>
  </si>
  <si>
    <t>在[篮球巨星]SLOT游戏中旋转&lt;color=#00bfff&gt;触发2次免费模式&lt;/color&gt;</t>
  </si>
  <si>
    <t>12254_101800_5</t>
  </si>
  <si>
    <t>在[篮球巨星]SLOT游戏中旋转&lt;color=#00bfff&gt;触发5次免费模式&lt;/color&gt;</t>
  </si>
  <si>
    <t>12254_101800_10</t>
  </si>
  <si>
    <t>在[篮球巨星]SLOT游戏中旋转&lt;color=#00bfff&gt;触发10次免费模式&lt;/color&gt;</t>
  </si>
  <si>
    <t>12254_101800_20</t>
  </si>
  <si>
    <t>在[篮球巨星]SLOT游戏中旋转&lt;color=#00bfff&gt;触发20次免费模式&lt;/color&gt;</t>
  </si>
  <si>
    <t>12254_101800_50</t>
  </si>
  <si>
    <t>在[篮球巨星]SLOT游戏中旋转&lt;color=#00bfff&gt;触发50次免费模式&lt;/color&gt;</t>
  </si>
  <si>
    <t>12251_101800_1024076_1</t>
  </si>
  <si>
    <t>在[篮球巨星]SLOT游戏中旋转获得&lt;color=#00bfff&gt;1个专属研究点&lt;/color&gt;</t>
  </si>
  <si>
    <t>12251_101800_1024076_2</t>
  </si>
  <si>
    <t>在[篮球巨星]SLOT游戏中旋转获得&lt;color=#00bfff&gt;2个专属研究点&lt;/color&gt;</t>
  </si>
  <si>
    <t>12251_101800_1024076_3</t>
  </si>
  <si>
    <t>在[篮球巨星]SLOT游戏中旋转获得&lt;color=#00bfff&gt;3个专属研究点&lt;/color&gt;</t>
  </si>
  <si>
    <t>12251_101800_1024076_4</t>
  </si>
  <si>
    <t>在[篮球巨星]SLOT游戏中旋转获得&lt;color=#00bfff&gt;4个专属研究点&lt;/color&gt;</t>
  </si>
  <si>
    <t>12251_101800_1024076_5</t>
  </si>
  <si>
    <t>在[篮球巨星]SLOT游戏中旋转获得&lt;color=#00bfff&gt;5个专属研究点&lt;/color&gt;</t>
  </si>
  <si>
    <t>12251_101800_1024076_6</t>
  </si>
  <si>
    <t>在[篮球巨星]SLOT游戏中旋转获得&lt;color=#00bfff&gt;6个专属研究点&lt;/color&gt;</t>
  </si>
  <si>
    <t>12274_101800_1990000_5000000</t>
  </si>
  <si>
    <t>在[篮球巨星]SLOT游戏中&lt;color=#00bfff&gt;赢取500万金币&lt;/color&gt;</t>
  </si>
  <si>
    <t>12274_101800_1990000_10000000</t>
  </si>
  <si>
    <t>在[篮球巨星]SLOT游戏中&lt;color=#00bfff&gt;赢取1000万金币&lt;/color&gt;</t>
  </si>
  <si>
    <t>12274_101800_1990000_20000000</t>
  </si>
  <si>
    <t>在[篮球巨星]SLOT游戏中&lt;color=#00bfff&gt;赢取2000万金币&lt;/color&gt;</t>
  </si>
  <si>
    <t>12274_101800_1990000_30000000</t>
  </si>
  <si>
    <t>在[篮球巨星]SLOT游戏中&lt;color=#00bfff&gt;赢取3000万金币&lt;/color&gt;</t>
  </si>
  <si>
    <t>12274_101800_1990000_50000000</t>
  </si>
  <si>
    <t>在[篮球巨星]SLOT游戏中&lt;color=#00bfff&gt;赢取5000万金币&lt;/color&gt;</t>
  </si>
  <si>
    <t>12274_101800_1990000_100000000</t>
  </si>
  <si>
    <t>在[篮球巨星]SLOT游戏中&lt;color=#00bfff&gt;赢取1亿金币&lt;/color&gt;</t>
  </si>
  <si>
    <t>12274_101800_1990000_200000000</t>
  </si>
  <si>
    <t>在[篮球巨星]SLOT游戏中&lt;color=#00bfff&gt;赢取2亿金币&lt;/color&gt;</t>
  </si>
  <si>
    <t>12274_101800_1990000_500000000</t>
  </si>
  <si>
    <t>在[篮球巨星]SLOT游戏中&lt;color=#00bfff&gt;赢取5亿金币&lt;/color&gt;</t>
  </si>
  <si>
    <t>12253_101800_1_1</t>
  </si>
  <si>
    <t>在[篮球巨星]SLOT游戏中&lt;color=#00bfff&gt;触发1次MINI奖池&lt;/color&gt;</t>
  </si>
  <si>
    <t>12253_101800_1_2</t>
  </si>
  <si>
    <t>在[篮球巨星]SLOT游戏中&lt;color=#00bfff&gt;触发2次MINI奖池&lt;/color&gt;</t>
  </si>
  <si>
    <t>12253_101800_1_3</t>
  </si>
  <si>
    <t>在[篮球巨星]SLOT游戏中&lt;color=#00bfff&gt;触发3次MINI奖池&lt;/color&gt;</t>
  </si>
  <si>
    <t>12253_101800_1_4</t>
  </si>
  <si>
    <t>在[篮球巨星]SLOT游戏中&lt;color=#00bfff&gt;触发4次MINI奖池&lt;/color&gt;</t>
  </si>
  <si>
    <t>12253_101800_1_5</t>
  </si>
  <si>
    <t>在[篮球巨星]SLOT游戏中&lt;color=#00bfff&gt;触发5次MINI奖池&lt;/color&gt;</t>
  </si>
  <si>
    <t>12253_101800_1_6</t>
  </si>
  <si>
    <t>在[篮球巨星]SLOT游戏中&lt;color=#00bfff&gt;触发6次MINI奖池&lt;/color&gt;</t>
  </si>
  <si>
    <r>
      <rPr>
        <sz val="11"/>
        <color theme="1"/>
        <rFont val="等线"/>
        <charset val="134"/>
        <scheme val="minor"/>
      </rPr>
      <t>宙斯</t>
    </r>
    <r>
      <rPr>
        <sz val="10"/>
        <color theme="1"/>
        <rFont val="Arial"/>
        <charset val="134"/>
      </rPr>
      <t>VS</t>
    </r>
    <r>
      <rPr>
        <sz val="10"/>
        <color theme="1"/>
        <rFont val="微软雅黑"/>
        <charset val="134"/>
      </rPr>
      <t>哈迪斯</t>
    </r>
  </si>
  <si>
    <t>[宙斯VS哈迪斯]建筑&lt;color=#00bfff&gt;等级达到10级&lt;/color&gt;</t>
  </si>
  <si>
    <t>[宙斯VS哈迪斯]建筑&lt;color=#00bfff&gt;等级达到20级&lt;/color&gt;</t>
  </si>
  <si>
    <t>[宙斯VS哈迪斯]建筑&lt;color=#00bfff&gt;等级达到30级&lt;/color&gt;</t>
  </si>
  <si>
    <t>[宙斯VS哈迪斯]建筑&lt;color=#00bfff&gt;等级达到40级&lt;/color&gt;</t>
  </si>
  <si>
    <t>12207_1108_50</t>
  </si>
  <si>
    <t>[宙斯VS哈迪斯]建筑&lt;color=#00bfff&gt;等级达到50级&lt;/color&gt;</t>
  </si>
  <si>
    <t>12207_1108_60</t>
  </si>
  <si>
    <t>[宙斯VS哈迪斯]建筑&lt;color=#00bfff&gt;等级达到60级&lt;/color&gt;</t>
  </si>
  <si>
    <t>[宙斯VS哈迪斯]游戏&lt;color=#00bfff&gt;技能战力达到5000以上&lt;/color&gt;</t>
  </si>
  <si>
    <t>12269_102000_10000</t>
  </si>
  <si>
    <t>[宙斯VS哈迪斯]游戏&lt;color=#00bfff&gt;技能战力达到10000以上&lt;/color&gt;</t>
  </si>
  <si>
    <t>12269_102000_30000</t>
  </si>
  <si>
    <t>[宙斯VS哈迪斯]游戏&lt;color=#00bfff&gt;技能战力达到30000以上&lt;/color&gt;</t>
  </si>
  <si>
    <t>[宙斯VS哈迪斯]游戏&lt;color=#00bfff&gt;技能战力达到50000以上&lt;/color&gt;</t>
  </si>
  <si>
    <t>12269_102000_70000</t>
  </si>
  <si>
    <t>[宙斯VS哈迪斯]游戏&lt;color=#00bfff&gt;技能战力达到70000以上&lt;/color&gt;</t>
  </si>
  <si>
    <t>12269_102000_105000</t>
  </si>
  <si>
    <t>[宙斯VS哈迪斯]游戏&lt;color=#00bfff&gt;技能战力达到105000以上&lt;/color&gt;</t>
  </si>
  <si>
    <t>12252_102000_1_10</t>
  </si>
  <si>
    <t>在[宙斯VS哈迪斯]SLOT游戏中&lt;color=#00bfff&gt;触发10次SWEET WIN奖&lt;/color&gt;</t>
  </si>
  <si>
    <t>12252_102000_1_20</t>
  </si>
  <si>
    <t>在[宙斯VS哈迪斯]SLOT游戏中&lt;color=#00bfff&gt;触发20次SWEET WIN奖&lt;/color&gt;</t>
  </si>
  <si>
    <t>12252_102000_1_30</t>
  </si>
  <si>
    <t>在[宙斯VS哈迪斯]SLOT游戏中&lt;color=#00bfff&gt;触发30次SWEET WIN奖&lt;/color&gt;</t>
  </si>
  <si>
    <t>12252_102000_1_40</t>
  </si>
  <si>
    <t>在[宙斯VS哈迪斯]SLOT游戏中&lt;color=#00bfff&gt;触发40次SWEET WIN奖&lt;/color&gt;</t>
  </si>
  <si>
    <t>12252_102000_1_50</t>
  </si>
  <si>
    <t>在[宙斯VS哈迪斯]SLOT游戏中&lt;color=#00bfff&gt;触发50次SWEET WIN奖&lt;/color&gt;</t>
  </si>
  <si>
    <t>12252_102000_1_60</t>
  </si>
  <si>
    <t>在[宙斯VS哈迪斯]SLOT游戏中&lt;color=#00bfff&gt;触发60次SWEET WIN奖&lt;/color&gt;</t>
  </si>
  <si>
    <t>12272_102000_200</t>
  </si>
  <si>
    <t>在[宙斯VS哈迪斯]SLOT游戏中&lt;color=#00bfff&gt;投注200次&lt;/color&gt;</t>
  </si>
  <si>
    <t>12272_102000_500</t>
  </si>
  <si>
    <t>在[宙斯VS哈迪斯]SLOT游戏中&lt;color=#00bfff&gt;投注500次&lt;/color&gt;</t>
  </si>
  <si>
    <t>12272_102000_1000</t>
  </si>
  <si>
    <t>在[宙斯VS哈迪斯]SLOT游戏中&lt;color=#00bfff&gt;投注1000次&lt;/color&gt;</t>
  </si>
  <si>
    <t>12272_102000_2000</t>
  </si>
  <si>
    <t>在[宙斯VS哈迪斯]SLOT游戏中&lt;color=#00bfff&gt;投注2000次&lt;/color&gt;</t>
  </si>
  <si>
    <t>12272_102000_5000</t>
  </si>
  <si>
    <t>在[宙斯VS哈迪斯]SLOT游戏中&lt;color=#00bfff&gt;投注5000次&lt;/color&gt;</t>
  </si>
  <si>
    <t>12272_102000_10000</t>
  </si>
  <si>
    <t>在[宙斯VS哈迪斯]SLOT游戏中&lt;color=#00bfff&gt;投注10000次&lt;/color&gt;</t>
  </si>
  <si>
    <t>12254_102000_1</t>
  </si>
  <si>
    <t>在[宙斯VS哈迪斯]SLOT游戏中旋转&lt;color=#00bfff&gt;触发1次免费模式&lt;/color&gt;</t>
  </si>
  <si>
    <t>12254_102000_2</t>
  </si>
  <si>
    <t>在[宙斯VS哈迪斯]SLOT游戏中旋转&lt;color=#00bfff&gt;触发2次免费模式&lt;/color&gt;</t>
  </si>
  <si>
    <t>12254_102000_5</t>
  </si>
  <si>
    <t>在[宙斯VS哈迪斯]SLOT游戏中旋转&lt;color=#00bfff&gt;触发5次免费模式&lt;/color&gt;</t>
  </si>
  <si>
    <t>12254_102000_10</t>
  </si>
  <si>
    <t>在[宙斯VS哈迪斯]SLOT游戏中旋转&lt;color=#00bfff&gt;触发10次免费模式&lt;/color&gt;</t>
  </si>
  <si>
    <t>12254_102000_20</t>
  </si>
  <si>
    <t>在[宙斯VS哈迪斯]SLOT游戏中旋转&lt;color=#00bfff&gt;触发20次免费模式&lt;/color&gt;</t>
  </si>
  <si>
    <t>12254_102000_50</t>
  </si>
  <si>
    <t>在[宙斯VS哈迪斯]SLOT游戏中旋转&lt;color=#00bfff&gt;触发50次免费模式&lt;/color&gt;</t>
  </si>
  <si>
    <t>12251_102000_1024082_1</t>
  </si>
  <si>
    <t>在[宙斯VS哈迪斯]SLOT游戏中旋转获得&lt;color=#00bfff&gt;1个专属研究点&lt;/color&gt;</t>
  </si>
  <si>
    <t>12251_102000_1024082_2</t>
  </si>
  <si>
    <t>在[宙斯VS哈迪斯]SLOT游戏中旋转获得&lt;color=#00bfff&gt;2个专属研究点&lt;/color&gt;</t>
  </si>
  <si>
    <t>12251_102000_1024082_3</t>
  </si>
  <si>
    <t>在[宙斯VS哈迪斯]SLOT游戏中旋转获得&lt;color=#00bfff&gt;3个专属研究点&lt;/color&gt;</t>
  </si>
  <si>
    <t>12251_102000_1024082_4</t>
  </si>
  <si>
    <t>在[宙斯VS哈迪斯]SLOT游戏中旋转获得&lt;color=#00bfff&gt;4个专属研究点&lt;/color&gt;</t>
  </si>
  <si>
    <t>12251_102000_1024082_5</t>
  </si>
  <si>
    <t>在[宙斯VS哈迪斯]SLOT游戏中旋转获得&lt;color=#00bfff&gt;5个专属研究点&lt;/color&gt;</t>
  </si>
  <si>
    <t>12251_102000_1024082_6</t>
  </si>
  <si>
    <t>在[宙斯VS哈迪斯]SLOT游戏中旋转获得&lt;color=#00bfff&gt;6个专属研究点&lt;/color&gt;</t>
  </si>
  <si>
    <t>12274_102000_1990000_5000000</t>
  </si>
  <si>
    <t>在[宙斯VS哈迪斯]SLOT游戏中&lt;color=#00bfff&gt;赢取500万金币&lt;/color&gt;</t>
  </si>
  <si>
    <t>12274_102000_1990000_10000000</t>
  </si>
  <si>
    <t>在[宙斯VS哈迪斯]SLOT游戏中&lt;color=#00bfff&gt;赢取1000万金币&lt;/color&gt;</t>
  </si>
  <si>
    <t>12274_102000_1990000_20000000</t>
  </si>
  <si>
    <t>在[宙斯VS哈迪斯]SLOT游戏中&lt;color=#00bfff&gt;赢取2000万金币&lt;/color&gt;</t>
  </si>
  <si>
    <t>12274_102000_1990000_50000000</t>
  </si>
  <si>
    <t>在[宙斯VS哈迪斯]SLOT游戏中&lt;color=#00bfff&gt;赢取5000万金币&lt;/color&gt;</t>
  </si>
  <si>
    <t>12274_102000_1990000_100000000</t>
  </si>
  <si>
    <t>在[宙斯VS哈迪斯]SLOT游戏中&lt;color=#00bfff&gt;赢取1亿金币&lt;/color&gt;</t>
  </si>
  <si>
    <t>12274_102000_1990000_500000000</t>
  </si>
  <si>
    <t>在[宙斯VS哈迪斯]SLOT游戏中&lt;color=#00bfff&gt;赢取5亿金币&lt;/color&gt;</t>
  </si>
  <si>
    <t>12274_102000_1990000_1000000000</t>
  </si>
  <si>
    <t>在[宙斯VS哈迪斯]SLOT游戏中&lt;color=#00bfff&gt;赢取10亿金币&lt;/color&gt;</t>
  </si>
  <si>
    <t>12274_102000_1990000_5000000000</t>
  </si>
  <si>
    <t>在[宙斯VS哈迪斯]SLOT游戏中&lt;color=#00bfff&gt;赢取50亿金币&lt;/color&gt;</t>
  </si>
  <si>
    <t>12253_102000_1_1</t>
  </si>
  <si>
    <t>在[宙斯VS哈迪斯]SLOT游戏中&lt;color=#00bfff&gt;触发1次MINI奖池&lt;/color&gt;</t>
  </si>
  <si>
    <t>12253_102000_1_2</t>
  </si>
  <si>
    <t>在[宙斯VS哈迪斯]SLOT游戏中&lt;color=#00bfff&gt;触发2次MINI奖池&lt;/color&gt;</t>
  </si>
  <si>
    <t>12253_102000_1_3</t>
  </si>
  <si>
    <t>在[宙斯VS哈迪斯]SLOT游戏中&lt;color=#00bfff&gt;触发3次MINI奖池&lt;/color&gt;</t>
  </si>
  <si>
    <t>12253_102000_1_4</t>
  </si>
  <si>
    <t>在[宙斯VS哈迪斯]SLOT游戏中&lt;color=#00bfff&gt;触发4次MINI奖池&lt;/color&gt;</t>
  </si>
  <si>
    <t>12253_102000_1_5</t>
  </si>
  <si>
    <t>在[宙斯VS哈迪斯]SLOT游戏中&lt;color=#00bfff&gt;触发5次MINI奖池&lt;/color&gt;</t>
  </si>
  <si>
    <t>12253_102000_1_6</t>
  </si>
  <si>
    <t>在[宙斯VS哈迪斯]SLOT游戏中&lt;color=#00bfff&gt;触发6次MINI奖池&lt;/color&gt;</t>
  </si>
  <si>
    <t>狼月</t>
  </si>
  <si>
    <t>[狼月]建筑&lt;color=#00bfff&gt;等级达到10级&lt;/color&gt;</t>
  </si>
  <si>
    <t>[狼月]建筑&lt;color=#00bfff&gt;等级达到20级&lt;/color&gt;</t>
  </si>
  <si>
    <t>[狼月]建筑&lt;color=#00bfff&gt;等级达到30级&lt;/color&gt;</t>
  </si>
  <si>
    <t>[狼月]建筑&lt;color=#00bfff&gt;等级达到40级&lt;/color&gt;</t>
  </si>
  <si>
    <t>12207_1109_50</t>
  </si>
  <si>
    <t>[狼月]建筑&lt;color=#00bfff&gt;等级达到50级&lt;/color&gt;</t>
  </si>
  <si>
    <t>12207_1109_60</t>
  </si>
  <si>
    <t>[狼月]建筑&lt;color=#00bfff&gt;等级达到60级&lt;/color&gt;</t>
  </si>
  <si>
    <t>[狼月]游戏&lt;color=#00bfff&gt;技能战力达到5000以上&lt;/color&gt;</t>
  </si>
  <si>
    <t>[狼月]游戏&lt;color=#00bfff&gt;技能战力达到20000以上&lt;/color&gt;</t>
  </si>
  <si>
    <t>[狼月]游戏&lt;color=#00bfff&gt;技能战力达到50000以上&lt;/color&gt;</t>
  </si>
  <si>
    <t>12269_101500_80000</t>
  </si>
  <si>
    <t>[狼月]游戏&lt;color=#00bfff&gt;技能战力达到80000以上&lt;/color&gt;</t>
  </si>
  <si>
    <t>12269_101500_120000</t>
  </si>
  <si>
    <t>[狼月]游戏&lt;color=#00bfff&gt;技能战力达到120000以上&lt;/color&gt;</t>
  </si>
  <si>
    <t>12269_101500_150000</t>
  </si>
  <si>
    <t>[狼月]游戏&lt;color=#00bfff&gt;技能战力达到155000以上&lt;/color&gt;</t>
  </si>
  <si>
    <t>12252_101500_1_10</t>
  </si>
  <si>
    <t>在[狼月]SLOT游戏中&lt;color=#00bfff&gt;触发10次SWEET WIN奖&lt;/color&gt;</t>
  </si>
  <si>
    <t>12252_101500_1_20</t>
  </si>
  <si>
    <t>在[狼月]SLOT游戏中&lt;color=#00bfff&gt;触发20次SWEET WIN奖&lt;/color&gt;</t>
  </si>
  <si>
    <t>12252_101500_1_30</t>
  </si>
  <si>
    <t>在[狼月]SLOT游戏中&lt;color=#00bfff&gt;触发30次SWEET WIN奖&lt;/color&gt;</t>
  </si>
  <si>
    <t>12252_101500_1_40</t>
  </si>
  <si>
    <t>在[狼月]SLOT游戏中&lt;color=#00bfff&gt;触发40次SWEET WIN奖&lt;/color&gt;</t>
  </si>
  <si>
    <t>12252_101500_1_50</t>
  </si>
  <si>
    <t>在[狼月]SLOT游戏中&lt;color=#00bfff&gt;触发50次SWEET WIN奖&lt;/color&gt;</t>
  </si>
  <si>
    <t>12252_101500_1_60</t>
  </si>
  <si>
    <t>在[狼月]SLOT游戏中&lt;color=#00bfff&gt;触发60次SWEET WIN奖&lt;/color&gt;</t>
  </si>
  <si>
    <t>12272_101500_200</t>
  </si>
  <si>
    <t>在[狼月]SLOT游戏中&lt;color=#00bfff&gt;投注200次&lt;/color&gt;</t>
  </si>
  <si>
    <t>12272_101500_500</t>
  </si>
  <si>
    <t>在[狼月]SLOT游戏中&lt;color=#00bfff&gt;投注500次&lt;/color&gt;</t>
  </si>
  <si>
    <t>12272_101500_1000</t>
  </si>
  <si>
    <t>在[狼月]SLOT游戏中&lt;color=#00bfff&gt;投注1000次&lt;/color&gt;</t>
  </si>
  <si>
    <t>12272_101500_2000</t>
  </si>
  <si>
    <t>在[狼月]SLOT游戏中&lt;color=#00bfff&gt;投注2000次&lt;/color&gt;</t>
  </si>
  <si>
    <t>12272_101500_5000</t>
  </si>
  <si>
    <t>在[狼月]SLOT游戏中&lt;color=#00bfff&gt;投注5000次&lt;/color&gt;</t>
  </si>
  <si>
    <t>12272_101500_10000</t>
  </si>
  <si>
    <t>在[狼月]SLOT游戏中&lt;color=#00bfff&gt;投注10000次&lt;/color&gt;</t>
  </si>
  <si>
    <t>12254_101500_1</t>
  </si>
  <si>
    <t>在[狼月]SLOT游戏中旋转&lt;color=#00bfff&gt;触发1次免费模式&lt;/color&gt;</t>
  </si>
  <si>
    <t>12254_101500_2</t>
  </si>
  <si>
    <t>在[狼月]SLOT游戏中旋转&lt;color=#00bfff&gt;触发2次免费模式&lt;/color&gt;</t>
  </si>
  <si>
    <t>12254_101500_5</t>
  </si>
  <si>
    <t>在[狼月]SLOT游戏中旋转&lt;color=#00bfff&gt;触发5次免费模式&lt;/color&gt;</t>
  </si>
  <si>
    <t>12254_101500_10</t>
  </si>
  <si>
    <t>在[狼月]SLOT游戏中旋转&lt;color=#00bfff&gt;触发10次免费模式&lt;/color&gt;</t>
  </si>
  <si>
    <t>12254_101500_20</t>
  </si>
  <si>
    <t>在[狼月]SLOT游戏中旋转&lt;color=#00bfff&gt;触发20次免费模式&lt;/color&gt;</t>
  </si>
  <si>
    <t>12254_101500_50</t>
  </si>
  <si>
    <t>在[狼月]SLOT游戏中旋转&lt;color=#00bfff&gt;触发50次免费模式&lt;/color&gt;</t>
  </si>
  <si>
    <t>12251_101500_1024084_1</t>
  </si>
  <si>
    <t>在[狼月]SLOT游戏中旋转获得&lt;color=#00bfff&gt;1个专属研究点&lt;/color&gt;</t>
  </si>
  <si>
    <t>12251_101500_1024084_2</t>
  </si>
  <si>
    <t>在[狼月]SLOT游戏中旋转获得&lt;color=#00bfff&gt;2个专属研究点&lt;/color&gt;</t>
  </si>
  <si>
    <t>12251_101500_1024084_3</t>
  </si>
  <si>
    <t>在[狼月]SLOT游戏中旋转获得&lt;color=#00bfff&gt;3个专属研究点&lt;/color&gt;</t>
  </si>
  <si>
    <t>12251_101500_1024084_4</t>
  </si>
  <si>
    <t>在[狼月]SLOT游戏中旋转获得&lt;color=#00bfff&gt;4个专属研究点&lt;/color&gt;</t>
  </si>
  <si>
    <t>12251_101500_1024084_5</t>
  </si>
  <si>
    <t>在[狼月]SLOT游戏中旋转获得&lt;color=#00bfff&gt;5个专属研究点&lt;/color&gt;</t>
  </si>
  <si>
    <t>12251_101500_1024084_6</t>
  </si>
  <si>
    <t>在[狼月]SLOT游戏中旋转获得&lt;color=#00bfff&gt;6个专属研究点&lt;/color&gt;</t>
  </si>
  <si>
    <t>12274_101500_1990000_5000000</t>
  </si>
  <si>
    <t>在[狼月]SLOT游戏中&lt;color=#00bfff&gt;赢取500万金币&lt;/color&gt;</t>
  </si>
  <si>
    <t>12274_101500_1990000_10000000</t>
  </si>
  <si>
    <t>在[狼月]SLOT游戏中&lt;color=#00bfff&gt;赢取1000万金币&lt;/color&gt;</t>
  </si>
  <si>
    <t>12274_101500_1990000_20000000</t>
  </si>
  <si>
    <t>在[狼月]SLOT游戏中&lt;color=#00bfff&gt;赢取2000万金币&lt;/color&gt;</t>
  </si>
  <si>
    <t>12274_101500_1990000_50000000</t>
  </si>
  <si>
    <t>在[狼月]SLOT游戏中&lt;color=#00bfff&gt;赢取5000万金币&lt;/color&gt;</t>
  </si>
  <si>
    <t>12274_101500_1990000_100000000</t>
  </si>
  <si>
    <t>在[狼月]SLOT游戏中&lt;color=#00bfff&gt;赢取1亿金币&lt;/color&gt;</t>
  </si>
  <si>
    <t>12274_101500_1990000_200000000</t>
  </si>
  <si>
    <t>在[狼月]SLOT游戏中&lt;color=#00bfff&gt;赢取2亿金币&lt;/color&gt;</t>
  </si>
  <si>
    <t>12274_101500_1990000_500000000</t>
  </si>
  <si>
    <t>在[狼月]SLOT游戏中&lt;color=#00bfff&gt;赢取5亿金币&lt;/color&gt;</t>
  </si>
  <si>
    <t>12274_101500_1990000_1000000000</t>
  </si>
  <si>
    <t>在[狼月]SLOT游戏中&lt;color=#00bfff&gt;赢取10亿金币&lt;/color&gt;</t>
  </si>
  <si>
    <t>12253_101500_1_1</t>
  </si>
  <si>
    <t>在[狼月]SLOT游戏中&lt;color=#00bfff&gt;触发1次MINI奖池&lt;/color&gt;</t>
  </si>
  <si>
    <t>12253_101500_1_2</t>
  </si>
  <si>
    <t>在[狼月]SLOT游戏中&lt;color=#00bfff&gt;触发2次MINI奖池&lt;/color&gt;</t>
  </si>
  <si>
    <t>12253_101500_1_3</t>
  </si>
  <si>
    <t>在[狼月]SLOT游戏中&lt;color=#00bfff&gt;触发3次MINI奖池&lt;/color&gt;</t>
  </si>
  <si>
    <t>12253_101500_1_4</t>
  </si>
  <si>
    <t>在[狼月]SLOT游戏中&lt;color=#00bfff&gt;触发4次MINI奖池&lt;/color&gt;</t>
  </si>
  <si>
    <t>12253_101500_1_5</t>
  </si>
  <si>
    <t>在[狼月]SLOT游戏中&lt;color=#00bfff&gt;触发5次MINI奖池&lt;/color&gt;</t>
  </si>
  <si>
    <t>12253_101500_1_6</t>
  </si>
  <si>
    <t>在[狼月]SLOT游戏中&lt;color=#00bfff&gt;触发6次MINI奖池&lt;/color&gt;</t>
  </si>
  <si>
    <t>12207_1110_10</t>
  </si>
  <si>
    <t>[麻将胡了]建筑&lt;color=#00bfff&gt;等级达到10级&lt;/color&gt;</t>
  </si>
  <si>
    <t>12207_1110_20</t>
  </si>
  <si>
    <t>[麻将胡了]建筑&lt;color=#00bfff&gt;等级达到20级&lt;/color&gt;</t>
  </si>
  <si>
    <t>12207_1110_30</t>
  </si>
  <si>
    <t>[麻将胡了]建筑&lt;color=#00bfff&gt;等级达到30级&lt;/color&gt;</t>
  </si>
  <si>
    <t>12207_1110_40</t>
  </si>
  <si>
    <t>[麻将胡了]建筑&lt;color=#00bfff&gt;等级达到40级&lt;/color&gt;</t>
  </si>
  <si>
    <t>12207_1110_50</t>
  </si>
  <si>
    <t>[麻将胡了]建筑&lt;color=#00bfff&gt;等级达到50级&lt;/color&gt;</t>
  </si>
  <si>
    <t>12207_1110_60</t>
  </si>
  <si>
    <t>[麻将胡了]建筑&lt;color=#00bfff&gt;等级达到60级&lt;/color&gt;</t>
  </si>
  <si>
    <t>12269_100700_5000</t>
  </si>
  <si>
    <t>[麻将胡了]游戏&lt;color=#00bfff&gt;技能战力达到5000以上&lt;/color&gt;</t>
  </si>
  <si>
    <t>12269_100700_10000</t>
  </si>
  <si>
    <t>[麻将胡了]游戏&lt;color=#00bfff&gt;技能战力达到10000以上&lt;/color&gt;</t>
  </si>
  <si>
    <t>12269_100700_30000</t>
  </si>
  <si>
    <t>[麻将胡了]游戏&lt;color=#00bfff&gt;技能战力达到30000以上&lt;/color&gt;</t>
  </si>
  <si>
    <t>12269_100700_50000</t>
  </si>
  <si>
    <t>[麻将胡了]游戏&lt;color=#00bfff&gt;技能战力达到50000以上&lt;/color&gt;</t>
  </si>
  <si>
    <t>12269_100700_70000</t>
  </si>
  <si>
    <t>[麻将胡了]游戏&lt;color=#00bfff&gt;技能战力达到70000以上&lt;/color&gt;</t>
  </si>
  <si>
    <t>12269_100700_90000</t>
  </si>
  <si>
    <t>[麻将胡了]游戏&lt;color=#00bfff&gt;技能战力达到95000以上&lt;/color&gt;</t>
  </si>
  <si>
    <t>12252_100700_1_10</t>
  </si>
  <si>
    <t>在[麻将胡了]SLOT游戏中&lt;color=#00bfff&gt;触发10次SWEET WIN奖&lt;/color&gt;</t>
  </si>
  <si>
    <t>12252_100700_1_20</t>
  </si>
  <si>
    <t>在[麻将胡了]SLOT游戏中&lt;color=#00bfff&gt;触发20次SWEET WIN奖&lt;/color&gt;</t>
  </si>
  <si>
    <t>12252_100700_1_30</t>
  </si>
  <si>
    <t>在[麻将胡了]SLOT游戏中&lt;color=#00bfff&gt;触发30次SWEET WIN奖&lt;/color&gt;</t>
  </si>
  <si>
    <t>12252_100700_1_40</t>
  </si>
  <si>
    <t>在[麻将胡了]SLOT游戏中&lt;color=#00bfff&gt;触发40次SWEET WIN奖&lt;/color&gt;</t>
  </si>
  <si>
    <t>12252_100700_1_50</t>
  </si>
  <si>
    <t>在[麻将胡了]SLOT游戏中&lt;color=#00bfff&gt;触发50次SWEET WIN奖&lt;/color&gt;</t>
  </si>
  <si>
    <t>12252_100700_1_60</t>
  </si>
  <si>
    <t>在[麻将胡了]SLOT游戏中&lt;color=#00bfff&gt;触发60次SWEET WIN奖&lt;/color&gt;</t>
  </si>
  <si>
    <t>12272_100700_200</t>
  </si>
  <si>
    <t>在[麻将胡了]SLOT游戏中&lt;color=#00bfff&gt;投注200次&lt;/color&gt;</t>
  </si>
  <si>
    <t>12272_100700_500</t>
  </si>
  <si>
    <t>在[麻将胡了]SLOT游戏中&lt;color=#00bfff&gt;投注500次&lt;/color&gt;</t>
  </si>
  <si>
    <t>12272_100700_1000</t>
  </si>
  <si>
    <t>在[麻将胡了]SLOT游戏中&lt;color=#00bfff&gt;投注1000次&lt;/color&gt;</t>
  </si>
  <si>
    <t>12272_100700_2000</t>
  </si>
  <si>
    <t>在[麻将胡了]SLOT游戏中&lt;color=#00bfff&gt;投注2000次&lt;/color&gt;</t>
  </si>
  <si>
    <t>12272_100700_5000</t>
  </si>
  <si>
    <t>在[麻将胡了]SLOT游戏中&lt;color=#00bfff&gt;投注5000次&lt;/color&gt;</t>
  </si>
  <si>
    <t>12272_100700_10000</t>
  </si>
  <si>
    <t>在[麻将胡了]SLOT游戏中&lt;color=#00bfff&gt;投注10000次&lt;/color&gt;</t>
  </si>
  <si>
    <t>12254_100700_1</t>
  </si>
  <si>
    <t>在[麻将胡了]SLOT游戏中旋转&lt;color=#00bfff&gt;触发1次免费模式&lt;/color&gt;</t>
  </si>
  <si>
    <t>12254_100700_2</t>
  </si>
  <si>
    <t>在[麻将胡了]SLOT游戏中旋转&lt;color=#00bfff&gt;触发2次免费模式&lt;/color&gt;</t>
  </si>
  <si>
    <t>12254_100700_5</t>
  </si>
  <si>
    <t>在[麻将胡了]SLOT游戏中旋转&lt;color=#00bfff&gt;触发5次免费模式&lt;/color&gt;</t>
  </si>
  <si>
    <t>12254_100700_10</t>
  </si>
  <si>
    <t>在[麻将胡了]SLOT游戏中旋转&lt;color=#00bfff&gt;触发10次免费模式&lt;/color&gt;</t>
  </si>
  <si>
    <t>12254_100700_20</t>
  </si>
  <si>
    <t>在[麻将胡了]SLOT游戏中旋转&lt;color=#00bfff&gt;触发20次免费模式&lt;/color&gt;</t>
  </si>
  <si>
    <t>12254_100700_50</t>
  </si>
  <si>
    <t>在[麻将胡了]SLOT游戏中旋转&lt;color=#00bfff&gt;触发50次免费模式&lt;/color&gt;</t>
  </si>
  <si>
    <t>12251_100700_1024030_1</t>
  </si>
  <si>
    <t>在[麻将胡了]SLOT游戏中旋转获得&lt;color=#00bfff&gt;1个专属研究点&lt;/color&gt;</t>
  </si>
  <si>
    <t>12251_100700_1024030_2</t>
  </si>
  <si>
    <t>在[麻将胡了]SLOT游戏中旋转获得&lt;color=#00bfff&gt;2个专属研究点&lt;/color&gt;</t>
  </si>
  <si>
    <t>12251_100700_1024030_3</t>
  </si>
  <si>
    <t>在[麻将胡了]SLOT游戏中旋转获得&lt;color=#00bfff&gt;3个专属研究点&lt;/color&gt;</t>
  </si>
  <si>
    <t>12251_100700_1024030_4</t>
  </si>
  <si>
    <t>在[麻将胡了]SLOT游戏中旋转获得&lt;color=#00bfff&gt;4个专属研究点&lt;/color&gt;</t>
  </si>
  <si>
    <t>12251_100700_1024030_5</t>
  </si>
  <si>
    <t>在[麻将胡了]SLOT游戏中旋转获得&lt;color=#00bfff&gt;5个专属研究点&lt;/color&gt;</t>
  </si>
  <si>
    <t>12251_100700_1024030_6</t>
  </si>
  <si>
    <t>在[麻将胡了]SLOT游戏中旋转获得&lt;color=#00bfff&gt;6个专属研究点&lt;/color&gt;</t>
  </si>
  <si>
    <t>12274_100700_1990000_500000</t>
  </si>
  <si>
    <t>在[麻将胡了]SLOT游戏中&lt;color=#00bfff&gt;赢取50万金币&lt;/color&gt;</t>
  </si>
  <si>
    <t>12274_100700_1990000_1000000</t>
  </si>
  <si>
    <t>在[麻将胡了]SLOT游戏中&lt;color=#00bfff&gt;赢取100万金币&lt;/color&gt;</t>
  </si>
  <si>
    <t>12274_100700_1990000_2000000</t>
  </si>
  <si>
    <t>在[麻将胡了]SLOT游戏中&lt;color=#00bfff&gt;赢取200万金币&lt;/color&gt;</t>
  </si>
  <si>
    <t>12274_100700_1990000_5000000</t>
  </si>
  <si>
    <t>在[麻将胡了]SLOT游戏中&lt;color=#00bfff&gt;赢取500万金币&lt;/color&gt;</t>
  </si>
  <si>
    <t>12274_100700_1990000_10000000</t>
  </si>
  <si>
    <t>在[麻将胡了]SLOT游戏中&lt;color=#00bfff&gt;赢取1000万金币&lt;/color&gt;</t>
  </si>
  <si>
    <t>12274_100700_1990000_20000000</t>
  </si>
  <si>
    <t>在[麻将胡了]SLOT游戏中&lt;color=#00bfff&gt;赢取2000万金币&lt;/color&gt;</t>
  </si>
  <si>
    <t>12274_100700_1990000_50000000</t>
  </si>
  <si>
    <t>在[麻将胡了]SLOT游戏中&lt;color=#00bfff&gt;赢取5000万金币&lt;/color&gt;</t>
  </si>
  <si>
    <t>12274_100700_1990000_100000000</t>
  </si>
  <si>
    <t>在[麻将胡了]SLOT游戏中&lt;color=#00bfff&gt;赢取1亿金币&lt;/color&gt;</t>
  </si>
  <si>
    <t>12252_100700_3_5</t>
  </si>
  <si>
    <t>在[麻将胡了]SLOT游戏中&lt;color=#00bfff&gt;触发5次mega win奖&lt;/color&gt;</t>
  </si>
  <si>
    <t>12252_100700_3_10</t>
  </si>
  <si>
    <t>在[麻将胡了]SLOT游戏中&lt;color=#00bfff&gt;触发10次mega win奖&lt;/color&gt;</t>
  </si>
  <si>
    <t>12252_100700_3_15</t>
  </si>
  <si>
    <t>在[麻将胡了]SLOT游戏中&lt;color=#00bfff&gt;触发15次mega win奖&lt;/color&gt;</t>
  </si>
  <si>
    <t>12252_100700_3_20</t>
  </si>
  <si>
    <t>在[麻将胡了]SLOT游戏中&lt;color=#00bfff&gt;触发20次mega win奖&lt;/color&gt;</t>
  </si>
  <si>
    <t>12252_100700_3_25</t>
  </si>
  <si>
    <t>在[麻将胡了]SLOT游戏中&lt;color=#00bfff&gt;触发25次mega win奖&lt;/color&gt;</t>
  </si>
  <si>
    <t>12252_100700_3_30</t>
  </si>
  <si>
    <t>在[麻将胡了]SLOT游戏中&lt;color=#00bfff&gt;触发30次mega win奖&lt;/color&gt;</t>
  </si>
  <si>
    <t>12207_1111_10</t>
  </si>
  <si>
    <t>[雷神]建筑&lt;color=#00bfff&gt;等级达到10级&lt;/color&gt;</t>
  </si>
  <si>
    <t>12207_1111_20</t>
  </si>
  <si>
    <t>[雷神]建筑&lt;color=#00bfff&gt;等级达到20级&lt;/color&gt;</t>
  </si>
  <si>
    <t>12207_1111_30</t>
  </si>
  <si>
    <t>[雷神]建筑&lt;color=#00bfff&gt;等级达到30级&lt;/color&gt;</t>
  </si>
  <si>
    <t>12207_1111_40</t>
  </si>
  <si>
    <t>[雷神]建筑&lt;color=#00bfff&gt;等级达到40级&lt;/color&gt;</t>
  </si>
  <si>
    <t>12207_1111_50</t>
  </si>
  <si>
    <t>[雷神]建筑&lt;color=#00bfff&gt;等级达到50级&lt;/color&gt;</t>
  </si>
  <si>
    <t>12207_1111_60</t>
  </si>
  <si>
    <t>[雷神]建筑&lt;color=#00bfff&gt;等级达到60级&lt;/color&gt;</t>
  </si>
  <si>
    <t>12269_102200_5000</t>
  </si>
  <si>
    <t>[雷神]游戏&lt;color=#00bfff&gt;技能战力达到5000以上&lt;/color&gt;</t>
  </si>
  <si>
    <t>12269_102200_10000</t>
  </si>
  <si>
    <t>[雷神]游戏&lt;color=#00bfff&gt;技能战力达到10000以上&lt;/color&gt;</t>
  </si>
  <si>
    <t>12269_102200_30000</t>
  </si>
  <si>
    <t>[雷神]游戏&lt;color=#00bfff&gt;技能战力达到30000以上&lt;/color&gt;</t>
  </si>
  <si>
    <t>12269_102200_50000</t>
  </si>
  <si>
    <t>[雷神]游戏&lt;color=#00bfff&gt;技能战力达到50000以上&lt;/color&gt;</t>
  </si>
  <si>
    <t>12269_102200_70000</t>
  </si>
  <si>
    <t>[雷神]游戏&lt;color=#00bfff&gt;技能战力达到70000以上&lt;/color&gt;</t>
  </si>
  <si>
    <t>12269_102200_90000</t>
  </si>
  <si>
    <t>[雷神]游戏&lt;color=#00bfff&gt;技能战力达到95000以上&lt;/color&gt;</t>
  </si>
  <si>
    <t>12252_102200_1_10</t>
  </si>
  <si>
    <t>在[雷神]SLOT游戏中&lt;color=#00bfff&gt;触发10次SWEET WIN奖&lt;/color&gt;</t>
  </si>
  <si>
    <t>12252_102200_1_20</t>
  </si>
  <si>
    <t>在[雷神]SLOT游戏中&lt;color=#00bfff&gt;触发20次SWEET WIN奖&lt;/color&gt;</t>
  </si>
  <si>
    <t>12252_102200_1_30</t>
  </si>
  <si>
    <t>在[雷神]SLOT游戏中&lt;color=#00bfff&gt;触发30次SWEET WIN奖&lt;/color&gt;</t>
  </si>
  <si>
    <t>12252_102200_1_40</t>
  </si>
  <si>
    <t>在[雷神]SLOT游戏中&lt;color=#00bfff&gt;触发40次SWEET WIN奖&lt;/color&gt;</t>
  </si>
  <si>
    <t>12252_102200_1_50</t>
  </si>
  <si>
    <t>在[雷神]SLOT游戏中&lt;color=#00bfff&gt;触发50次SWEET WIN奖&lt;/color&gt;</t>
  </si>
  <si>
    <t>12252_102200_1_60</t>
  </si>
  <si>
    <t>在[雷神]SLOT游戏中&lt;color=#00bfff&gt;触发60次SWEET WIN奖&lt;/color&gt;</t>
  </si>
  <si>
    <t>12272_102200_200</t>
  </si>
  <si>
    <t>在[雷神]SLOT游戏中&lt;color=#00bfff&gt;投注200次&lt;/color&gt;</t>
  </si>
  <si>
    <t>12272_102200_500</t>
  </si>
  <si>
    <t>在[雷神]SLOT游戏中&lt;color=#00bfff&gt;投注500次&lt;/color&gt;</t>
  </si>
  <si>
    <t>12272_102200_1000</t>
  </si>
  <si>
    <t>在[雷神]SLOT游戏中&lt;color=#00bfff&gt;投注1000次&lt;/color&gt;</t>
  </si>
  <si>
    <t>12272_102200_2000</t>
  </si>
  <si>
    <t>在[雷神]SLOT游戏中&lt;color=#00bfff&gt;投注2000次&lt;/color&gt;</t>
  </si>
  <si>
    <t>12272_102200_5000</t>
  </si>
  <si>
    <t>在[雷神]SLOT游戏中&lt;color=#00bfff&gt;投注5000次&lt;/color&gt;</t>
  </si>
  <si>
    <t>12272_102200_10000</t>
  </si>
  <si>
    <t>在[雷神]SLOT游戏中&lt;color=#00bfff&gt;投注10000次&lt;/color&gt;</t>
  </si>
  <si>
    <t>12254_102200_1</t>
  </si>
  <si>
    <t>在[雷神]SLOT游戏中旋转&lt;color=#00bfff&gt;触发1次免费模式&lt;/color&gt;</t>
  </si>
  <si>
    <t>12254_102200_2</t>
  </si>
  <si>
    <t>在[雷神]SLOT游戏中旋转&lt;color=#00bfff&gt;触发2次免费模式&lt;/color&gt;</t>
  </si>
  <si>
    <t>12254_102200_5</t>
  </si>
  <si>
    <t>在[雷神]SLOT游戏中旋转&lt;color=#00bfff&gt;触发5次免费模式&lt;/color&gt;</t>
  </si>
  <si>
    <t>12254_102200_10</t>
  </si>
  <si>
    <t>在[雷神]SLOT游戏中旋转&lt;color=#00bfff&gt;触发10次免费模式&lt;/color&gt;</t>
  </si>
  <si>
    <t>12254_102200_20</t>
  </si>
  <si>
    <t>在[雷神]SLOT游戏中旋转&lt;color=#00bfff&gt;触发20次免费模式&lt;/color&gt;</t>
  </si>
  <si>
    <t>12254_102200_50</t>
  </si>
  <si>
    <t>在[雷神]SLOT游戏中旋转&lt;color=#00bfff&gt;触发50次免费模式&lt;/color&gt;</t>
  </si>
  <si>
    <t>12251_102200_1024079_1</t>
  </si>
  <si>
    <t>在[雷神]SLOT游戏中旋转获得&lt;color=#00bfff&gt;1个专属研究点&lt;/color&gt;</t>
  </si>
  <si>
    <t>12251_102200_1024079_2</t>
  </si>
  <si>
    <t>在[雷神]SLOT游戏中旋转获得&lt;color=#00bfff&gt;2个专属研究点&lt;/color&gt;</t>
  </si>
  <si>
    <t>12251_102200_1024079_3</t>
  </si>
  <si>
    <t>在[雷神]SLOT游戏中旋转获得&lt;color=#00bfff&gt;3个专属研究点&lt;/color&gt;</t>
  </si>
  <si>
    <t>12251_102200_1024079_4</t>
  </si>
  <si>
    <t>在[雷神]SLOT游戏中旋转获得&lt;color=#00bfff&gt;4个专属研究点&lt;/color&gt;</t>
  </si>
  <si>
    <t>12251_102200_1024079_5</t>
  </si>
  <si>
    <t>在[雷神]SLOT游戏中旋转获得&lt;color=#00bfff&gt;5个专属研究点&lt;/color&gt;</t>
  </si>
  <si>
    <t>12251_102200_1024079_6</t>
  </si>
  <si>
    <t>在[雷神]SLOT游戏中旋转获得&lt;color=#00bfff&gt;6个专属研究点&lt;/color&gt;</t>
  </si>
  <si>
    <t>12274_102200_1990000_5000000</t>
  </si>
  <si>
    <t>在[雷神]SLOT游戏中&lt;color=#00bfff&gt;赢取500万金币&lt;/color&gt;</t>
  </si>
  <si>
    <t>12274_102200_1990000_10000000</t>
  </si>
  <si>
    <t>在[雷神]SLOT游戏中&lt;color=#00bfff&gt;赢取1000万金币&lt;/color&gt;</t>
  </si>
  <si>
    <t>12274_102200_1990000_20000000</t>
  </si>
  <si>
    <t>在[雷神]SLOT游戏中&lt;color=#00bfff&gt;赢取2000万金币&lt;/color&gt;</t>
  </si>
  <si>
    <t>12274_102200_1990000_50000000</t>
  </si>
  <si>
    <t>在[雷神]SLOT游戏中&lt;color=#00bfff&gt;赢取5000万金币&lt;/color&gt;</t>
  </si>
  <si>
    <t>12274_102200_1990000_100000000</t>
  </si>
  <si>
    <t>在[雷神]SLOT游戏中&lt;color=#00bfff&gt;赢取1亿金币&lt;/color&gt;</t>
  </si>
  <si>
    <t>12274_102200_1990000_200000000</t>
  </si>
  <si>
    <t>在[雷神]SLOT游戏中&lt;color=#00bfff&gt;赢取2亿金币&lt;/color&gt;</t>
  </si>
  <si>
    <t>12274_102200_1990000_500000000</t>
  </si>
  <si>
    <t>在[雷神]SLOT游戏中&lt;color=#00bfff&gt;赢取5亿金币&lt;/color&gt;</t>
  </si>
  <si>
    <t>12274_102200_1990000_1000000000</t>
  </si>
  <si>
    <t>在[雷神]SLOT游戏中&lt;color=#00bfff&gt;赢取10亿金币&lt;/color&gt;</t>
  </si>
  <si>
    <t>12253_102200_1_1</t>
  </si>
  <si>
    <t>在[雷神]SLOT游戏中&lt;color=#00bfff&gt;触发1次MINI奖池&lt;/color&gt;</t>
  </si>
  <si>
    <t>12253_102200_1_2</t>
  </si>
  <si>
    <t>在[雷神]SLOT游戏中&lt;color=#00bfff&gt;触发2次MINI奖池&lt;/color&gt;</t>
  </si>
  <si>
    <t>12253_102200_1_3</t>
  </si>
  <si>
    <t>在[雷神]SLOT游戏中&lt;color=#00bfff&gt;触发3次MINI奖池&lt;/color&gt;</t>
  </si>
  <si>
    <t>12253_102200_1_4</t>
  </si>
  <si>
    <t>在[雷神]SLOT游戏中&lt;color=#00bfff&gt;触发4次MINI奖池&lt;/color&gt;</t>
  </si>
  <si>
    <t>12253_102200_1_5</t>
  </si>
  <si>
    <t>在[雷神]SLOT游戏中&lt;color=#00bfff&gt;触发5次MINI奖池&lt;/color&gt;</t>
  </si>
  <si>
    <t>12253_102200_1_6</t>
  </si>
  <si>
    <t>在[雷神]SLOT游戏中&lt;color=#00bfff&gt;触发6次MINI奖池&lt;/color&gt;</t>
  </si>
  <si>
    <t>[杰克船长]建筑&lt;color=#00bfff&gt;等级达到10级&lt;/color&gt;</t>
  </si>
  <si>
    <t>[杰克船长]建筑&lt;color=#00bfff&gt;等级达到20级&lt;/color&gt;</t>
  </si>
  <si>
    <t>[杰克船长]建筑&lt;color=#00bfff&gt;等级达到30级&lt;/color&gt;</t>
  </si>
  <si>
    <t>[杰克船长]建筑&lt;color=#00bfff&gt;等级达到40级&lt;/color&gt;</t>
  </si>
  <si>
    <t>12207_1112_50</t>
  </si>
  <si>
    <t>[杰克船长]建筑&lt;color=#00bfff&gt;等级达到50级&lt;/color&gt;</t>
  </si>
  <si>
    <t>12207_1112_60</t>
  </si>
  <si>
    <t>[杰克船长]建筑&lt;color=#00bfff&gt;等级达到60级&lt;/color&gt;</t>
  </si>
  <si>
    <t>[杰克船长]游戏&lt;color=#00bfff&gt;技能战力达到5000以上&lt;/color&gt;</t>
  </si>
  <si>
    <t>12269_102100_10000</t>
  </si>
  <si>
    <t>[杰克船长]游戏&lt;color=#00bfff&gt;技能战力达到10000以上&lt;/color&gt;</t>
  </si>
  <si>
    <t>12269_102100_40000</t>
  </si>
  <si>
    <t>[杰克船长]游戏&lt;color=#00bfff&gt;技能战力达到40000以上&lt;/color&gt;</t>
  </si>
  <si>
    <t>12269_102100_70000</t>
  </si>
  <si>
    <t>[杰克船长]游戏&lt;color=#00bfff&gt;技能战力达到70000以上&lt;/color&gt;</t>
  </si>
  <si>
    <t>12269_102100_100000</t>
  </si>
  <si>
    <t>[杰克船长]游戏&lt;color=#00bfff&gt;技能战力达到100000以上&lt;/color&gt;</t>
  </si>
  <si>
    <t>12269_102100_125000</t>
  </si>
  <si>
    <t>[杰克船长]游戏&lt;color=#00bfff&gt;技能战力达到135000以上&lt;/color&gt;</t>
  </si>
  <si>
    <t>12252_102100_1_10</t>
  </si>
  <si>
    <t>在[杰克船长]SLOT游戏中&lt;color=#00bfff&gt;触发10次SWEET WIN奖&lt;/color&gt;</t>
  </si>
  <si>
    <t>12252_102100_1_20</t>
  </si>
  <si>
    <t>在[杰克船长]SLOT游戏中&lt;color=#00bfff&gt;触发20次SWEET WIN奖&lt;/color&gt;</t>
  </si>
  <si>
    <t>12252_102100_1_30</t>
  </si>
  <si>
    <t>在[杰克船长]SLOT游戏中&lt;color=#00bfff&gt;触发30次SWEET WIN奖&lt;/color&gt;</t>
  </si>
  <si>
    <t>12252_102100_1_40</t>
  </si>
  <si>
    <t>在[杰克船长]SLOT游戏中&lt;color=#00bfff&gt;触发40次SWEET WIN奖&lt;/color&gt;</t>
  </si>
  <si>
    <t>12252_102100_1_50</t>
  </si>
  <si>
    <t>在[杰克船长]SLOT游戏中&lt;color=#00bfff&gt;触发50次SWEET WIN奖&lt;/color&gt;</t>
  </si>
  <si>
    <t>12252_102100_1_60</t>
  </si>
  <si>
    <t>在[杰克船长]SLOT游戏中&lt;color=#00bfff&gt;触发60次SWEET WIN奖&lt;/color&gt;</t>
  </si>
  <si>
    <t>12272_102100_200</t>
  </si>
  <si>
    <t>在[杰克船长]SLOT游戏中&lt;color=#00bfff&gt;投注200次&lt;/color&gt;</t>
  </si>
  <si>
    <t>12272_102100_500</t>
  </si>
  <si>
    <t>在[杰克船长]SLOT游戏中&lt;color=#00bfff&gt;投注500次&lt;/color&gt;</t>
  </si>
  <si>
    <t>12272_102100_1000</t>
  </si>
  <si>
    <t>在[杰克船长]SLOT游戏中&lt;color=#00bfff&gt;投注1000次&lt;/color&gt;</t>
  </si>
  <si>
    <t>12272_102100_2000</t>
  </si>
  <si>
    <t>在[杰克船长]SLOT游戏中&lt;color=#00bfff&gt;投注2000次&lt;/color&gt;</t>
  </si>
  <si>
    <t>12272_102100_5000</t>
  </si>
  <si>
    <t>在[杰克船长]SLOT游戏中&lt;color=#00bfff&gt;投注5000次&lt;/color&gt;</t>
  </si>
  <si>
    <t>12272_102100_10000</t>
  </si>
  <si>
    <t>在[杰克船长]SLOT游戏中&lt;color=#00bfff&gt;投注10000次&lt;/color&gt;</t>
  </si>
  <si>
    <t>12254_102100_1</t>
  </si>
  <si>
    <t>在[杰克船长]SLOT游戏中旋转&lt;color=#00bfff&gt;触发1次免费模式&lt;/color&gt;</t>
  </si>
  <si>
    <t>12254_102100_2</t>
  </si>
  <si>
    <t>在[杰克船长]SLOT游戏中旋转&lt;color=#00bfff&gt;触发2次免费模式&lt;/color&gt;</t>
  </si>
  <si>
    <t>12254_102100_5</t>
  </si>
  <si>
    <t>在[杰克船长]SLOT游戏中旋转&lt;color=#00bfff&gt;触发5次免费模式&lt;/color&gt;</t>
  </si>
  <si>
    <t>12254_102100_10</t>
  </si>
  <si>
    <t>在[杰克船长]SLOT游戏中旋转&lt;color=#00bfff&gt;触发10次免费模式&lt;/color&gt;</t>
  </si>
  <si>
    <t>12254_102100_20</t>
  </si>
  <si>
    <t>在[杰克船长]SLOT游戏中旋转&lt;color=#00bfff&gt;触发20次免费模式&lt;/color&gt;</t>
  </si>
  <si>
    <t>12254_102100_50</t>
  </si>
  <si>
    <t>在[杰克船长]SLOT游戏中旋转&lt;color=#00bfff&gt;触发50次免费模式&lt;/color&gt;</t>
  </si>
  <si>
    <t>12251_102100_1024080_1</t>
  </si>
  <si>
    <t>在[杰克船长]SLOT游戏中旋转获得&lt;color=#00bfff&gt;1个专属研究点&lt;/color&gt;</t>
  </si>
  <si>
    <t>12251_102100_1024080_2</t>
  </si>
  <si>
    <t>在[杰克船长]SLOT游戏中旋转获得&lt;color=#00bfff&gt;2个专属研究点&lt;/color&gt;</t>
  </si>
  <si>
    <t>12251_102100_1024080_3</t>
  </si>
  <si>
    <t>在[杰克船长]SLOT游戏中旋转获得&lt;color=#00bfff&gt;3个专属研究点&lt;/color&gt;</t>
  </si>
  <si>
    <t>12251_102100_1024080_4</t>
  </si>
  <si>
    <t>在[杰克船长]SLOT游戏中旋转获得&lt;color=#00bfff&gt;4个专属研究点&lt;/color&gt;</t>
  </si>
  <si>
    <t>12251_102100_1024080_5</t>
  </si>
  <si>
    <t>在[杰克船长]SLOT游戏中旋转获得&lt;color=#00bfff&gt;5个专属研究点&lt;/color&gt;</t>
  </si>
  <si>
    <t>12251_102100_1024080_6</t>
  </si>
  <si>
    <t>在[杰克船长]SLOT游戏中旋转获得&lt;color=#00bfff&gt;6个专属研究点&lt;/color&gt;</t>
  </si>
  <si>
    <t>12274_102100_1990000_5000000</t>
  </si>
  <si>
    <t>在[杰克船长]SLOT游戏中&lt;color=#00bfff&gt;赢取500万金币&lt;/color&gt;</t>
  </si>
  <si>
    <t>12274_102100_1990000_10000000</t>
  </si>
  <si>
    <t>在[杰克船长]SLOT游戏中&lt;color=#00bfff&gt;赢取1000万金币&lt;/color&gt;</t>
  </si>
  <si>
    <t>12274_102100_1990000_20000000</t>
  </si>
  <si>
    <t>在[杰克船长]SLOT游戏中&lt;color=#00bfff&gt;赢取2000万金币&lt;/color&gt;</t>
  </si>
  <si>
    <t>12274_102100_1990000_50000000</t>
  </si>
  <si>
    <t>在[杰克船长]SLOT游戏中&lt;color=#00bfff&gt;赢取5000万金币&lt;/color&gt;</t>
  </si>
  <si>
    <t>12274_102100_1990000_100000000</t>
  </si>
  <si>
    <t>在[杰克船长]SLOT游戏中&lt;color=#00bfff&gt;赢取1亿金币&lt;/color&gt;</t>
  </si>
  <si>
    <t>12274_102100_1990000_200000000</t>
  </si>
  <si>
    <t>在[杰克船长]SLOT游戏中&lt;color=#00bfff&gt;赢取2亿金币&lt;/color&gt;</t>
  </si>
  <si>
    <t>12274_102100_1990000_500000000</t>
  </si>
  <si>
    <t>在[杰克船长]SLOT游戏中&lt;color=#00bfff&gt;赢取5亿金币&lt;/color&gt;</t>
  </si>
  <si>
    <t>12274_102100_1990000_1000000000</t>
  </si>
  <si>
    <t>在[杰克船长]SLOT游戏中&lt;color=#00bfff&gt;赢取10亿金币&lt;/color&gt;</t>
  </si>
  <si>
    <t>12253_102100_1_1</t>
  </si>
  <si>
    <t>在[杰克船长]SLOT游戏中&lt;color=#00bfff&gt;触发1次MINI奖池&lt;/color&gt;</t>
  </si>
  <si>
    <t>12253_102100_1_2</t>
  </si>
  <si>
    <t>在[杰克船长]SLOT游戏中&lt;color=#00bfff&gt;触发2次MINI奖池&lt;/color&gt;</t>
  </si>
  <si>
    <t>12253_102100_1_3</t>
  </si>
  <si>
    <t>在[杰克船长]SLOT游戏中&lt;color=#00bfff&gt;触发3次MINI奖池&lt;/color&gt;</t>
  </si>
  <si>
    <t>12253_102100_1_4</t>
  </si>
  <si>
    <t>在[杰克船长]SLOT游戏中&lt;color=#00bfff&gt;触发4次MINI奖池&lt;/color&gt;</t>
  </si>
  <si>
    <t>12253_102100_1_5</t>
  </si>
  <si>
    <t>在[杰克船长]SLOT游戏中&lt;color=#00bfff&gt;触发5次MINI奖池&lt;/color&gt;</t>
  </si>
  <si>
    <t>12253_102100_1_6</t>
  </si>
  <si>
    <t>在[杰克船长]SLOT游戏中&lt;color=#00bfff&gt;触发6次MINI奖池&lt;/color&gt;</t>
  </si>
  <si>
    <t>以下游戏可用来配置,【策划看】</t>
  </si>
  <si>
    <t>参与N次X活动 专用，以下活动可用来配置,【策划看】</t>
  </si>
  <si>
    <t>401、402 任务类型 专用，以下道具可用来配置,【策划看】</t>
  </si>
  <si>
    <t>达成条件</t>
  </si>
  <si>
    <t>游戏ID</t>
  </si>
  <si>
    <t>游戏名称</t>
  </si>
  <si>
    <t>活动ID</t>
  </si>
  <si>
    <t>活动名称</t>
  </si>
  <si>
    <t>道具ID</t>
  </si>
  <si>
    <t>道具名称</t>
  </si>
  <si>
    <t>进行N次单笔X以上的充值</t>
  </si>
  <si>
    <t>任意渠道充值</t>
  </si>
  <si>
    <t>普通游戏</t>
  </si>
  <si>
    <t>金礦大亨-普通</t>
  </si>
  <si>
    <t>每日奖金</t>
  </si>
  <si>
    <t>领取任意奖励</t>
  </si>
  <si>
    <t>祈福卡</t>
  </si>
  <si>
    <t>游戏中产出 (不是礼包获得)</t>
  </si>
  <si>
    <t>累积充值达到X以上</t>
  </si>
  <si>
    <t>超级明星-普通</t>
  </si>
  <si>
    <t>摇钱树</t>
  </si>
  <si>
    <t>祈福任意摇钱树</t>
  </si>
  <si>
    <t>刮刮卡</t>
  </si>
  <si>
    <t>在N游戏中，金币有效下注累积达到X</t>
  </si>
  <si>
    <t>指定游戏</t>
  </si>
  <si>
    <t>麻将胡了-普通</t>
  </si>
  <si>
    <t>储钱罐</t>
  </si>
  <si>
    <t>领取任意罐子</t>
  </si>
  <si>
    <t>赌场材料随机包(普通)</t>
  </si>
  <si>
    <t>在任意游戏中，金币有效下注累积达到X</t>
  </si>
  <si>
    <t>所有游戏</t>
  </si>
  <si>
    <t>财神-普通</t>
  </si>
  <si>
    <t>消耗任意道具数量</t>
  </si>
  <si>
    <t>赌场材料随机包(豪华)</t>
  </si>
  <si>
    <t>在N游戏中，金币累积赢奖达到X</t>
  </si>
  <si>
    <t>埃及艳后-普通</t>
  </si>
  <si>
    <t>推广分享</t>
  </si>
  <si>
    <t>领取任意收益奖励</t>
  </si>
  <si>
    <t>赌场材料随机包(尊贵)</t>
  </si>
  <si>
    <t>在任意游戏中，金币累积赢奖达到X</t>
  </si>
  <si>
    <t>紅黑大戰-普通</t>
  </si>
  <si>
    <t>每日充值(未研发)</t>
  </si>
  <si>
    <t>领取任意充值奖励</t>
  </si>
  <si>
    <t>拼图随机礼包(一星)</t>
  </si>
  <si>
    <t>在N私人房间中钻石有效下注累积达到X</t>
  </si>
  <si>
    <t>指定房间游戏</t>
  </si>
  <si>
    <t>龍虎鬥-普通</t>
  </si>
  <si>
    <t>拼图随机礼包(二星)</t>
  </si>
  <si>
    <t>在任意私人房间中钻石有效下注累积达到X</t>
  </si>
  <si>
    <t>所有房间游戏</t>
  </si>
  <si>
    <t>飛禽走獸-普通</t>
  </si>
  <si>
    <t>拼图随机礼包(三星)</t>
  </si>
  <si>
    <t>在N私人房间中钻石累积赢奖达到X</t>
  </si>
  <si>
    <t>豪車俱樂部-普通</t>
  </si>
  <si>
    <t>拼图随机礼包(四星)</t>
  </si>
  <si>
    <t>在任意私人房间中钻石累积赢奖达到X</t>
  </si>
  <si>
    <t>百家樂-普通</t>
  </si>
  <si>
    <t>拼图随机礼包(五星)</t>
  </si>
  <si>
    <t>在N游戏中，累积获得X个i</t>
  </si>
  <si>
    <t>骰子-普通</t>
  </si>
  <si>
    <t>在任意游戏中,累积获得X个i</t>
  </si>
  <si>
    <t>越南色碟-普通</t>
  </si>
  <si>
    <t>累积消耗X个i</t>
  </si>
  <si>
    <t>查看501专用</t>
  </si>
  <si>
    <t>大小骰子-普通</t>
  </si>
  <si>
    <t>501 任务类型专用，以下道具可用来配置,【策划看】</t>
  </si>
  <si>
    <t>参与N次X活动</t>
  </si>
  <si>
    <t>查看502专用</t>
  </si>
  <si>
    <t>魚蝦蟹-普通</t>
  </si>
  <si>
    <t>在N电子游戏中，累积旋转X次</t>
  </si>
  <si>
    <t>指定SLOT游戏</t>
  </si>
  <si>
    <t>水果機-普通</t>
  </si>
  <si>
    <t>摇钱树中使用即可</t>
  </si>
  <si>
    <t>在任意电子游戏中，累积旋转X次</t>
  </si>
  <si>
    <t>所有SLOT游戏</t>
  </si>
  <si>
    <t>21點-普通</t>
  </si>
  <si>
    <t>刮刮卡中使用即可</t>
  </si>
  <si>
    <t>德州-普通</t>
  </si>
  <si>
    <t>钻石</t>
  </si>
  <si>
    <t>购买\兑换\赌场升级\房间消耗</t>
  </si>
  <si>
    <t>私人游戏</t>
  </si>
  <si>
    <t>紅黑大戰-房间</t>
  </si>
  <si>
    <t>龍虎鬥-房间</t>
  </si>
  <si>
    <t>飛禽走獸-房间</t>
  </si>
  <si>
    <t>豪車俱樂部-房间</t>
  </si>
  <si>
    <t>百家樂-房间</t>
  </si>
  <si>
    <t>骰子-房间</t>
  </si>
  <si>
    <t>越南色碟-房间</t>
  </si>
  <si>
    <t>大小骰子-房间</t>
  </si>
  <si>
    <t>魚蝦蟹-房间</t>
  </si>
  <si>
    <t>德州-房间</t>
  </si>
  <si>
    <t>价值转化</t>
  </si>
  <si>
    <t>美分</t>
  </si>
  <si>
    <t>道具价值</t>
  </si>
  <si>
    <t>金币价值</t>
  </si>
  <si>
    <t>积分</t>
  </si>
  <si>
    <t>list&lt;int&gt;{_}</t>
  </si>
  <si>
    <t>12101_1022501_10</t>
  </si>
  <si>
    <t>task_600000.png</t>
  </si>
  <si>
    <t>在[搖錢樹]活動中累積使用10個[祈福卡]</t>
  </si>
  <si>
    <t>12101_1022501_30</t>
  </si>
  <si>
    <t>72101</t>
  </si>
  <si>
    <t>在[搖錢樹]活動中累積使用30個[祈福卡]</t>
  </si>
  <si>
    <t>12101_1022501_100</t>
  </si>
  <si>
    <t>72102</t>
  </si>
  <si>
    <t>在[搖錢樹]活動中累積使用100個[祈福卡]</t>
  </si>
  <si>
    <t>11001_999_2_0</t>
  </si>
  <si>
    <t>task_500000.png</t>
  </si>
  <si>
    <t>70001</t>
  </si>
  <si>
    <t>進行2次單筆充值$9.99</t>
  </si>
  <si>
    <t>单笔充值</t>
  </si>
  <si>
    <t>11001_99_1_0</t>
  </si>
  <si>
    <t>71101</t>
  </si>
  <si>
    <t>進行1次單筆充值$0.99</t>
  </si>
  <si>
    <t>11001_499_1_0</t>
  </si>
  <si>
    <t>71102</t>
  </si>
  <si>
    <t>進行1次單筆充值$4.99</t>
  </si>
  <si>
    <t>11001_999_1_0</t>
  </si>
  <si>
    <t>71103</t>
  </si>
  <si>
    <t>進行1次單筆充值$9.99</t>
  </si>
  <si>
    <t>贡献值ID</t>
  </si>
  <si>
    <t>声誉值ID</t>
  </si>
  <si>
    <t>声誉数量</t>
  </si>
  <si>
    <t>贡献数量</t>
  </si>
  <si>
    <t>累積充值達到$1.00</t>
  </si>
  <si>
    <t>在[金礦大亨]電子遊戲中，金币有效下注累積達到1,000,000</t>
  </si>
  <si>
    <t>在任意遊戲中，金币有效下注累積達到4,000,000</t>
  </si>
  <si>
    <t>在[金礦大亨]電子遊戲中，金币累積贏獎達到1,000,000</t>
  </si>
  <si>
    <t>充值商城</t>
  </si>
  <si>
    <t>在任意遊戲中，金币累積贏獎達到20,000,000</t>
  </si>
  <si>
    <t>在私人房間中鑽石累積贏獎達到1,000</t>
  </si>
  <si>
    <t>在[金礦大亨]電子遊戲中，累積旋轉100次</t>
  </si>
  <si>
    <t>在任意電子遊戲中，累積旋轉2500次</t>
  </si>
  <si>
    <t>在[超级明星]電子遊戲中，累積旋轉500次</t>
  </si>
  <si>
    <t>在[麻将胡了]電子遊戲中，累積旋轉500次</t>
  </si>
  <si>
    <t>金矿大亨</t>
  </si>
  <si>
    <t>在[财神]電子遊戲中，累積旋轉500次</t>
  </si>
  <si>
    <t>在[埃及艳后]電子遊戲中，累積旋轉500次</t>
  </si>
  <si>
    <t>在[超级明星]電子遊戲中，金币累積贏獎達到35,000,000</t>
  </si>
  <si>
    <t>在[超级明星]電子遊戲中，金币累積贏獎達到350,000,000</t>
  </si>
  <si>
    <t>在[超级明星]電子遊戲中，金币累積贏獎達到1,400,000,000</t>
  </si>
  <si>
    <t>在[麻将胡了]電子遊戲中，金币累積贏獎達到35,000,000</t>
  </si>
  <si>
    <t>在[麻将胡了]電子遊戲中，金币累積贏獎達到350,000,000</t>
  </si>
  <si>
    <t>在[麻将胡了]電子遊戲中，金币累積贏獎達到1,400,000,000</t>
  </si>
  <si>
    <t>在[财神]電子遊戲中，金币累積贏獎達到35,000,000</t>
  </si>
  <si>
    <t>在[财神]電子遊戲中，金币累積贏獎達到350,000,000</t>
  </si>
  <si>
    <t>在[财神]電子遊戲中，金币累積贏獎達到1,400,000,000</t>
  </si>
  <si>
    <t>在[埃及艳后]電子遊戲中，金币累積贏獎達到35,000,000</t>
  </si>
  <si>
    <t>在[埃及艳后]電子遊戲中，金币累積贏獎達到350,000,000</t>
  </si>
  <si>
    <t>在[埃及艳后]電子遊戲中，金币累積贏獎達到1,400,000,000</t>
  </si>
  <si>
    <t>在私人房間中鑽石累積贏獎達到7,000</t>
  </si>
  <si>
    <t>在私人房間中鑽石累積贏獎達到70,000</t>
  </si>
  <si>
    <t>在私人房間中鑽石累積贏獎達到700,000</t>
  </si>
  <si>
    <t>在任意遊戲中，金币累積贏獎達到210,000,000</t>
  </si>
  <si>
    <t>在任意遊戲中，金币累積贏獎達到2,100,000,000</t>
  </si>
  <si>
    <t>在任意遊戲中，金币累積贏獎達到4,200,000,000</t>
  </si>
  <si>
    <t>创建房间</t>
  </si>
  <si>
    <t>累積充值達到$200.00</t>
  </si>
  <si>
    <t>累積充值達到$500.00</t>
  </si>
  <si>
    <t>在[金礦大亨]電子遊戲中，金币有效下注累積達到70,000,000</t>
  </si>
  <si>
    <t>在[麻将胡了]電子遊戲中，金币有效下注累積達到700,000,000</t>
  </si>
  <si>
    <t>10003_0_1_1000_1980000</t>
  </si>
  <si>
    <t>task_win diamonds</t>
  </si>
  <si>
    <t>赢奖钻石</t>
  </si>
  <si>
    <t>10003_0_1_7000_1980000</t>
  </si>
  <si>
    <t>70381</t>
  </si>
  <si>
    <t>10003_0_1_70000_1980000</t>
  </si>
  <si>
    <t>70382</t>
  </si>
  <si>
    <t>10003_0_1_700000_1980000</t>
  </si>
  <si>
    <t>70383</t>
  </si>
  <si>
    <t>2025/10/01 00:00:00</t>
  </si>
  <si>
    <t>11001_9_2_0</t>
  </si>
  <si>
    <t>task_Recharge</t>
  </si>
  <si>
    <t>2026/10/01 00:00:00</t>
  </si>
  <si>
    <t>11002_100_0</t>
  </si>
  <si>
    <t>累積充值達到$100.00</t>
  </si>
  <si>
    <t>12001_100100_1000000</t>
  </si>
  <si>
    <t>task_GoldMineTycoon</t>
  </si>
  <si>
    <t>12001_0_4000000</t>
  </si>
  <si>
    <t>task_Anygame</t>
  </si>
  <si>
    <t>10003_100100_1_1000000_1990000</t>
  </si>
  <si>
    <t>在任意遊戲中，金币累積贏獎達到2,000,000</t>
  </si>
  <si>
    <t>task_MoneyTree</t>
  </si>
  <si>
    <t>10001_100100_1_100</t>
  </si>
  <si>
    <t>task_rotation times</t>
  </si>
  <si>
    <t>10001_0_1_500</t>
  </si>
  <si>
    <t>在任意電子遊戲中，累積旋轉500次</t>
  </si>
  <si>
    <t>新图标名称[task_游戏ID]</t>
  </si>
  <si>
    <t>task_100100.png</t>
  </si>
  <si>
    <t>task_102500.png</t>
  </si>
  <si>
    <t>红黑大战</t>
  </si>
  <si>
    <t>task_200100.png</t>
  </si>
  <si>
    <t>龙虎斗</t>
  </si>
  <si>
    <t>task_200101.png</t>
  </si>
  <si>
    <t>飞禽走兽</t>
  </si>
  <si>
    <t>task_200300.png</t>
  </si>
  <si>
    <t>豪车俱乐部</t>
  </si>
  <si>
    <t>task_200400.png</t>
  </si>
  <si>
    <t>百家乐</t>
  </si>
  <si>
    <t>task_200500.png</t>
  </si>
  <si>
    <t>骰子</t>
  </si>
  <si>
    <t>task_200600.png</t>
  </si>
  <si>
    <t>越南色碟</t>
  </si>
  <si>
    <t>task_200700.png</t>
  </si>
  <si>
    <t>大小骰子</t>
  </si>
  <si>
    <t>task_200800.png</t>
  </si>
  <si>
    <t>鱼虾蟹</t>
  </si>
  <si>
    <t>task_200900.png</t>
  </si>
  <si>
    <t>21点</t>
  </si>
  <si>
    <t>task_300100.png</t>
  </si>
  <si>
    <t>德州</t>
  </si>
  <si>
    <t>task_300200.png</t>
  </si>
  <si>
    <t>下注</t>
  </si>
  <si>
    <t>task_500002.png</t>
  </si>
  <si>
    <t>任意消费</t>
  </si>
  <si>
    <t>task_500003.png</t>
  </si>
  <si>
    <t>转动次数</t>
  </si>
  <si>
    <t>钻石赢奖</t>
  </si>
  <si>
    <t>task_500005.png</t>
  </si>
  <si>
    <t>task_600001.png</t>
  </si>
  <si>
    <t>特权卡</t>
  </si>
  <si>
    <t>task_600002.png</t>
  </si>
  <si>
    <t>task_600003.png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</si>
</sst>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4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name val="等线"/>
      <charset val="134"/>
      <scheme val="minor"/>
    </font>
    <font>
      <sz val="11"/>
      <color rgb="FFFF0000"/>
      <name val="微软雅黑"/>
      <charset val="134"/>
    </font>
    <font>
      <sz val="11"/>
      <color rgb="FF00B0F0"/>
      <name val="微软雅黑"/>
      <charset val="134"/>
    </font>
    <font>
      <sz val="11"/>
      <color theme="0" tint="-0.35"/>
      <name val="微软雅黑"/>
      <charset val="134"/>
    </font>
    <font>
      <sz val="11"/>
      <color theme="0" tint="-0.25"/>
      <name val="微软雅黑"/>
      <charset val="134"/>
    </font>
    <font>
      <sz val="11"/>
      <color rgb="FF7030A0"/>
      <name val="微软雅黑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theme="1"/>
      <name val="微软雅黑"/>
      <charset val="134"/>
    </font>
    <font>
      <sz val="10"/>
      <color theme="1"/>
      <name val="Arial"/>
      <charset val="134"/>
    </font>
    <font>
      <sz val="10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5" borderId="4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20" fillId="16" borderId="4" applyNumberFormat="0" applyAlignment="0" applyProtection="0">
      <alignment vertical="center"/>
    </xf>
    <xf numFmtId="0" fontId="21" fillId="17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0" xfId="0" applyFont="1" applyAlignment="1">
      <alignment horizontal="left" vertical="center"/>
    </xf>
    <xf numFmtId="0" fontId="1" fillId="3" borderId="0" xfId="0" applyNumberFormat="1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left" vertical="center"/>
    </xf>
    <xf numFmtId="0" fontId="1" fillId="4" borderId="0" xfId="0" applyNumberFormat="1" applyFont="1" applyFill="1" applyBorder="1" applyAlignment="1" applyProtection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3" borderId="0" xfId="0" applyFont="1" applyFill="1">
      <alignment vertical="center"/>
    </xf>
    <xf numFmtId="0" fontId="1" fillId="3" borderId="0" xfId="0" applyNumberFormat="1" applyFont="1" applyFill="1">
      <alignment vertical="center"/>
    </xf>
    <xf numFmtId="0" fontId="1" fillId="5" borderId="0" xfId="0" applyFont="1" applyFill="1">
      <alignment vertical="center"/>
    </xf>
    <xf numFmtId="0" fontId="1" fillId="5" borderId="0" xfId="0" applyNumberFormat="1" applyFont="1" applyFill="1">
      <alignment vertical="center"/>
    </xf>
    <xf numFmtId="49" fontId="2" fillId="5" borderId="0" xfId="0" applyNumberFormat="1" applyFont="1" applyFill="1">
      <alignment vertical="center"/>
    </xf>
    <xf numFmtId="0" fontId="3" fillId="0" borderId="0" xfId="0" applyFont="1" applyFill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6" borderId="0" xfId="0" applyFont="1" applyFill="1">
      <alignment vertical="center"/>
    </xf>
    <xf numFmtId="0" fontId="2" fillId="7" borderId="0" xfId="0" applyFont="1" applyFill="1">
      <alignment vertical="center"/>
    </xf>
    <xf numFmtId="0" fontId="2" fillId="8" borderId="0" xfId="0" applyFont="1" applyFill="1">
      <alignment vertical="center"/>
    </xf>
    <xf numFmtId="0" fontId="2" fillId="9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" fillId="10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4" borderId="0" xfId="0" applyNumberFormat="1" applyFont="1" applyFill="1">
      <alignment vertical="center"/>
    </xf>
    <xf numFmtId="49" fontId="1" fillId="4" borderId="0" xfId="0" applyNumberFormat="1" applyFont="1" applyFill="1" applyAlignment="1">
      <alignment horizontal="left" vertical="center"/>
    </xf>
    <xf numFmtId="0" fontId="1" fillId="10" borderId="0" xfId="0" applyNumberFormat="1" applyFont="1" applyFill="1" applyBorder="1" applyAlignment="1" applyProtection="1">
      <alignment horizontal="left" vertical="center"/>
    </xf>
    <xf numFmtId="49" fontId="1" fillId="4" borderId="0" xfId="0" applyNumberFormat="1" applyFont="1" applyFill="1" applyAlignment="1" applyProtection="1">
      <alignment horizontal="left" vertical="center"/>
    </xf>
    <xf numFmtId="0" fontId="1" fillId="10" borderId="0" xfId="0" applyNumberFormat="1" applyFont="1" applyFill="1" applyAlignment="1" applyProtection="1">
      <alignment horizontal="left" vertical="center"/>
    </xf>
    <xf numFmtId="0" fontId="1" fillId="10" borderId="0" xfId="0" applyNumberFormat="1" applyFont="1" applyFill="1">
      <alignment vertical="center"/>
    </xf>
    <xf numFmtId="0" fontId="9" fillId="0" borderId="0" xfId="0" applyFont="1">
      <alignment vertical="center"/>
    </xf>
    <xf numFmtId="0" fontId="1" fillId="0" borderId="0" xfId="0" applyNumberFormat="1" applyFont="1" applyFill="1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49" fontId="1" fillId="0" borderId="0" xfId="0" applyNumberFormat="1" applyFont="1" applyFill="1">
      <alignment vertical="center"/>
    </xf>
    <xf numFmtId="0" fontId="1" fillId="11" borderId="0" xfId="0" applyFont="1" applyFill="1">
      <alignment vertical="center"/>
    </xf>
    <xf numFmtId="0" fontId="1" fillId="11" borderId="0" xfId="0" applyNumberFormat="1" applyFont="1" applyFill="1">
      <alignment vertical="center"/>
    </xf>
    <xf numFmtId="0" fontId="1" fillId="11" borderId="0" xfId="0" applyFont="1" applyFill="1" applyAlignment="1">
      <alignment horizontal="left" vertical="center"/>
    </xf>
    <xf numFmtId="49" fontId="1" fillId="11" borderId="0" xfId="0" applyNumberFormat="1" applyFont="1" applyFill="1" applyAlignment="1">
      <alignment horizontal="left" vertical="center"/>
    </xf>
    <xf numFmtId="0" fontId="1" fillId="11" borderId="0" xfId="0" applyNumberFormat="1" applyFont="1" applyFill="1" applyBorder="1" applyAlignment="1" applyProtection="1">
      <alignment horizontal="left" vertical="center"/>
    </xf>
    <xf numFmtId="49" fontId="1" fillId="11" borderId="0" xfId="0" applyNumberFormat="1" applyFont="1" applyFill="1" applyAlignment="1" applyProtection="1">
      <alignment horizontal="left" vertical="center"/>
    </xf>
    <xf numFmtId="0" fontId="1" fillId="11" borderId="0" xfId="0" applyNumberFormat="1" applyFont="1" applyFill="1" applyAlignment="1" applyProtection="1">
      <alignment horizontal="left" vertical="center"/>
    </xf>
    <xf numFmtId="0" fontId="1" fillId="12" borderId="0" xfId="0" applyFont="1" applyFill="1" applyAlignment="1">
      <alignment horizontal="right" vertical="center"/>
    </xf>
    <xf numFmtId="0" fontId="1" fillId="12" borderId="0" xfId="0" applyFont="1" applyFill="1">
      <alignment vertical="center"/>
    </xf>
    <xf numFmtId="0" fontId="1" fillId="0" borderId="0" xfId="0" applyNumberFormat="1" applyFont="1" applyFill="1" applyAlignment="1">
      <alignment horizontal="left" vertical="center"/>
    </xf>
    <xf numFmtId="0" fontId="0" fillId="0" borderId="0" xfId="0" applyFill="1" applyAlignment="1">
      <alignment vertical="center"/>
    </xf>
    <xf numFmtId="176" fontId="1" fillId="0" borderId="0" xfId="0" applyNumberFormat="1" applyFont="1" applyFill="1">
      <alignment vertical="center"/>
    </xf>
    <xf numFmtId="0" fontId="4" fillId="3" borderId="0" xfId="0" applyFont="1" applyFill="1">
      <alignment vertical="center"/>
    </xf>
    <xf numFmtId="0" fontId="8" fillId="3" borderId="0" xfId="0" applyFont="1" applyFill="1">
      <alignment vertical="center"/>
    </xf>
    <xf numFmtId="0" fontId="1" fillId="13" borderId="0" xfId="0" applyFont="1" applyFill="1">
      <alignment vertical="center"/>
    </xf>
    <xf numFmtId="0" fontId="1" fillId="13" borderId="0" xfId="0" applyNumberFormat="1" applyFont="1" applyFill="1">
      <alignment vertical="center"/>
    </xf>
    <xf numFmtId="0" fontId="1" fillId="13" borderId="0" xfId="0" applyFont="1" applyFill="1" applyAlignment="1">
      <alignment horizontal="left" vertical="center"/>
    </xf>
    <xf numFmtId="49" fontId="1" fillId="13" borderId="0" xfId="0" applyNumberFormat="1" applyFont="1" applyFill="1" applyAlignment="1">
      <alignment horizontal="left" vertical="center"/>
    </xf>
    <xf numFmtId="0" fontId="1" fillId="13" borderId="0" xfId="0" applyNumberFormat="1" applyFont="1" applyFill="1" applyAlignment="1">
      <alignment horizontal="left"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49" fontId="1" fillId="0" borderId="0" xfId="0" applyNumberFormat="1" applyFont="1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umpDa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umpData"/>
      <sheetName val="Sheet1"/>
    </sheetNames>
    <sheetDataSet>
      <sheetData sheetId="0">
        <row r="1">
          <cell r="A1" t="str">
            <v>跳转ID</v>
          </cell>
        </row>
        <row r="1">
          <cell r="F1" t="str">
            <v>打开界面需要导入的脚本</v>
          </cell>
        </row>
        <row r="2">
          <cell r="A2" t="str">
            <v>int</v>
          </cell>
        </row>
        <row r="2">
          <cell r="F2" t="str">
            <v>string</v>
          </cell>
        </row>
        <row r="3">
          <cell r="A3" t="str">
            <v>id</v>
          </cell>
        </row>
        <row r="3">
          <cell r="F3" t="str">
            <v>jumpRequire</v>
          </cell>
        </row>
        <row r="5">
          <cell r="A5">
            <v>11001</v>
          </cell>
        </row>
        <row r="6">
          <cell r="A6">
            <v>11003</v>
          </cell>
        </row>
        <row r="7">
          <cell r="A7">
            <v>11007</v>
          </cell>
        </row>
        <row r="8">
          <cell r="A8">
            <v>11012</v>
          </cell>
        </row>
        <row r="9">
          <cell r="A9">
            <v>11014</v>
          </cell>
        </row>
        <row r="10">
          <cell r="A10">
            <v>11017</v>
          </cell>
        </row>
        <row r="11">
          <cell r="A11">
            <v>11021</v>
          </cell>
        </row>
        <row r="12">
          <cell r="A12">
            <v>11022</v>
          </cell>
        </row>
        <row r="13">
          <cell r="A13">
            <v>11023</v>
          </cell>
        </row>
        <row r="14">
          <cell r="A14">
            <v>11024</v>
          </cell>
        </row>
        <row r="15">
          <cell r="A15">
            <v>11025</v>
          </cell>
        </row>
        <row r="16">
          <cell r="A16">
            <v>11026</v>
          </cell>
        </row>
        <row r="17">
          <cell r="A17">
            <v>11027</v>
          </cell>
        </row>
        <row r="18">
          <cell r="A18">
            <v>11028</v>
          </cell>
        </row>
        <row r="19">
          <cell r="A19">
            <v>11029</v>
          </cell>
        </row>
        <row r="20">
          <cell r="A20">
            <v>11030</v>
          </cell>
        </row>
        <row r="21">
          <cell r="A21">
            <v>11031</v>
          </cell>
        </row>
        <row r="22">
          <cell r="A22">
            <v>11032</v>
          </cell>
        </row>
        <row r="23">
          <cell r="A23">
            <v>11033</v>
          </cell>
        </row>
        <row r="24">
          <cell r="A24">
            <v>11034</v>
          </cell>
        </row>
        <row r="25">
          <cell r="A25">
            <v>11035</v>
          </cell>
        </row>
        <row r="26">
          <cell r="A26">
            <v>11036</v>
          </cell>
        </row>
        <row r="27">
          <cell r="A27">
            <v>11037</v>
          </cell>
        </row>
        <row r="28">
          <cell r="A28">
            <v>11038</v>
          </cell>
        </row>
        <row r="29">
          <cell r="A29">
            <v>11039</v>
          </cell>
        </row>
        <row r="30">
          <cell r="A30">
            <v>11040</v>
          </cell>
        </row>
        <row r="31">
          <cell r="A31">
            <v>11041</v>
          </cell>
        </row>
        <row r="32">
          <cell r="A32">
            <v>11042</v>
          </cell>
        </row>
        <row r="33">
          <cell r="A33">
            <v>11043</v>
          </cell>
        </row>
        <row r="34">
          <cell r="A34">
            <v>11044</v>
          </cell>
        </row>
        <row r="35">
          <cell r="A35">
            <v>11045</v>
          </cell>
        </row>
        <row r="36">
          <cell r="A36">
            <v>11046</v>
          </cell>
        </row>
        <row r="37">
          <cell r="A37">
            <v>11047</v>
          </cell>
        </row>
        <row r="38">
          <cell r="A38">
            <v>2001</v>
          </cell>
        </row>
        <row r="39">
          <cell r="A39">
            <v>2002</v>
          </cell>
        </row>
        <row r="40">
          <cell r="A40">
            <v>2003</v>
          </cell>
        </row>
        <row r="41">
          <cell r="A41">
            <v>2004</v>
          </cell>
        </row>
        <row r="42">
          <cell r="A42">
            <v>2005</v>
          </cell>
        </row>
        <row r="43">
          <cell r="A43">
            <v>2006</v>
          </cell>
        </row>
        <row r="44">
          <cell r="A44">
            <v>2007</v>
          </cell>
        </row>
        <row r="45">
          <cell r="A45">
            <v>2008</v>
          </cell>
        </row>
        <row r="46">
          <cell r="A46">
            <v>3001</v>
          </cell>
        </row>
        <row r="47">
          <cell r="A47">
            <v>3002</v>
          </cell>
        </row>
        <row r="48">
          <cell r="A48">
            <v>3003</v>
          </cell>
        </row>
        <row r="49">
          <cell r="A49">
            <v>3004</v>
          </cell>
        </row>
        <row r="50">
          <cell r="A50">
            <v>3005</v>
          </cell>
        </row>
        <row r="51">
          <cell r="A51">
            <v>3006</v>
          </cell>
        </row>
        <row r="52">
          <cell r="A52">
            <v>3007</v>
          </cell>
        </row>
        <row r="53">
          <cell r="A53">
            <v>3011</v>
          </cell>
        </row>
        <row r="53">
          <cell r="F53" t="str">
            <v>PlatformHall/UIHall/MVCHead</v>
          </cell>
        </row>
        <row r="54">
          <cell r="A54">
            <v>3012</v>
          </cell>
        </row>
        <row r="54">
          <cell r="F54" t="str">
            <v>PlatformHall/UIHall/MVCHead</v>
          </cell>
        </row>
        <row r="55">
          <cell r="A55">
            <v>3013</v>
          </cell>
        </row>
        <row r="55">
          <cell r="F55" t="str">
            <v>PlatformHall/UIFriends/MVCHead</v>
          </cell>
        </row>
        <row r="56">
          <cell r="A56">
            <v>3014</v>
          </cell>
        </row>
        <row r="56">
          <cell r="F56" t="str">
            <v>PlatformHall/Alliance/MVCHead</v>
          </cell>
        </row>
        <row r="57">
          <cell r="A57">
            <v>3015</v>
          </cell>
        </row>
        <row r="57">
          <cell r="F57" t="str">
            <v>PlatformHall/UISeason/MVCHead</v>
          </cell>
        </row>
        <row r="58">
          <cell r="A58">
            <v>3016</v>
          </cell>
        </row>
        <row r="58">
          <cell r="F58" t="str">
            <v>PlatformHall/UIActivities/UISignIn/MVCHead</v>
          </cell>
        </row>
        <row r="59">
          <cell r="A59">
            <v>3017</v>
          </cell>
        </row>
        <row r="59">
          <cell r="F59" t="str">
            <v>PlatformHall/SimulationGame/MVCHead</v>
          </cell>
        </row>
        <row r="60">
          <cell r="A60">
            <v>3018</v>
          </cell>
        </row>
        <row r="60">
          <cell r="F60" t="str">
            <v>PlatformHall/SimulationGame/MVCHead</v>
          </cell>
        </row>
        <row r="61">
          <cell r="A61">
            <v>3019</v>
          </cell>
        </row>
        <row r="61">
          <cell r="F61" t="str">
            <v>PlatformHall/SimulationGame/MVCHead</v>
          </cell>
        </row>
        <row r="62">
          <cell r="A62">
            <v>3020</v>
          </cell>
        </row>
        <row r="62">
          <cell r="F62" t="str">
            <v>PlatformHall/UIInviteGuest/MVCHead</v>
          </cell>
        </row>
        <row r="63">
          <cell r="A63">
            <v>3021</v>
          </cell>
        </row>
        <row r="63">
          <cell r="F63" t="str">
            <v>PlatformHall/UIActivities/UILookAds/MVCHead</v>
          </cell>
        </row>
        <row r="64">
          <cell r="A64">
            <v>3101</v>
          </cell>
        </row>
        <row r="64">
          <cell r="F64" t="str">
            <v>PlatformHall/Alliance/MVCHead</v>
          </cell>
        </row>
        <row r="65">
          <cell r="A65">
            <v>3102</v>
          </cell>
        </row>
        <row r="65">
          <cell r="F65" t="str">
            <v>PlatformHall/Alliance/MVCHead</v>
          </cell>
        </row>
        <row r="66">
          <cell r="A66">
            <v>3103</v>
          </cell>
        </row>
        <row r="66">
          <cell r="F66" t="str">
            <v>PlatformHall/Alliance/MVCHead</v>
          </cell>
        </row>
        <row r="67">
          <cell r="A67">
            <v>3104</v>
          </cell>
        </row>
        <row r="67">
          <cell r="F67" t="str">
            <v>PlatformHall/Alliance/MVCHead</v>
          </cell>
        </row>
        <row r="68">
          <cell r="A68">
            <v>3111</v>
          </cell>
        </row>
        <row r="68">
          <cell r="F68" t="str">
            <v>PlatformHall/UISeason/MVCHead</v>
          </cell>
        </row>
        <row r="69">
          <cell r="A69">
            <v>3112</v>
          </cell>
        </row>
        <row r="69">
          <cell r="F69" t="str">
            <v>PlatformHall/UISeason/MVCHead</v>
          </cell>
        </row>
        <row r="70">
          <cell r="A70">
            <v>3113</v>
          </cell>
        </row>
        <row r="70">
          <cell r="F70" t="str">
            <v>PlatformHall/UISeason/MVCHead</v>
          </cell>
        </row>
        <row r="71">
          <cell r="A71">
            <v>3114</v>
          </cell>
        </row>
        <row r="71">
          <cell r="F71" t="str">
            <v>PlatformHall/UISeason/MVCHead</v>
          </cell>
        </row>
        <row r="72">
          <cell r="A72">
            <v>3121</v>
          </cell>
        </row>
        <row r="72">
          <cell r="F72" t="str">
            <v>PlatformHall/SimulationGame/MVCHead</v>
          </cell>
        </row>
        <row r="73">
          <cell r="A73">
            <v>3122</v>
          </cell>
        </row>
        <row r="73">
          <cell r="F73" t="str">
            <v>PlatformHall/SimulationGame/MVCHead</v>
          </cell>
        </row>
        <row r="74">
          <cell r="A74">
            <v>3123</v>
          </cell>
        </row>
        <row r="74">
          <cell r="F74" t="str">
            <v>PlatformHall/SimulationGame/MVCHead</v>
          </cell>
        </row>
        <row r="75">
          <cell r="A75">
            <v>3131</v>
          </cell>
        </row>
        <row r="75">
          <cell r="F75" t="str">
            <v>PlatformHall/UITaskSystem/MVCHead</v>
          </cell>
        </row>
        <row r="76">
          <cell r="A76">
            <v>3132</v>
          </cell>
        </row>
        <row r="76">
          <cell r="F76" t="str">
            <v>PlatformHall/UITaskSystem/MVCHead</v>
          </cell>
        </row>
        <row r="77">
          <cell r="A77">
            <v>3133</v>
          </cell>
        </row>
        <row r="77">
          <cell r="F77" t="str">
            <v>PlatformHall/UITaskSystem/MVCHead</v>
          </cell>
        </row>
        <row r="78">
          <cell r="A78">
            <v>3141</v>
          </cell>
        </row>
        <row r="79">
          <cell r="A79">
            <v>3142</v>
          </cell>
        </row>
        <row r="79">
          <cell r="F79" t="str">
            <v>PlatformHall/UIUserInfo/MVCHead</v>
          </cell>
        </row>
        <row r="80">
          <cell r="A80">
            <v>3151</v>
          </cell>
        </row>
        <row r="80">
          <cell r="F80" t="str">
            <v>PlatformHall/UIActivities/UIMall/MVCHead</v>
          </cell>
        </row>
        <row r="81">
          <cell r="A81">
            <v>3152</v>
          </cell>
        </row>
        <row r="81">
          <cell r="F81" t="str">
            <v>PlatformHall/UIActivities/UIMall/MVCHead</v>
          </cell>
        </row>
        <row r="82">
          <cell r="A82">
            <v>3153</v>
          </cell>
        </row>
        <row r="82">
          <cell r="F82" t="str">
            <v>PlatformHall/UIActivities/UIMall/MVCHead</v>
          </cell>
        </row>
        <row r="83">
          <cell r="A83">
            <v>3201</v>
          </cell>
        </row>
        <row r="83">
          <cell r="F83" t="str">
            <v>PlatformHall/SimulationGame/MVCHead</v>
          </cell>
        </row>
        <row r="84">
          <cell r="A84">
            <v>3202</v>
          </cell>
        </row>
        <row r="84">
          <cell r="F84" t="str">
            <v>PlatformHall/SimulationGame/MVCHead</v>
          </cell>
        </row>
        <row r="85">
          <cell r="A85">
            <v>3203</v>
          </cell>
        </row>
        <row r="85">
          <cell r="F85" t="str">
            <v>PlatformHall/SimulationGame/MVCHead</v>
          </cell>
        </row>
        <row r="86">
          <cell r="A86">
            <v>3204</v>
          </cell>
        </row>
        <row r="86">
          <cell r="F86" t="str">
            <v>PlatformHall/SimulationGame/MVCHead</v>
          </cell>
        </row>
        <row r="87">
          <cell r="A87">
            <v>3205</v>
          </cell>
        </row>
        <row r="87">
          <cell r="F87" t="str">
            <v>PlatformHall/SimulationGame/MVCHead</v>
          </cell>
        </row>
        <row r="88">
          <cell r="A88">
            <v>3206</v>
          </cell>
        </row>
        <row r="88">
          <cell r="F88" t="str">
            <v>PlatformHall/SimulationGame/MVCHead</v>
          </cell>
        </row>
        <row r="89">
          <cell r="A89">
            <v>3207</v>
          </cell>
        </row>
        <row r="89">
          <cell r="F89" t="str">
            <v>PlatformHall/SimulationGame/MVCHead</v>
          </cell>
        </row>
        <row r="90">
          <cell r="A90">
            <v>3208</v>
          </cell>
        </row>
        <row r="90">
          <cell r="F90" t="str">
            <v>PlatformHall/SimulationGame/MVCHead</v>
          </cell>
        </row>
        <row r="91">
          <cell r="A91">
            <v>3209</v>
          </cell>
        </row>
        <row r="91">
          <cell r="F91" t="str">
            <v>PlatformHall/SimulationGame/MVCHead</v>
          </cell>
        </row>
        <row r="92">
          <cell r="A92">
            <v>3210</v>
          </cell>
        </row>
        <row r="92">
          <cell r="F92" t="str">
            <v>PlatformHall/SimulationGame/MVCHead</v>
          </cell>
        </row>
        <row r="93">
          <cell r="A93">
            <v>3211</v>
          </cell>
        </row>
        <row r="93">
          <cell r="F93" t="str">
            <v>PlatformHall/SimulationGame/MVCHead</v>
          </cell>
        </row>
        <row r="94">
          <cell r="A94">
            <v>3212</v>
          </cell>
        </row>
        <row r="94">
          <cell r="F94" t="str">
            <v>PlatformHall/SimulationGame/MVCHead</v>
          </cell>
        </row>
        <row r="95">
          <cell r="A95">
            <v>3551</v>
          </cell>
        </row>
        <row r="95">
          <cell r="F95" t="str">
            <v>PlatformHall/SimulationGame/MVCHead</v>
          </cell>
        </row>
        <row r="96">
          <cell r="A96">
            <v>3552</v>
          </cell>
        </row>
        <row r="96">
          <cell r="F96" t="str">
            <v>PlatformHall/SimulationGame/MVCHead</v>
          </cell>
        </row>
        <row r="97">
          <cell r="A97">
            <v>3553</v>
          </cell>
        </row>
        <row r="97">
          <cell r="F97" t="str">
            <v>PlatformHall/SimulationGame/MVCHead</v>
          </cell>
        </row>
        <row r="98">
          <cell r="A98">
            <v>3554</v>
          </cell>
        </row>
        <row r="98">
          <cell r="F98" t="str">
            <v>PlatformHall/SimulationGame/MVCHead</v>
          </cell>
        </row>
        <row r="99">
          <cell r="A99">
            <v>3301</v>
          </cell>
        </row>
        <row r="99">
          <cell r="F99" t="str">
            <v>PlatformHall/UIHall/MVCHead</v>
          </cell>
        </row>
        <row r="100">
          <cell r="A100">
            <v>3302</v>
          </cell>
        </row>
        <row r="100">
          <cell r="F100" t="str">
            <v>PlatformHall/UIHall/MVCHead</v>
          </cell>
        </row>
        <row r="101">
          <cell r="A101">
            <v>3303</v>
          </cell>
        </row>
        <row r="101">
          <cell r="F101" t="str">
            <v>PlatformHall/UIHall/MVCHead</v>
          </cell>
        </row>
        <row r="102">
          <cell r="A102">
            <v>3304</v>
          </cell>
        </row>
        <row r="102">
          <cell r="F102" t="str">
            <v>PlatformHall/UIHall/MVCHead</v>
          </cell>
        </row>
        <row r="103">
          <cell r="A103">
            <v>3305</v>
          </cell>
        </row>
        <row r="103">
          <cell r="F103" t="str">
            <v>PlatformHall/UIHall/MVCHead</v>
          </cell>
        </row>
        <row r="104">
          <cell r="A104">
            <v>3306</v>
          </cell>
        </row>
        <row r="104">
          <cell r="F104" t="str">
            <v>PlatformHall/UIHall/MVCHead</v>
          </cell>
        </row>
        <row r="105">
          <cell r="A105">
            <v>3307</v>
          </cell>
        </row>
        <row r="105">
          <cell r="F105" t="str">
            <v>PlatformHall/UIHall/MVCHead</v>
          </cell>
        </row>
        <row r="106">
          <cell r="A106">
            <v>3308</v>
          </cell>
        </row>
        <row r="106">
          <cell r="F106" t="str">
            <v>PlatformHall/UIHall/MVCHead</v>
          </cell>
        </row>
        <row r="107">
          <cell r="A107">
            <v>3309</v>
          </cell>
        </row>
        <row r="107">
          <cell r="F107" t="str">
            <v>PlatformHall/UIHall/MVCHead</v>
          </cell>
        </row>
        <row r="108">
          <cell r="A108">
            <v>3310</v>
          </cell>
        </row>
        <row r="108">
          <cell r="F108" t="str">
            <v>PlatformHall/UIHall/MVCHead</v>
          </cell>
        </row>
        <row r="109">
          <cell r="A109">
            <v>3311</v>
          </cell>
        </row>
        <row r="109">
          <cell r="F109" t="str">
            <v>PlatformHall/UIHall/MVCHead</v>
          </cell>
        </row>
        <row r="110">
          <cell r="A110">
            <v>3312</v>
          </cell>
        </row>
        <row r="110">
          <cell r="F110" t="str">
            <v>PlatformHall/UIHall/MVCHead</v>
          </cell>
        </row>
        <row r="111">
          <cell r="A111">
            <v>3401</v>
          </cell>
        </row>
        <row r="112">
          <cell r="A112">
            <v>3402</v>
          </cell>
        </row>
        <row r="113">
          <cell r="A113">
            <v>3403</v>
          </cell>
        </row>
        <row r="114">
          <cell r="A114">
            <v>3404</v>
          </cell>
        </row>
        <row r="115">
          <cell r="A115">
            <v>3405</v>
          </cell>
        </row>
        <row r="116">
          <cell r="A116">
            <v>3406</v>
          </cell>
        </row>
        <row r="117">
          <cell r="A117">
            <v>3407</v>
          </cell>
        </row>
        <row r="118">
          <cell r="A118">
            <v>3408</v>
          </cell>
        </row>
        <row r="119">
          <cell r="A119">
            <v>3409</v>
          </cell>
        </row>
        <row r="120">
          <cell r="A120">
            <v>3410</v>
          </cell>
        </row>
        <row r="121">
          <cell r="A121">
            <v>3411</v>
          </cell>
        </row>
        <row r="122">
          <cell r="A122">
            <v>3412</v>
          </cell>
        </row>
        <row r="123">
          <cell r="A123">
            <v>3501</v>
          </cell>
        </row>
        <row r="124">
          <cell r="A124">
            <v>3502</v>
          </cell>
        </row>
        <row r="125">
          <cell r="A125">
            <v>3503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206"/>
  <sheetViews>
    <sheetView tabSelected="1" zoomScale="85" zoomScaleNormal="85" workbookViewId="0">
      <pane xSplit="3" ySplit="4" topLeftCell="I1193" activePane="bottomRight" state="frozen"/>
      <selection/>
      <selection pane="topRight"/>
      <selection pane="bottomLeft"/>
      <selection pane="bottomRight" activeCell="S1212" sqref="S1212"/>
    </sheetView>
  </sheetViews>
  <sheetFormatPr defaultColWidth="9" defaultRowHeight="16.5"/>
  <cols>
    <col min="1" max="1" width="11.625" style="4" customWidth="1"/>
    <col min="2" max="4" width="9.125" style="4" customWidth="1"/>
    <col min="5" max="5" width="9.85" style="4" customWidth="1"/>
    <col min="6" max="7" width="9.125" style="4" customWidth="1"/>
    <col min="8" max="8" width="15.7083333333333" style="4" customWidth="1"/>
    <col min="9" max="9" width="58.5" style="4" customWidth="1"/>
    <col min="10" max="10" width="11.125" style="4" customWidth="1"/>
    <col min="11" max="11" width="58.5" style="4" customWidth="1"/>
    <col min="12" max="12" width="9.55" style="4" customWidth="1"/>
    <col min="13" max="13" width="9.55" style="37" customWidth="1"/>
    <col min="14" max="14" width="12.875" style="38" customWidth="1"/>
    <col min="15" max="15" width="16.6166666666667" style="38" customWidth="1"/>
    <col min="16" max="23" width="9.55" style="39" customWidth="1"/>
    <col min="24" max="24" width="21.25" style="39" customWidth="1"/>
    <col min="25" max="25" width="78.8166666666667" style="4" customWidth="1"/>
    <col min="26" max="27" width="12.3416666666667" style="4" customWidth="1"/>
    <col min="28" max="30" width="14.5" style="4" customWidth="1"/>
    <col min="31" max="32" width="12.875" style="40"/>
    <col min="33" max="33" width="16.5" style="4"/>
    <col min="34" max="35" width="9" style="4"/>
    <col min="36" max="36" width="19.85" style="4" customWidth="1"/>
    <col min="37" max="16384" width="9" style="4"/>
  </cols>
  <sheetData>
    <row r="1" spans="1:40">
      <c r="A1" s="41" t="s">
        <v>0</v>
      </c>
      <c r="B1" s="41" t="s">
        <v>1</v>
      </c>
      <c r="C1" s="41" t="s">
        <v>2</v>
      </c>
      <c r="D1" s="41" t="s">
        <v>3</v>
      </c>
      <c r="E1" s="41" t="s">
        <v>2</v>
      </c>
      <c r="F1" s="41" t="s">
        <v>4</v>
      </c>
      <c r="G1" s="41" t="s">
        <v>2</v>
      </c>
      <c r="H1" s="41" t="s">
        <v>5</v>
      </c>
      <c r="I1" s="41" t="s">
        <v>6</v>
      </c>
      <c r="J1" s="41" t="s">
        <v>7</v>
      </c>
      <c r="K1" s="41" t="s">
        <v>8</v>
      </c>
      <c r="L1" s="41" t="s">
        <v>9</v>
      </c>
      <c r="M1" s="42" t="s">
        <v>10</v>
      </c>
      <c r="N1" s="43" t="s">
        <v>11</v>
      </c>
      <c r="O1" s="43" t="s">
        <v>12</v>
      </c>
      <c r="P1" s="44" t="s">
        <v>13</v>
      </c>
      <c r="Q1" s="44" t="s">
        <v>14</v>
      </c>
      <c r="R1" s="44" t="s">
        <v>15</v>
      </c>
      <c r="S1" s="44" t="s">
        <v>16</v>
      </c>
      <c r="T1" s="44" t="s">
        <v>17</v>
      </c>
      <c r="U1" s="44" t="s">
        <v>18</v>
      </c>
      <c r="V1" s="44" t="s">
        <v>19</v>
      </c>
      <c r="W1" s="44" t="s">
        <v>20</v>
      </c>
      <c r="X1" s="44" t="s">
        <v>21</v>
      </c>
      <c r="Y1" s="4" t="s">
        <v>22</v>
      </c>
      <c r="AG1" s="4" t="s">
        <v>23</v>
      </c>
    </row>
    <row r="2" spans="1:40">
      <c r="A2" s="41" t="s">
        <v>24</v>
      </c>
      <c r="B2" s="41" t="s">
        <v>24</v>
      </c>
      <c r="C2" s="41"/>
      <c r="D2" s="41" t="s">
        <v>24</v>
      </c>
      <c r="E2" s="41"/>
      <c r="F2" s="41" t="s">
        <v>24</v>
      </c>
      <c r="G2" s="41"/>
      <c r="H2" s="41"/>
      <c r="I2" s="41" t="s">
        <v>25</v>
      </c>
      <c r="J2" s="41" t="s">
        <v>24</v>
      </c>
      <c r="K2" s="45" t="s">
        <v>26</v>
      </c>
      <c r="L2" s="45" t="s">
        <v>24</v>
      </c>
      <c r="M2" s="45" t="s">
        <v>27</v>
      </c>
      <c r="N2" s="45" t="s">
        <v>24</v>
      </c>
      <c r="O2" s="45" t="s">
        <v>27</v>
      </c>
      <c r="P2" s="46" t="s">
        <v>27</v>
      </c>
      <c r="Q2" s="46" t="s">
        <v>24</v>
      </c>
      <c r="R2" s="46" t="s">
        <v>24</v>
      </c>
      <c r="S2" s="46" t="s">
        <v>28</v>
      </c>
      <c r="T2" s="46" t="s">
        <v>24</v>
      </c>
      <c r="U2" s="46" t="s">
        <v>24</v>
      </c>
      <c r="V2" s="47" t="s">
        <v>24</v>
      </c>
      <c r="W2" s="46" t="s">
        <v>29</v>
      </c>
      <c r="X2" s="46" t="s">
        <v>24</v>
      </c>
    </row>
    <row r="3" spans="1:40">
      <c r="A3" s="41" t="s">
        <v>30</v>
      </c>
      <c r="B3" s="41" t="s">
        <v>31</v>
      </c>
      <c r="C3" s="41"/>
      <c r="D3" s="41" t="s">
        <v>32</v>
      </c>
      <c r="E3" s="41"/>
      <c r="F3" s="41" t="s">
        <v>33</v>
      </c>
      <c r="G3" s="41"/>
      <c r="H3" s="41"/>
      <c r="I3" s="41" t="s">
        <v>34</v>
      </c>
      <c r="J3" s="41" t="s">
        <v>35</v>
      </c>
      <c r="K3" s="45" t="s">
        <v>36</v>
      </c>
      <c r="L3" s="47" t="s">
        <v>37</v>
      </c>
      <c r="M3" s="47" t="s">
        <v>38</v>
      </c>
      <c r="N3" s="43" t="s">
        <v>39</v>
      </c>
      <c r="O3" s="43" t="s">
        <v>40</v>
      </c>
      <c r="P3" s="44" t="s">
        <v>41</v>
      </c>
      <c r="Q3" s="46" t="s">
        <v>42</v>
      </c>
      <c r="R3" s="46" t="s">
        <v>43</v>
      </c>
      <c r="S3" s="46" t="s">
        <v>44</v>
      </c>
      <c r="T3" s="46" t="s">
        <v>45</v>
      </c>
      <c r="U3" s="44" t="s">
        <v>46</v>
      </c>
      <c r="V3" s="44" t="s">
        <v>47</v>
      </c>
      <c r="W3" s="44" t="s">
        <v>48</v>
      </c>
      <c r="X3" s="44" t="s">
        <v>49</v>
      </c>
    </row>
    <row r="4" spans="1:40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2"/>
      <c r="N4" s="43"/>
      <c r="O4" s="43"/>
      <c r="P4" s="44"/>
      <c r="Q4" s="46"/>
      <c r="R4" s="44"/>
      <c r="S4" s="44"/>
      <c r="T4" s="44"/>
      <c r="U4" s="44"/>
      <c r="V4" s="44"/>
      <c r="W4" s="44"/>
      <c r="X4" s="44"/>
    </row>
    <row r="5" s="4" customFormat="1" spans="1:40">
      <c r="A5" s="48">
        <v>110020001</v>
      </c>
      <c r="B5" s="49">
        <v>1</v>
      </c>
      <c r="C5" s="49" t="s">
        <v>50</v>
      </c>
      <c r="F5" s="4">
        <v>1100200</v>
      </c>
      <c r="G5" s="4">
        <v>1</v>
      </c>
      <c r="H5" s="4"/>
      <c r="I5" s="4" t="s">
        <v>51</v>
      </c>
      <c r="L5" s="37">
        <v>10</v>
      </c>
      <c r="M5" s="37" t="s">
        <v>52</v>
      </c>
      <c r="N5" s="38">
        <v>2003</v>
      </c>
      <c r="O5" s="38" t="s">
        <v>53</v>
      </c>
      <c r="P5" s="39"/>
      <c r="Q5" s="50"/>
      <c r="R5" s="50"/>
      <c r="S5" t="b">
        <v>0</v>
      </c>
      <c r="T5" s="50"/>
      <c r="U5" s="50">
        <v>70001</v>
      </c>
      <c r="V5" s="50"/>
      <c r="W5" s="50"/>
      <c r="X5" s="50"/>
      <c r="Y5" s="4" t="s">
        <v>54</v>
      </c>
      <c r="Z5" s="51" t="s">
        <v>55</v>
      </c>
      <c r="AA5" s="51">
        <v>11002</v>
      </c>
      <c r="AB5" s="51"/>
      <c r="AC5" s="51"/>
      <c r="AD5" s="51">
        <v>2003</v>
      </c>
      <c r="AE5" s="40">
        <v>300</v>
      </c>
      <c r="AF5" s="62" t="s">
        <v>56</v>
      </c>
      <c r="AG5" s="52">
        <v>10</v>
      </c>
      <c r="AH5" s="4">
        <v>1</v>
      </c>
      <c r="AI5" s="4"/>
      <c r="AJ5" s="4" t="s">
        <v>57</v>
      </c>
      <c r="AK5" s="4"/>
      <c r="AL5" s="4" t="s">
        <v>58</v>
      </c>
      <c r="AM5" s="4"/>
      <c r="AN5" s="4" t="s">
        <v>59</v>
      </c>
    </row>
    <row r="6" s="4" customFormat="1" spans="1:40">
      <c r="A6" s="48">
        <v>110020101</v>
      </c>
      <c r="B6" s="49">
        <v>1</v>
      </c>
      <c r="C6" s="49" t="s">
        <v>50</v>
      </c>
      <c r="F6" s="4">
        <v>1100201</v>
      </c>
      <c r="G6" s="4">
        <v>1</v>
      </c>
      <c r="H6" s="4"/>
      <c r="I6" s="4" t="s">
        <v>60</v>
      </c>
      <c r="L6" s="37">
        <v>50</v>
      </c>
      <c r="M6" s="37" t="s">
        <v>52</v>
      </c>
      <c r="N6" s="38">
        <v>2003</v>
      </c>
      <c r="O6" s="38" t="s">
        <v>53</v>
      </c>
      <c r="P6" s="39"/>
      <c r="Q6" s="50"/>
      <c r="R6" s="50"/>
      <c r="S6" t="b">
        <v>0</v>
      </c>
      <c r="T6" s="50"/>
      <c r="U6" s="50">
        <v>70002</v>
      </c>
      <c r="V6" s="50"/>
      <c r="W6" s="50"/>
      <c r="X6" s="50"/>
      <c r="Y6" s="4" t="s">
        <v>61</v>
      </c>
      <c r="Z6" s="51" t="s">
        <v>55</v>
      </c>
      <c r="AA6" s="51">
        <v>11002</v>
      </c>
      <c r="AB6" s="51"/>
      <c r="AC6" s="51"/>
      <c r="AD6" s="51">
        <v>2003</v>
      </c>
      <c r="AE6" s="40">
        <v>1400</v>
      </c>
      <c r="AF6" s="62" t="s">
        <v>62</v>
      </c>
      <c r="AG6" s="52">
        <v>50</v>
      </c>
      <c r="AH6" s="4">
        <v>2</v>
      </c>
      <c r="AI6" s="4"/>
      <c r="AJ6" s="4" t="s">
        <v>63</v>
      </c>
      <c r="AK6" s="4"/>
      <c r="AL6" s="4" t="s">
        <v>64</v>
      </c>
      <c r="AM6" s="4"/>
      <c r="AN6" s="4" t="s">
        <v>65</v>
      </c>
    </row>
    <row r="7" s="4" customFormat="1" spans="1:40">
      <c r="A7" s="48">
        <v>110020201</v>
      </c>
      <c r="B7" s="49">
        <v>1</v>
      </c>
      <c r="C7" s="49" t="s">
        <v>50</v>
      </c>
      <c r="F7" s="4">
        <v>1100202</v>
      </c>
      <c r="G7" s="4">
        <v>1</v>
      </c>
      <c r="H7" s="4"/>
      <c r="I7" s="4" t="s">
        <v>66</v>
      </c>
      <c r="L7" s="37">
        <v>99</v>
      </c>
      <c r="M7" s="37" t="s">
        <v>52</v>
      </c>
      <c r="N7" s="38">
        <v>2003</v>
      </c>
      <c r="O7" s="38" t="s">
        <v>53</v>
      </c>
      <c r="P7" s="39"/>
      <c r="Q7" s="50"/>
      <c r="R7" s="50"/>
      <c r="S7" t="b">
        <v>0</v>
      </c>
      <c r="T7" s="50"/>
      <c r="U7" s="50">
        <v>70003</v>
      </c>
      <c r="V7" s="50"/>
      <c r="W7" s="50"/>
      <c r="X7" s="50"/>
      <c r="Y7" s="4" t="s">
        <v>67</v>
      </c>
      <c r="Z7" s="51" t="s">
        <v>55</v>
      </c>
      <c r="AA7" s="51">
        <v>11002</v>
      </c>
      <c r="AB7" s="51"/>
      <c r="AC7" s="51"/>
      <c r="AD7" s="51">
        <v>2003</v>
      </c>
      <c r="AE7" s="40">
        <v>2800</v>
      </c>
      <c r="AF7" s="62" t="s">
        <v>68</v>
      </c>
      <c r="AG7" s="52">
        <v>99</v>
      </c>
      <c r="AH7" s="4">
        <v>3</v>
      </c>
      <c r="AI7" s="4"/>
      <c r="AJ7" s="4" t="s">
        <v>69</v>
      </c>
      <c r="AK7" s="4"/>
      <c r="AL7" s="4" t="s">
        <v>70</v>
      </c>
      <c r="AM7" s="4"/>
      <c r="AN7" s="4" t="s">
        <v>71</v>
      </c>
    </row>
    <row r="8" s="4" customFormat="1" spans="1:40">
      <c r="A8" s="48">
        <v>110020301</v>
      </c>
      <c r="B8" s="49">
        <v>1</v>
      </c>
      <c r="C8" s="49" t="s">
        <v>50</v>
      </c>
      <c r="F8" s="4">
        <v>1100203</v>
      </c>
      <c r="G8" s="4">
        <v>1</v>
      </c>
      <c r="H8" s="4"/>
      <c r="I8" s="4" t="s">
        <v>72</v>
      </c>
      <c r="L8" s="37">
        <v>297</v>
      </c>
      <c r="M8" s="37" t="s">
        <v>52</v>
      </c>
      <c r="N8" s="38">
        <v>2003</v>
      </c>
      <c r="O8" s="38" t="s">
        <v>53</v>
      </c>
      <c r="P8" s="39"/>
      <c r="Q8" s="50"/>
      <c r="R8" s="50"/>
      <c r="S8" t="b">
        <v>0</v>
      </c>
      <c r="T8" s="50"/>
      <c r="U8" s="50">
        <v>70004</v>
      </c>
      <c r="V8" s="50"/>
      <c r="W8" s="50"/>
      <c r="X8" s="50"/>
      <c r="Y8" s="4" t="s">
        <v>73</v>
      </c>
      <c r="Z8" s="51" t="s">
        <v>55</v>
      </c>
      <c r="AA8" s="51">
        <v>11002</v>
      </c>
      <c r="AB8" s="51"/>
      <c r="AC8" s="51"/>
      <c r="AD8" s="51">
        <v>2003</v>
      </c>
      <c r="AE8" s="40">
        <v>8500</v>
      </c>
      <c r="AF8" s="62" t="s">
        <v>74</v>
      </c>
      <c r="AG8" s="52">
        <v>297</v>
      </c>
      <c r="AH8" s="4">
        <v>4</v>
      </c>
      <c r="AI8" s="4"/>
      <c r="AJ8" s="4" t="s">
        <v>75</v>
      </c>
      <c r="AK8" s="4"/>
      <c r="AL8" s="4" t="s">
        <v>76</v>
      </c>
      <c r="AM8" s="4"/>
      <c r="AN8" s="4" t="s">
        <v>77</v>
      </c>
    </row>
    <row r="9" s="4" customFormat="1" spans="1:40">
      <c r="A9" s="48">
        <v>110020401</v>
      </c>
      <c r="B9" s="49">
        <v>1</v>
      </c>
      <c r="C9" s="49" t="s">
        <v>50</v>
      </c>
      <c r="F9" s="4">
        <v>1100204</v>
      </c>
      <c r="G9" s="4">
        <v>1</v>
      </c>
      <c r="I9" s="4" t="s">
        <v>78</v>
      </c>
      <c r="L9" s="37">
        <v>654</v>
      </c>
      <c r="M9" s="37" t="s">
        <v>52</v>
      </c>
      <c r="N9" s="38">
        <v>2003</v>
      </c>
      <c r="O9" s="38" t="s">
        <v>53</v>
      </c>
      <c r="P9" s="39"/>
      <c r="Q9" s="50"/>
      <c r="R9" s="50"/>
      <c r="S9" t="b">
        <v>0</v>
      </c>
      <c r="T9" s="50"/>
      <c r="U9" s="50">
        <v>70005</v>
      </c>
      <c r="V9" s="50"/>
      <c r="W9" s="50"/>
      <c r="X9" s="50"/>
      <c r="Y9" s="4" t="s">
        <v>79</v>
      </c>
      <c r="Z9" s="51" t="s">
        <v>55</v>
      </c>
      <c r="AA9" s="51">
        <v>11002</v>
      </c>
      <c r="AB9" s="51"/>
      <c r="AC9" s="51"/>
      <c r="AD9" s="51">
        <v>2003</v>
      </c>
      <c r="AE9" s="40">
        <v>18700</v>
      </c>
      <c r="AF9" s="62" t="s">
        <v>80</v>
      </c>
      <c r="AG9" s="52">
        <v>654</v>
      </c>
      <c r="AH9" s="4">
        <v>5</v>
      </c>
      <c r="AI9" s="4"/>
      <c r="AJ9" s="4" t="s">
        <v>81</v>
      </c>
      <c r="AL9" s="4" t="s">
        <v>82</v>
      </c>
      <c r="AN9" s="4" t="s">
        <v>83</v>
      </c>
    </row>
    <row r="10" s="4" customFormat="1" spans="1:40">
      <c r="A10" s="48">
        <v>110020501</v>
      </c>
      <c r="B10" s="49">
        <v>1</v>
      </c>
      <c r="C10" s="49" t="s">
        <v>50</v>
      </c>
      <c r="F10" s="4">
        <v>1100205</v>
      </c>
      <c r="G10" s="4">
        <v>1</v>
      </c>
      <c r="I10" s="4" t="s">
        <v>84</v>
      </c>
      <c r="L10" s="37">
        <v>991</v>
      </c>
      <c r="M10" s="37" t="s">
        <v>52</v>
      </c>
      <c r="N10" s="38">
        <v>2003</v>
      </c>
      <c r="O10" s="38" t="s">
        <v>53</v>
      </c>
      <c r="P10" s="39"/>
      <c r="Q10" s="50"/>
      <c r="R10" s="50"/>
      <c r="S10" t="b">
        <v>0</v>
      </c>
      <c r="T10" s="50"/>
      <c r="U10" s="50">
        <v>70006</v>
      </c>
      <c r="V10" s="50"/>
      <c r="W10" s="50"/>
      <c r="X10" s="50"/>
      <c r="Y10" s="4" t="s">
        <v>85</v>
      </c>
      <c r="Z10" s="51" t="s">
        <v>55</v>
      </c>
      <c r="AA10" s="51">
        <v>11002</v>
      </c>
      <c r="AB10" s="51"/>
      <c r="AC10" s="51"/>
      <c r="AD10" s="51">
        <v>2003</v>
      </c>
      <c r="AE10" s="40">
        <v>28300</v>
      </c>
      <c r="AF10" s="62" t="s">
        <v>86</v>
      </c>
      <c r="AG10" s="52">
        <v>991</v>
      </c>
      <c r="AH10" s="4">
        <v>6</v>
      </c>
      <c r="AI10" s="4"/>
      <c r="AJ10" s="4" t="s">
        <v>87</v>
      </c>
      <c r="AL10" s="4" t="s">
        <v>88</v>
      </c>
      <c r="AN10" s="4" t="s">
        <v>89</v>
      </c>
    </row>
    <row r="11" s="4" customFormat="1" spans="1:40">
      <c r="A11" s="48">
        <v>120010001</v>
      </c>
      <c r="B11" s="49">
        <v>1</v>
      </c>
      <c r="C11" s="49" t="s">
        <v>50</v>
      </c>
      <c r="F11" s="4">
        <v>1200100</v>
      </c>
      <c r="G11" s="4">
        <v>1</v>
      </c>
      <c r="H11" s="4"/>
      <c r="I11" s="4" t="s">
        <v>90</v>
      </c>
      <c r="L11" s="37">
        <v>24</v>
      </c>
      <c r="M11" s="37" t="s">
        <v>52</v>
      </c>
      <c r="N11" s="38">
        <v>11007</v>
      </c>
      <c r="O11" s="38" t="s">
        <v>91</v>
      </c>
      <c r="P11" s="39"/>
      <c r="Q11" s="50"/>
      <c r="R11" s="50"/>
      <c r="S11" t="b">
        <v>0</v>
      </c>
      <c r="T11" s="50"/>
      <c r="U11" s="50">
        <v>71001</v>
      </c>
      <c r="V11" s="50"/>
      <c r="W11" s="50"/>
      <c r="X11" s="50"/>
      <c r="Y11" s="4" t="s">
        <v>92</v>
      </c>
      <c r="Z11" s="4" t="s">
        <v>93</v>
      </c>
      <c r="AA11" s="4">
        <v>12001</v>
      </c>
      <c r="AB11" s="51" t="s">
        <v>94</v>
      </c>
      <c r="AC11" s="51">
        <v>100700</v>
      </c>
      <c r="AD11" s="51">
        <v>11007</v>
      </c>
      <c r="AE11" s="40">
        <v>144000</v>
      </c>
      <c r="AF11" s="62" t="s">
        <v>95</v>
      </c>
      <c r="AG11" s="52">
        <v>24</v>
      </c>
      <c r="AH11" s="4">
        <v>1</v>
      </c>
      <c r="AI11" s="4" t="s">
        <v>96</v>
      </c>
      <c r="AJ11" s="4" t="s">
        <v>97</v>
      </c>
      <c r="AK11" s="4" t="s">
        <v>98</v>
      </c>
      <c r="AL11" s="4" t="s">
        <v>99</v>
      </c>
      <c r="AM11" s="4" t="s">
        <v>100</v>
      </c>
      <c r="AN11" s="4" t="s">
        <v>101</v>
      </c>
    </row>
    <row r="12" s="4" customFormat="1" spans="1:40">
      <c r="A12" s="48">
        <v>120010002</v>
      </c>
      <c r="B12" s="49">
        <v>1</v>
      </c>
      <c r="C12" s="49" t="s">
        <v>50</v>
      </c>
      <c r="F12" s="4">
        <v>1200100</v>
      </c>
      <c r="G12" s="4">
        <v>2</v>
      </c>
      <c r="H12" s="4"/>
      <c r="I12" s="4" t="s">
        <v>102</v>
      </c>
      <c r="L12" s="37">
        <v>24</v>
      </c>
      <c r="M12" s="37" t="s">
        <v>52</v>
      </c>
      <c r="N12" s="38">
        <v>11003</v>
      </c>
      <c r="O12" s="38" t="s">
        <v>103</v>
      </c>
      <c r="P12" s="39"/>
      <c r="Q12" s="50"/>
      <c r="R12" s="50"/>
      <c r="S12" t="b">
        <v>0</v>
      </c>
      <c r="T12" s="50"/>
      <c r="U12" s="50">
        <v>71002</v>
      </c>
      <c r="V12" s="50"/>
      <c r="W12" s="50"/>
      <c r="X12" s="50"/>
      <c r="Y12" s="4" t="s">
        <v>104</v>
      </c>
      <c r="Z12" s="4" t="s">
        <v>93</v>
      </c>
      <c r="AA12" s="4">
        <v>12001</v>
      </c>
      <c r="AB12" s="51" t="s">
        <v>105</v>
      </c>
      <c r="AC12" s="51">
        <v>100300</v>
      </c>
      <c r="AD12" s="51">
        <v>11003</v>
      </c>
      <c r="AE12" s="40">
        <v>144000</v>
      </c>
      <c r="AF12" s="62" t="s">
        <v>95</v>
      </c>
      <c r="AG12" s="52">
        <v>24</v>
      </c>
      <c r="AH12" s="4">
        <v>1</v>
      </c>
      <c r="AI12" s="4" t="s">
        <v>106</v>
      </c>
      <c r="AJ12" s="4" t="s">
        <v>107</v>
      </c>
      <c r="AK12" s="4" t="s">
        <v>108</v>
      </c>
      <c r="AL12" s="4" t="s">
        <v>109</v>
      </c>
      <c r="AM12" s="4" t="s">
        <v>106</v>
      </c>
      <c r="AN12" s="4" t="s">
        <v>110</v>
      </c>
    </row>
    <row r="13" s="4" customFormat="1" spans="1:40">
      <c r="A13" s="48">
        <v>120010003</v>
      </c>
      <c r="B13" s="49">
        <v>1</v>
      </c>
      <c r="C13" s="49" t="s">
        <v>50</v>
      </c>
      <c r="F13" s="4">
        <v>1200100</v>
      </c>
      <c r="G13" s="4">
        <v>3</v>
      </c>
      <c r="H13" s="4"/>
      <c r="I13" s="4" t="s">
        <v>111</v>
      </c>
      <c r="L13" s="37">
        <v>24</v>
      </c>
      <c r="M13" s="37" t="s">
        <v>52</v>
      </c>
      <c r="N13" s="38">
        <v>11012</v>
      </c>
      <c r="O13" s="38" t="s">
        <v>112</v>
      </c>
      <c r="P13" s="39"/>
      <c r="Q13" s="50"/>
      <c r="R13" s="50"/>
      <c r="S13" t="b">
        <v>0</v>
      </c>
      <c r="T13" s="50"/>
      <c r="U13" s="50">
        <v>71003</v>
      </c>
      <c r="V13" s="50"/>
      <c r="W13" s="50"/>
      <c r="X13" s="50"/>
      <c r="Y13" s="4" t="s">
        <v>113</v>
      </c>
      <c r="Z13" s="4" t="s">
        <v>93</v>
      </c>
      <c r="AA13" s="4">
        <v>12001</v>
      </c>
      <c r="AB13" s="51" t="s">
        <v>114</v>
      </c>
      <c r="AC13" s="51">
        <v>101200</v>
      </c>
      <c r="AD13" s="51">
        <v>11012</v>
      </c>
      <c r="AE13" s="40">
        <v>144000</v>
      </c>
      <c r="AF13" s="62" t="s">
        <v>95</v>
      </c>
      <c r="AG13" s="52">
        <v>24</v>
      </c>
      <c r="AH13" s="4">
        <v>1</v>
      </c>
      <c r="AI13" s="4" t="s">
        <v>115</v>
      </c>
      <c r="AJ13" s="4" t="s">
        <v>116</v>
      </c>
      <c r="AK13" s="4" t="s">
        <v>117</v>
      </c>
      <c r="AL13" s="4" t="s">
        <v>118</v>
      </c>
      <c r="AM13" s="4" t="s">
        <v>115</v>
      </c>
      <c r="AN13" s="4" t="s">
        <v>119</v>
      </c>
    </row>
    <row r="14" s="4" customFormat="1" spans="1:40">
      <c r="A14" s="48">
        <v>120010004</v>
      </c>
      <c r="B14" s="49">
        <v>1</v>
      </c>
      <c r="C14" s="49" t="s">
        <v>50</v>
      </c>
      <c r="F14" s="4">
        <v>1200100</v>
      </c>
      <c r="G14" s="4">
        <v>4</v>
      </c>
      <c r="H14" s="4"/>
      <c r="I14" s="4" t="s">
        <v>120</v>
      </c>
      <c r="L14" s="37">
        <v>24</v>
      </c>
      <c r="M14" s="37" t="s">
        <v>52</v>
      </c>
      <c r="N14" s="38">
        <v>11014</v>
      </c>
      <c r="O14" s="38" t="s">
        <v>121</v>
      </c>
      <c r="P14" s="39"/>
      <c r="Q14" s="50"/>
      <c r="R14" s="50"/>
      <c r="S14" t="b">
        <v>0</v>
      </c>
      <c r="T14" s="50"/>
      <c r="U14" s="50">
        <v>71004</v>
      </c>
      <c r="V14" s="50"/>
      <c r="W14" s="50"/>
      <c r="X14" s="50"/>
      <c r="Y14" s="4" t="s">
        <v>122</v>
      </c>
      <c r="Z14" s="4" t="s">
        <v>93</v>
      </c>
      <c r="AA14" s="4">
        <v>12001</v>
      </c>
      <c r="AB14" s="51" t="s">
        <v>123</v>
      </c>
      <c r="AC14" s="51">
        <v>101400</v>
      </c>
      <c r="AD14" s="51">
        <v>11014</v>
      </c>
      <c r="AE14" s="40">
        <v>144000</v>
      </c>
      <c r="AF14" s="62" t="s">
        <v>95</v>
      </c>
      <c r="AG14" s="52">
        <v>24</v>
      </c>
      <c r="AH14" s="4">
        <v>1</v>
      </c>
      <c r="AI14" s="4" t="s">
        <v>124</v>
      </c>
      <c r="AJ14" s="4" t="s">
        <v>125</v>
      </c>
      <c r="AK14" s="4" t="s">
        <v>126</v>
      </c>
      <c r="AL14" s="4" t="s">
        <v>127</v>
      </c>
      <c r="AM14" s="4" t="s">
        <v>128</v>
      </c>
      <c r="AN14" s="4" t="s">
        <v>129</v>
      </c>
    </row>
    <row r="15" s="4" customFormat="1" spans="1:40">
      <c r="A15" s="48">
        <v>120010005</v>
      </c>
      <c r="B15" s="49">
        <v>1</v>
      </c>
      <c r="C15" s="49" t="s">
        <v>50</v>
      </c>
      <c r="F15" s="4">
        <v>1200100</v>
      </c>
      <c r="G15" s="4">
        <v>5</v>
      </c>
      <c r="H15" s="4"/>
      <c r="I15" s="4" t="s">
        <v>130</v>
      </c>
      <c r="L15" s="37">
        <v>24</v>
      </c>
      <c r="M15" s="37" t="s">
        <v>52</v>
      </c>
      <c r="N15" s="38">
        <v>11003</v>
      </c>
      <c r="O15" s="38" t="s">
        <v>131</v>
      </c>
      <c r="P15" s="39"/>
      <c r="Q15" s="50"/>
      <c r="R15" s="50"/>
      <c r="S15" t="b">
        <v>0</v>
      </c>
      <c r="T15" s="50"/>
      <c r="U15" s="50">
        <v>71005</v>
      </c>
      <c r="V15" s="50"/>
      <c r="W15" s="50"/>
      <c r="X15" s="50"/>
      <c r="Y15" s="4" t="s">
        <v>132</v>
      </c>
      <c r="Z15" s="4" t="s">
        <v>133</v>
      </c>
      <c r="AA15" s="4">
        <v>12001</v>
      </c>
      <c r="AB15" s="51" t="s">
        <v>134</v>
      </c>
      <c r="AC15" s="51">
        <v>0</v>
      </c>
      <c r="AD15" s="51">
        <v>11003</v>
      </c>
      <c r="AE15" s="40">
        <v>144000</v>
      </c>
      <c r="AF15" s="62" t="s">
        <v>95</v>
      </c>
      <c r="AG15" s="52">
        <v>24</v>
      </c>
      <c r="AH15" s="4">
        <v>1</v>
      </c>
      <c r="AI15" s="4" t="s">
        <v>135</v>
      </c>
      <c r="AJ15" s="4" t="s">
        <v>136</v>
      </c>
      <c r="AK15" s="4" t="s">
        <v>137</v>
      </c>
      <c r="AL15" s="4" t="s">
        <v>138</v>
      </c>
      <c r="AM15" s="4" t="s">
        <v>139</v>
      </c>
      <c r="AN15" s="4" t="s">
        <v>140</v>
      </c>
    </row>
    <row r="16" s="4" customFormat="1" spans="1:40">
      <c r="A16" s="48">
        <v>120010006</v>
      </c>
      <c r="B16" s="49">
        <v>1</v>
      </c>
      <c r="C16" s="49" t="s">
        <v>50</v>
      </c>
      <c r="F16" s="4">
        <v>1200100</v>
      </c>
      <c r="G16" s="4">
        <v>6</v>
      </c>
      <c r="H16" s="4"/>
      <c r="I16" s="4" t="s">
        <v>141</v>
      </c>
      <c r="L16" s="37">
        <v>24</v>
      </c>
      <c r="M16" s="37" t="s">
        <v>52</v>
      </c>
      <c r="N16" s="38">
        <v>11017</v>
      </c>
      <c r="O16" s="38" t="s">
        <v>142</v>
      </c>
      <c r="P16" s="39"/>
      <c r="Q16" s="50"/>
      <c r="R16" s="50"/>
      <c r="S16" t="b">
        <v>0</v>
      </c>
      <c r="T16" s="50"/>
      <c r="U16" s="50">
        <v>71006</v>
      </c>
      <c r="V16" s="50"/>
      <c r="W16" s="50"/>
      <c r="X16" s="50"/>
      <c r="Y16" s="4" t="s">
        <v>143</v>
      </c>
      <c r="Z16" s="4" t="s">
        <v>133</v>
      </c>
      <c r="AA16" s="4">
        <v>12001</v>
      </c>
      <c r="AB16" s="51" t="s">
        <v>144</v>
      </c>
      <c r="AC16" s="51">
        <v>101700</v>
      </c>
      <c r="AD16" s="51">
        <v>11017</v>
      </c>
      <c r="AE16" s="40">
        <v>144000</v>
      </c>
      <c r="AF16" s="62" t="s">
        <v>95</v>
      </c>
      <c r="AG16" s="52">
        <v>24</v>
      </c>
      <c r="AH16" s="4">
        <v>1</v>
      </c>
      <c r="AI16" s="4" t="s">
        <v>145</v>
      </c>
      <c r="AJ16" s="4" t="s">
        <v>146</v>
      </c>
      <c r="AK16" s="4" t="s">
        <v>147</v>
      </c>
      <c r="AL16" s="4" t="s">
        <v>148</v>
      </c>
      <c r="AM16" s="4" t="s">
        <v>149</v>
      </c>
      <c r="AN16" s="4" t="s">
        <v>150</v>
      </c>
    </row>
    <row r="17" s="4" customFormat="1" spans="1:40">
      <c r="A17" s="48">
        <v>120010007</v>
      </c>
      <c r="B17" s="49">
        <v>1</v>
      </c>
      <c r="C17" s="49" t="s">
        <v>50</v>
      </c>
      <c r="F17" s="4">
        <v>1200100</v>
      </c>
      <c r="G17" s="4">
        <v>7</v>
      </c>
      <c r="H17" s="4"/>
      <c r="I17" s="4" t="s">
        <v>151</v>
      </c>
      <c r="L17" s="37">
        <v>24</v>
      </c>
      <c r="M17" s="37" t="s">
        <v>52</v>
      </c>
      <c r="N17" s="38">
        <v>11021</v>
      </c>
      <c r="O17" s="38" t="s">
        <v>152</v>
      </c>
      <c r="P17" s="39"/>
      <c r="Q17" s="50"/>
      <c r="R17" s="50"/>
      <c r="S17" t="b">
        <v>0</v>
      </c>
      <c r="T17" s="50"/>
      <c r="U17" s="50">
        <v>71007</v>
      </c>
      <c r="V17" s="50"/>
      <c r="W17" s="50"/>
      <c r="X17" s="50"/>
      <c r="Y17" s="4" t="s">
        <v>153</v>
      </c>
      <c r="Z17" s="4" t="s">
        <v>133</v>
      </c>
      <c r="AA17" s="4">
        <v>12001</v>
      </c>
      <c r="AB17" s="51" t="s">
        <v>154</v>
      </c>
      <c r="AC17" s="51">
        <v>102100</v>
      </c>
      <c r="AD17" s="51">
        <v>11021</v>
      </c>
      <c r="AE17" s="40">
        <v>144000</v>
      </c>
      <c r="AF17" s="62" t="s">
        <v>95</v>
      </c>
      <c r="AG17" s="52">
        <v>24</v>
      </c>
      <c r="AH17" s="4">
        <v>1</v>
      </c>
      <c r="AI17" s="4" t="s">
        <v>155</v>
      </c>
      <c r="AJ17" s="4" t="s">
        <v>156</v>
      </c>
      <c r="AK17" s="4" t="s">
        <v>157</v>
      </c>
      <c r="AL17" s="4" t="s">
        <v>158</v>
      </c>
      <c r="AM17" s="4" t="s">
        <v>159</v>
      </c>
      <c r="AN17" s="4" t="s">
        <v>160</v>
      </c>
    </row>
    <row r="18" s="4" customFormat="1" spans="1:40">
      <c r="A18" s="48">
        <v>120010008</v>
      </c>
      <c r="B18" s="49">
        <v>1</v>
      </c>
      <c r="C18" s="49" t="s">
        <v>50</v>
      </c>
      <c r="F18" s="4">
        <v>1200100</v>
      </c>
      <c r="G18" s="4">
        <v>8</v>
      </c>
      <c r="H18" s="4"/>
      <c r="I18" s="4" t="s">
        <v>161</v>
      </c>
      <c r="L18" s="37">
        <v>24</v>
      </c>
      <c r="M18" s="37" t="s">
        <v>52</v>
      </c>
      <c r="N18" s="38">
        <v>11022</v>
      </c>
      <c r="O18" s="38" t="s">
        <v>162</v>
      </c>
      <c r="P18" s="39"/>
      <c r="Q18" s="50"/>
      <c r="R18" s="50"/>
      <c r="S18" t="b">
        <v>0</v>
      </c>
      <c r="T18" s="50"/>
      <c r="U18" s="50">
        <v>71008</v>
      </c>
      <c r="V18" s="50"/>
      <c r="W18" s="50"/>
      <c r="X18" s="50"/>
      <c r="Y18" s="4" t="s">
        <v>163</v>
      </c>
      <c r="Z18" s="4" t="s">
        <v>133</v>
      </c>
      <c r="AA18" s="4">
        <v>12001</v>
      </c>
      <c r="AB18" s="51" t="s">
        <v>164</v>
      </c>
      <c r="AC18" s="51">
        <v>102200</v>
      </c>
      <c r="AD18" s="51">
        <v>11022</v>
      </c>
      <c r="AE18" s="40">
        <v>144000</v>
      </c>
      <c r="AF18" s="62" t="s">
        <v>95</v>
      </c>
      <c r="AG18" s="52">
        <v>24</v>
      </c>
      <c r="AH18" s="4">
        <v>1</v>
      </c>
      <c r="AI18" s="4" t="s">
        <v>165</v>
      </c>
      <c r="AJ18" s="4" t="s">
        <v>166</v>
      </c>
      <c r="AK18" s="4" t="s">
        <v>167</v>
      </c>
      <c r="AL18" s="4" t="s">
        <v>168</v>
      </c>
      <c r="AM18" s="4" t="s">
        <v>165</v>
      </c>
      <c r="AN18" s="4" t="s">
        <v>169</v>
      </c>
    </row>
    <row r="19" s="4" customFormat="1" spans="1:40">
      <c r="A19" s="48">
        <v>120010009</v>
      </c>
      <c r="B19" s="49">
        <v>1</v>
      </c>
      <c r="C19" s="49" t="s">
        <v>50</v>
      </c>
      <c r="F19" s="4">
        <v>1200100</v>
      </c>
      <c r="G19" s="4">
        <v>9</v>
      </c>
      <c r="H19" s="4"/>
      <c r="I19" s="4" t="s">
        <v>170</v>
      </c>
      <c r="L19" s="37">
        <v>24</v>
      </c>
      <c r="M19" s="37" t="s">
        <v>52</v>
      </c>
      <c r="N19" s="38">
        <v>11023</v>
      </c>
      <c r="O19" s="38" t="s">
        <v>171</v>
      </c>
      <c r="P19" s="39"/>
      <c r="Q19" s="50"/>
      <c r="R19" s="50"/>
      <c r="S19" t="b">
        <v>0</v>
      </c>
      <c r="T19" s="50"/>
      <c r="U19" s="50">
        <v>71009</v>
      </c>
      <c r="V19" s="50"/>
      <c r="W19" s="50"/>
      <c r="X19" s="50"/>
      <c r="Y19" s="4" t="s">
        <v>172</v>
      </c>
      <c r="Z19" s="4" t="s">
        <v>133</v>
      </c>
      <c r="AA19" s="4">
        <v>12001</v>
      </c>
      <c r="AB19" s="51" t="s">
        <v>173</v>
      </c>
      <c r="AC19" s="51">
        <v>102300</v>
      </c>
      <c r="AD19" s="51">
        <v>11023</v>
      </c>
      <c r="AE19" s="40">
        <v>144000</v>
      </c>
      <c r="AF19" s="62" t="s">
        <v>95</v>
      </c>
      <c r="AG19" s="52">
        <v>24</v>
      </c>
      <c r="AH19" s="4">
        <v>1</v>
      </c>
      <c r="AI19" s="4" t="s">
        <v>174</v>
      </c>
      <c r="AJ19" s="4" t="s">
        <v>175</v>
      </c>
      <c r="AK19" s="4" t="s">
        <v>176</v>
      </c>
      <c r="AL19" s="4" t="s">
        <v>177</v>
      </c>
      <c r="AM19" s="4" t="s">
        <v>178</v>
      </c>
      <c r="AN19" s="4" t="s">
        <v>179</v>
      </c>
    </row>
    <row r="20" s="4" customFormat="1" spans="1:40">
      <c r="A20" s="48">
        <v>120010010</v>
      </c>
      <c r="B20" s="49">
        <v>1</v>
      </c>
      <c r="C20" s="49" t="s">
        <v>50</v>
      </c>
      <c r="F20" s="4">
        <v>1200100</v>
      </c>
      <c r="G20" s="4">
        <v>10</v>
      </c>
      <c r="H20" s="4"/>
      <c r="I20" s="4" t="s">
        <v>180</v>
      </c>
      <c r="L20" s="37">
        <v>24</v>
      </c>
      <c r="M20" s="37" t="s">
        <v>52</v>
      </c>
      <c r="N20" s="38">
        <v>11024</v>
      </c>
      <c r="O20" s="38" t="s">
        <v>181</v>
      </c>
      <c r="P20" s="39"/>
      <c r="Q20" s="50"/>
      <c r="R20" s="50"/>
      <c r="S20" t="b">
        <v>0</v>
      </c>
      <c r="T20" s="50"/>
      <c r="U20" s="50">
        <v>71010</v>
      </c>
      <c r="V20" s="50"/>
      <c r="W20" s="50"/>
      <c r="X20" s="50"/>
      <c r="Y20" s="4" t="s">
        <v>182</v>
      </c>
      <c r="Z20" s="4" t="s">
        <v>133</v>
      </c>
      <c r="AA20" s="4">
        <v>12001</v>
      </c>
      <c r="AB20" s="51" t="s">
        <v>183</v>
      </c>
      <c r="AC20" s="51">
        <v>102400</v>
      </c>
      <c r="AD20" s="51">
        <v>11024</v>
      </c>
      <c r="AE20" s="40">
        <v>144000</v>
      </c>
      <c r="AF20" s="62" t="s">
        <v>95</v>
      </c>
      <c r="AG20" s="52">
        <v>24</v>
      </c>
      <c r="AH20" s="4">
        <v>1</v>
      </c>
      <c r="AI20" s="4" t="s">
        <v>184</v>
      </c>
      <c r="AJ20" s="4" t="s">
        <v>185</v>
      </c>
      <c r="AK20" s="4" t="s">
        <v>186</v>
      </c>
      <c r="AL20" s="4" t="s">
        <v>187</v>
      </c>
      <c r="AM20" s="4" t="s">
        <v>188</v>
      </c>
      <c r="AN20" s="4" t="s">
        <v>189</v>
      </c>
    </row>
    <row r="21" s="4" customFormat="1" spans="1:40">
      <c r="A21" s="48">
        <v>120010101</v>
      </c>
      <c r="B21" s="49">
        <v>1</v>
      </c>
      <c r="C21" s="49" t="s">
        <v>50</v>
      </c>
      <c r="F21" s="4">
        <v>1200101</v>
      </c>
      <c r="G21" s="4">
        <v>1</v>
      </c>
      <c r="H21" s="4"/>
      <c r="I21" s="4" t="s">
        <v>190</v>
      </c>
      <c r="L21" s="37">
        <v>119</v>
      </c>
      <c r="M21" s="37" t="s">
        <v>52</v>
      </c>
      <c r="N21" s="38">
        <v>11007</v>
      </c>
      <c r="O21" s="38" t="s">
        <v>91</v>
      </c>
      <c r="P21" s="39"/>
      <c r="Q21" s="50"/>
      <c r="R21" s="50"/>
      <c r="S21" t="b">
        <v>0</v>
      </c>
      <c r="T21" s="50"/>
      <c r="U21" s="50">
        <v>71101</v>
      </c>
      <c r="V21" s="50"/>
      <c r="W21" s="50"/>
      <c r="X21" s="50"/>
      <c r="Y21" s="4" t="s">
        <v>191</v>
      </c>
      <c r="Z21" s="4" t="s">
        <v>93</v>
      </c>
      <c r="AA21" s="4">
        <v>12001</v>
      </c>
      <c r="AB21" s="51" t="s">
        <v>94</v>
      </c>
      <c r="AC21" s="51">
        <v>100700</v>
      </c>
      <c r="AD21" s="51">
        <v>11007</v>
      </c>
      <c r="AE21" s="40">
        <v>713000</v>
      </c>
      <c r="AF21" s="62" t="s">
        <v>192</v>
      </c>
      <c r="AG21" s="52">
        <v>119</v>
      </c>
      <c r="AH21" s="4">
        <v>2</v>
      </c>
      <c r="AI21" s="4" t="s">
        <v>96</v>
      </c>
      <c r="AJ21" s="4" t="s">
        <v>193</v>
      </c>
      <c r="AK21" s="4" t="s">
        <v>98</v>
      </c>
      <c r="AL21" s="4" t="s">
        <v>194</v>
      </c>
      <c r="AM21" s="4" t="s">
        <v>100</v>
      </c>
      <c r="AN21" s="4" t="s">
        <v>195</v>
      </c>
    </row>
    <row r="22" s="4" customFormat="1" spans="1:40">
      <c r="A22" s="48">
        <v>120010102</v>
      </c>
      <c r="B22" s="49">
        <v>1</v>
      </c>
      <c r="C22" s="49" t="s">
        <v>50</v>
      </c>
      <c r="F22" s="4">
        <v>1200101</v>
      </c>
      <c r="G22" s="4">
        <v>2</v>
      </c>
      <c r="H22" s="4"/>
      <c r="I22" s="4" t="s">
        <v>196</v>
      </c>
      <c r="L22" s="37">
        <v>119</v>
      </c>
      <c r="M22" s="37" t="s">
        <v>52</v>
      </c>
      <c r="N22" s="38">
        <v>11003</v>
      </c>
      <c r="O22" s="38" t="s">
        <v>103</v>
      </c>
      <c r="P22" s="39"/>
      <c r="Q22" s="50"/>
      <c r="R22" s="50"/>
      <c r="S22" t="b">
        <v>0</v>
      </c>
      <c r="T22" s="50"/>
      <c r="U22" s="50">
        <v>71102</v>
      </c>
      <c r="V22" s="50"/>
      <c r="W22" s="50"/>
      <c r="X22" s="50"/>
      <c r="Y22" s="4" t="s">
        <v>197</v>
      </c>
      <c r="Z22" s="4" t="s">
        <v>93</v>
      </c>
      <c r="AA22" s="4">
        <v>12001</v>
      </c>
      <c r="AB22" s="51" t="s">
        <v>105</v>
      </c>
      <c r="AC22" s="51">
        <v>100300</v>
      </c>
      <c r="AD22" s="51">
        <v>11003</v>
      </c>
      <c r="AE22" s="40">
        <v>713000</v>
      </c>
      <c r="AF22" s="62" t="s">
        <v>192</v>
      </c>
      <c r="AG22" s="52">
        <v>119</v>
      </c>
      <c r="AH22" s="4">
        <v>2</v>
      </c>
      <c r="AI22" s="4" t="s">
        <v>106</v>
      </c>
      <c r="AJ22" s="4" t="s">
        <v>198</v>
      </c>
      <c r="AK22" s="4" t="s">
        <v>108</v>
      </c>
      <c r="AL22" s="4" t="s">
        <v>199</v>
      </c>
      <c r="AM22" s="4" t="s">
        <v>106</v>
      </c>
      <c r="AN22" s="4" t="s">
        <v>200</v>
      </c>
    </row>
    <row r="23" s="4" customFormat="1" spans="1:40">
      <c r="A23" s="48">
        <v>120010103</v>
      </c>
      <c r="B23" s="49">
        <v>1</v>
      </c>
      <c r="C23" s="49" t="s">
        <v>50</v>
      </c>
      <c r="F23" s="4">
        <v>1200101</v>
      </c>
      <c r="G23" s="4">
        <v>3</v>
      </c>
      <c r="H23" s="4"/>
      <c r="I23" s="4" t="s">
        <v>201</v>
      </c>
      <c r="L23" s="37">
        <v>119</v>
      </c>
      <c r="M23" s="37" t="s">
        <v>52</v>
      </c>
      <c r="N23" s="38">
        <v>11012</v>
      </c>
      <c r="O23" s="38" t="s">
        <v>112</v>
      </c>
      <c r="P23" s="39"/>
      <c r="Q23" s="50"/>
      <c r="R23" s="50"/>
      <c r="S23" t="b">
        <v>0</v>
      </c>
      <c r="T23" s="50"/>
      <c r="U23" s="50">
        <v>71103</v>
      </c>
      <c r="V23" s="50"/>
      <c r="W23" s="50"/>
      <c r="X23" s="50"/>
      <c r="Y23" s="4" t="s">
        <v>202</v>
      </c>
      <c r="Z23" s="4" t="s">
        <v>93</v>
      </c>
      <c r="AA23" s="4">
        <v>12001</v>
      </c>
      <c r="AB23" s="51" t="s">
        <v>114</v>
      </c>
      <c r="AC23" s="51">
        <v>101200</v>
      </c>
      <c r="AD23" s="51">
        <v>11012</v>
      </c>
      <c r="AE23" s="40">
        <v>713000</v>
      </c>
      <c r="AF23" s="62" t="s">
        <v>192</v>
      </c>
      <c r="AG23" s="52">
        <v>119</v>
      </c>
      <c r="AH23" s="4">
        <v>2</v>
      </c>
      <c r="AI23" s="4" t="s">
        <v>115</v>
      </c>
      <c r="AJ23" s="4" t="s">
        <v>203</v>
      </c>
      <c r="AK23" s="4" t="s">
        <v>117</v>
      </c>
      <c r="AL23" s="4" t="s">
        <v>204</v>
      </c>
      <c r="AM23" s="4" t="s">
        <v>115</v>
      </c>
      <c r="AN23" s="4" t="s">
        <v>205</v>
      </c>
    </row>
    <row r="24" s="4" customFormat="1" spans="1:40">
      <c r="A24" s="48">
        <v>120010104</v>
      </c>
      <c r="B24" s="49">
        <v>1</v>
      </c>
      <c r="C24" s="49" t="s">
        <v>50</v>
      </c>
      <c r="F24" s="4">
        <v>1200101</v>
      </c>
      <c r="G24" s="4">
        <v>4</v>
      </c>
      <c r="H24" s="4"/>
      <c r="I24" s="4" t="s">
        <v>206</v>
      </c>
      <c r="L24" s="37">
        <v>119</v>
      </c>
      <c r="M24" s="37" t="s">
        <v>52</v>
      </c>
      <c r="N24" s="38">
        <v>11014</v>
      </c>
      <c r="O24" s="38" t="s">
        <v>121</v>
      </c>
      <c r="P24" s="39"/>
      <c r="Q24" s="50"/>
      <c r="R24" s="50"/>
      <c r="S24" t="b">
        <v>0</v>
      </c>
      <c r="T24" s="50"/>
      <c r="U24" s="50">
        <v>71104</v>
      </c>
      <c r="V24" s="50"/>
      <c r="W24" s="50"/>
      <c r="X24" s="50"/>
      <c r="Y24" s="4" t="s">
        <v>207</v>
      </c>
      <c r="Z24" s="4" t="s">
        <v>93</v>
      </c>
      <c r="AA24" s="4">
        <v>12001</v>
      </c>
      <c r="AB24" s="51" t="s">
        <v>123</v>
      </c>
      <c r="AC24" s="51">
        <v>101400</v>
      </c>
      <c r="AD24" s="51">
        <v>11014</v>
      </c>
      <c r="AE24" s="40">
        <v>713000</v>
      </c>
      <c r="AF24" s="62" t="s">
        <v>192</v>
      </c>
      <c r="AG24" s="52">
        <v>119</v>
      </c>
      <c r="AH24" s="4">
        <v>2</v>
      </c>
      <c r="AI24" s="4" t="s">
        <v>124</v>
      </c>
      <c r="AJ24" s="4" t="s">
        <v>208</v>
      </c>
      <c r="AK24" s="4" t="s">
        <v>126</v>
      </c>
      <c r="AL24" s="4" t="s">
        <v>209</v>
      </c>
      <c r="AM24" s="4" t="s">
        <v>128</v>
      </c>
      <c r="AN24" s="4" t="s">
        <v>210</v>
      </c>
    </row>
    <row r="25" s="4" customFormat="1" spans="1:40">
      <c r="A25" s="48">
        <v>120010105</v>
      </c>
      <c r="B25" s="49">
        <v>1</v>
      </c>
      <c r="C25" s="49" t="s">
        <v>50</v>
      </c>
      <c r="F25" s="4">
        <v>1200101</v>
      </c>
      <c r="G25" s="4">
        <v>5</v>
      </c>
      <c r="H25" s="4"/>
      <c r="I25" s="4" t="s">
        <v>211</v>
      </c>
      <c r="L25" s="37">
        <v>119</v>
      </c>
      <c r="M25" s="37" t="s">
        <v>52</v>
      </c>
      <c r="N25" s="38">
        <v>11003</v>
      </c>
      <c r="O25" s="38" t="s">
        <v>131</v>
      </c>
      <c r="P25" s="39"/>
      <c r="Q25" s="50"/>
      <c r="R25" s="50"/>
      <c r="S25" t="b">
        <v>0</v>
      </c>
      <c r="T25" s="50"/>
      <c r="U25" s="50">
        <v>71105</v>
      </c>
      <c r="V25" s="50"/>
      <c r="W25" s="50"/>
      <c r="X25" s="50"/>
      <c r="Y25" s="4" t="s">
        <v>212</v>
      </c>
      <c r="Z25" s="4" t="s">
        <v>133</v>
      </c>
      <c r="AA25" s="4">
        <v>12001</v>
      </c>
      <c r="AB25" s="51" t="s">
        <v>134</v>
      </c>
      <c r="AC25" s="51">
        <v>0</v>
      </c>
      <c r="AD25" s="51">
        <v>11003</v>
      </c>
      <c r="AE25" s="40">
        <v>713000</v>
      </c>
      <c r="AF25" s="62" t="s">
        <v>192</v>
      </c>
      <c r="AG25" s="52">
        <v>119</v>
      </c>
      <c r="AH25" s="4">
        <v>2</v>
      </c>
      <c r="AI25" s="4" t="s">
        <v>135</v>
      </c>
      <c r="AJ25" s="4" t="s">
        <v>213</v>
      </c>
      <c r="AK25" s="4" t="s">
        <v>137</v>
      </c>
      <c r="AL25" s="4" t="s">
        <v>214</v>
      </c>
      <c r="AM25" s="4" t="s">
        <v>139</v>
      </c>
      <c r="AN25" s="4" t="s">
        <v>215</v>
      </c>
    </row>
    <row r="26" s="4" customFormat="1" spans="1:40">
      <c r="A26" s="48">
        <v>120010106</v>
      </c>
      <c r="B26" s="49">
        <v>1</v>
      </c>
      <c r="C26" s="49" t="s">
        <v>50</v>
      </c>
      <c r="F26" s="4">
        <v>1200101</v>
      </c>
      <c r="G26" s="4">
        <v>6</v>
      </c>
      <c r="I26" s="4" t="s">
        <v>216</v>
      </c>
      <c r="L26" s="37">
        <v>119</v>
      </c>
      <c r="M26" s="37" t="s">
        <v>52</v>
      </c>
      <c r="N26" s="38">
        <v>11017</v>
      </c>
      <c r="O26" s="38" t="s">
        <v>142</v>
      </c>
      <c r="P26" s="39"/>
      <c r="Q26" s="39"/>
      <c r="R26" s="39"/>
      <c r="S26" t="b">
        <v>0</v>
      </c>
      <c r="T26" s="39"/>
      <c r="U26" s="39">
        <v>71106</v>
      </c>
      <c r="V26" s="39"/>
      <c r="W26" s="39"/>
      <c r="X26" s="39"/>
      <c r="Y26" s="4" t="s">
        <v>217</v>
      </c>
      <c r="Z26" s="4" t="s">
        <v>133</v>
      </c>
      <c r="AA26" s="4">
        <v>12001</v>
      </c>
      <c r="AB26" s="51" t="s">
        <v>144</v>
      </c>
      <c r="AC26" s="51">
        <v>101700</v>
      </c>
      <c r="AD26" s="51">
        <v>11017</v>
      </c>
      <c r="AE26" s="40">
        <v>713000</v>
      </c>
      <c r="AF26" s="62" t="s">
        <v>192</v>
      </c>
      <c r="AG26" s="52">
        <v>119</v>
      </c>
      <c r="AH26" s="4">
        <v>2</v>
      </c>
      <c r="AI26" s="4" t="s">
        <v>145</v>
      </c>
      <c r="AJ26" s="4" t="s">
        <v>218</v>
      </c>
      <c r="AK26" s="4" t="s">
        <v>147</v>
      </c>
      <c r="AL26" s="4" t="s">
        <v>219</v>
      </c>
      <c r="AM26" s="4" t="s">
        <v>149</v>
      </c>
      <c r="AN26" s="4" t="s">
        <v>220</v>
      </c>
    </row>
    <row r="27" s="4" customFormat="1" spans="1:40">
      <c r="A27" s="48">
        <v>120010107</v>
      </c>
      <c r="B27" s="49">
        <v>1</v>
      </c>
      <c r="C27" s="49" t="s">
        <v>50</v>
      </c>
      <c r="F27" s="4">
        <v>1200101</v>
      </c>
      <c r="G27" s="4">
        <v>7</v>
      </c>
      <c r="I27" s="4" t="s">
        <v>221</v>
      </c>
      <c r="L27" s="37">
        <v>119</v>
      </c>
      <c r="M27" s="37" t="s">
        <v>52</v>
      </c>
      <c r="N27" s="38">
        <v>11021</v>
      </c>
      <c r="O27" s="38" t="s">
        <v>152</v>
      </c>
      <c r="P27" s="39"/>
      <c r="Q27" s="39"/>
      <c r="R27" s="39"/>
      <c r="S27" t="b">
        <v>0</v>
      </c>
      <c r="T27" s="39"/>
      <c r="U27" s="39">
        <v>71107</v>
      </c>
      <c r="V27" s="39"/>
      <c r="W27" s="39"/>
      <c r="X27" s="39"/>
      <c r="Y27" s="4" t="s">
        <v>222</v>
      </c>
      <c r="Z27" s="4" t="s">
        <v>133</v>
      </c>
      <c r="AA27" s="4">
        <v>12001</v>
      </c>
      <c r="AB27" s="51" t="s">
        <v>154</v>
      </c>
      <c r="AC27" s="51">
        <v>102100</v>
      </c>
      <c r="AD27" s="51">
        <v>11021</v>
      </c>
      <c r="AE27" s="40">
        <v>713000</v>
      </c>
      <c r="AF27" s="62" t="s">
        <v>192</v>
      </c>
      <c r="AG27" s="52">
        <v>119</v>
      </c>
      <c r="AH27" s="4">
        <v>2</v>
      </c>
      <c r="AI27" s="4" t="s">
        <v>155</v>
      </c>
      <c r="AJ27" s="4" t="s">
        <v>223</v>
      </c>
      <c r="AK27" s="4" t="s">
        <v>157</v>
      </c>
      <c r="AL27" s="4" t="s">
        <v>224</v>
      </c>
      <c r="AM27" s="4" t="s">
        <v>159</v>
      </c>
      <c r="AN27" s="4" t="s">
        <v>225</v>
      </c>
    </row>
    <row r="28" s="4" customFormat="1" spans="1:40">
      <c r="A28" s="48">
        <v>120010108</v>
      </c>
      <c r="B28" s="49">
        <v>1</v>
      </c>
      <c r="C28" s="49" t="s">
        <v>50</v>
      </c>
      <c r="F28" s="4">
        <v>1200101</v>
      </c>
      <c r="G28" s="4">
        <v>8</v>
      </c>
      <c r="I28" s="4" t="s">
        <v>226</v>
      </c>
      <c r="L28" s="37">
        <v>119</v>
      </c>
      <c r="M28" s="37" t="s">
        <v>52</v>
      </c>
      <c r="N28" s="38">
        <v>11022</v>
      </c>
      <c r="O28" s="38" t="s">
        <v>162</v>
      </c>
      <c r="P28" s="39"/>
      <c r="Q28" s="39"/>
      <c r="R28" s="39"/>
      <c r="S28" t="b">
        <v>0</v>
      </c>
      <c r="T28" s="39"/>
      <c r="U28" s="39">
        <v>71108</v>
      </c>
      <c r="V28" s="39"/>
      <c r="W28" s="39"/>
      <c r="X28" s="39"/>
      <c r="Y28" s="4" t="s">
        <v>227</v>
      </c>
      <c r="Z28" s="4" t="s">
        <v>133</v>
      </c>
      <c r="AA28" s="4">
        <v>12001</v>
      </c>
      <c r="AB28" s="51" t="s">
        <v>164</v>
      </c>
      <c r="AC28" s="51">
        <v>102200</v>
      </c>
      <c r="AD28" s="51">
        <v>11022</v>
      </c>
      <c r="AE28" s="40">
        <v>713000</v>
      </c>
      <c r="AF28" s="62" t="s">
        <v>192</v>
      </c>
      <c r="AG28" s="52">
        <v>119</v>
      </c>
      <c r="AH28" s="4">
        <v>2</v>
      </c>
      <c r="AI28" s="4" t="s">
        <v>165</v>
      </c>
      <c r="AJ28" s="4" t="s">
        <v>228</v>
      </c>
      <c r="AK28" s="4" t="s">
        <v>167</v>
      </c>
      <c r="AL28" s="4" t="s">
        <v>229</v>
      </c>
      <c r="AM28" s="4" t="s">
        <v>165</v>
      </c>
      <c r="AN28" s="4" t="s">
        <v>230</v>
      </c>
    </row>
    <row r="29" s="4" customFormat="1" spans="1:40">
      <c r="A29" s="48">
        <v>120010109</v>
      </c>
      <c r="B29" s="49">
        <v>1</v>
      </c>
      <c r="C29" s="49" t="s">
        <v>50</v>
      </c>
      <c r="F29" s="4">
        <v>1200101</v>
      </c>
      <c r="G29" s="4">
        <v>9</v>
      </c>
      <c r="I29" s="4" t="s">
        <v>231</v>
      </c>
      <c r="L29" s="37">
        <v>119</v>
      </c>
      <c r="M29" s="37" t="s">
        <v>52</v>
      </c>
      <c r="N29" s="38">
        <v>11023</v>
      </c>
      <c r="O29" s="38" t="s">
        <v>171</v>
      </c>
      <c r="P29" s="39"/>
      <c r="Q29" s="39"/>
      <c r="R29" s="39"/>
      <c r="S29" t="b">
        <v>0</v>
      </c>
      <c r="T29" s="39"/>
      <c r="U29" s="39">
        <v>71109</v>
      </c>
      <c r="V29" s="39"/>
      <c r="W29" s="39"/>
      <c r="X29" s="39"/>
      <c r="Y29" s="4" t="s">
        <v>232</v>
      </c>
      <c r="Z29" s="4" t="s">
        <v>133</v>
      </c>
      <c r="AA29" s="4">
        <v>12001</v>
      </c>
      <c r="AB29" s="51" t="s">
        <v>173</v>
      </c>
      <c r="AC29" s="51">
        <v>102300</v>
      </c>
      <c r="AD29" s="51">
        <v>11023</v>
      </c>
      <c r="AE29" s="40">
        <v>713000</v>
      </c>
      <c r="AF29" s="62" t="s">
        <v>192</v>
      </c>
      <c r="AG29" s="52">
        <v>119</v>
      </c>
      <c r="AH29" s="4">
        <v>2</v>
      </c>
      <c r="AI29" s="4" t="s">
        <v>174</v>
      </c>
      <c r="AJ29" s="4" t="s">
        <v>233</v>
      </c>
      <c r="AK29" s="4" t="s">
        <v>176</v>
      </c>
      <c r="AL29" s="4" t="s">
        <v>234</v>
      </c>
      <c r="AM29" s="4" t="s">
        <v>178</v>
      </c>
      <c r="AN29" s="4" t="s">
        <v>235</v>
      </c>
    </row>
    <row r="30" s="4" customFormat="1" spans="1:40">
      <c r="A30" s="48">
        <v>120010110</v>
      </c>
      <c r="B30" s="49">
        <v>1</v>
      </c>
      <c r="C30" s="49" t="s">
        <v>50</v>
      </c>
      <c r="F30" s="4">
        <v>1200101</v>
      </c>
      <c r="G30" s="4">
        <v>10</v>
      </c>
      <c r="I30" s="4" t="s">
        <v>236</v>
      </c>
      <c r="L30" s="37">
        <v>119</v>
      </c>
      <c r="M30" s="37" t="s">
        <v>52</v>
      </c>
      <c r="N30" s="38">
        <v>11024</v>
      </c>
      <c r="O30" s="38" t="s">
        <v>181</v>
      </c>
      <c r="P30" s="39"/>
      <c r="Q30" s="39"/>
      <c r="R30" s="39"/>
      <c r="S30" t="b">
        <v>0</v>
      </c>
      <c r="T30" s="39"/>
      <c r="U30" s="39">
        <v>71110</v>
      </c>
      <c r="V30" s="39"/>
      <c r="W30" s="39"/>
      <c r="X30" s="39"/>
      <c r="Y30" s="4" t="s">
        <v>237</v>
      </c>
      <c r="Z30" s="4" t="s">
        <v>133</v>
      </c>
      <c r="AA30" s="4">
        <v>12001</v>
      </c>
      <c r="AB30" s="51" t="s">
        <v>183</v>
      </c>
      <c r="AC30" s="51">
        <v>102400</v>
      </c>
      <c r="AD30" s="51">
        <v>11024</v>
      </c>
      <c r="AE30" s="40">
        <v>713000</v>
      </c>
      <c r="AF30" s="62" t="s">
        <v>192</v>
      </c>
      <c r="AG30" s="52">
        <v>119</v>
      </c>
      <c r="AH30" s="4">
        <v>2</v>
      </c>
      <c r="AI30" s="4" t="s">
        <v>184</v>
      </c>
      <c r="AJ30" s="4" t="s">
        <v>238</v>
      </c>
      <c r="AK30" s="4" t="s">
        <v>186</v>
      </c>
      <c r="AL30" s="4" t="s">
        <v>239</v>
      </c>
      <c r="AM30" s="4" t="s">
        <v>188</v>
      </c>
      <c r="AN30" s="4" t="s">
        <v>240</v>
      </c>
    </row>
    <row r="31" s="4" customFormat="1" spans="1:40">
      <c r="A31" s="48">
        <v>120010201</v>
      </c>
      <c r="B31" s="49">
        <v>1</v>
      </c>
      <c r="C31" s="49" t="s">
        <v>50</v>
      </c>
      <c r="F31" s="4">
        <v>1200102</v>
      </c>
      <c r="G31" s="4">
        <v>1</v>
      </c>
      <c r="I31" s="37" t="s">
        <v>241</v>
      </c>
      <c r="J31" s="37"/>
      <c r="K31" s="4"/>
      <c r="L31" s="37">
        <v>356</v>
      </c>
      <c r="M31" s="37" t="s">
        <v>52</v>
      </c>
      <c r="N31" s="38">
        <v>11007</v>
      </c>
      <c r="O31" s="38" t="s">
        <v>91</v>
      </c>
      <c r="P31" s="39"/>
      <c r="Q31" s="50"/>
      <c r="R31" s="50"/>
      <c r="S31" t="b">
        <v>0</v>
      </c>
      <c r="T31" s="50"/>
      <c r="U31" s="50">
        <v>71201</v>
      </c>
      <c r="V31" s="50"/>
      <c r="W31" s="50"/>
      <c r="X31" s="50"/>
      <c r="Y31" s="4" t="s">
        <v>242</v>
      </c>
      <c r="Z31" s="4" t="s">
        <v>93</v>
      </c>
      <c r="AA31" s="4">
        <v>12001</v>
      </c>
      <c r="AB31" s="51" t="s">
        <v>94</v>
      </c>
      <c r="AC31" s="51">
        <v>100700</v>
      </c>
      <c r="AD31" s="51">
        <v>11007</v>
      </c>
      <c r="AE31" s="40">
        <v>2138000</v>
      </c>
      <c r="AF31" s="62" t="s">
        <v>243</v>
      </c>
      <c r="AG31" s="52">
        <v>356</v>
      </c>
      <c r="AH31" s="4">
        <v>3</v>
      </c>
      <c r="AI31" s="4" t="s">
        <v>96</v>
      </c>
      <c r="AJ31" s="4" t="s">
        <v>244</v>
      </c>
      <c r="AK31" s="4" t="s">
        <v>98</v>
      </c>
      <c r="AL31" s="4" t="s">
        <v>245</v>
      </c>
      <c r="AM31" s="4" t="s">
        <v>100</v>
      </c>
      <c r="AN31" s="4" t="s">
        <v>246</v>
      </c>
    </row>
    <row r="32" s="4" customFormat="1" spans="1:40">
      <c r="A32" s="48">
        <v>120010202</v>
      </c>
      <c r="B32" s="49">
        <v>1</v>
      </c>
      <c r="C32" s="49" t="s">
        <v>50</v>
      </c>
      <c r="F32" s="4">
        <v>1200102</v>
      </c>
      <c r="G32" s="4">
        <v>2</v>
      </c>
      <c r="I32" s="37" t="s">
        <v>247</v>
      </c>
      <c r="J32" s="37"/>
      <c r="K32" s="4"/>
      <c r="L32" s="37">
        <v>356</v>
      </c>
      <c r="M32" s="37" t="s">
        <v>52</v>
      </c>
      <c r="N32" s="38">
        <v>11003</v>
      </c>
      <c r="O32" s="38" t="s">
        <v>103</v>
      </c>
      <c r="P32" s="39"/>
      <c r="Q32" s="50"/>
      <c r="R32" s="50"/>
      <c r="S32" t="b">
        <v>0</v>
      </c>
      <c r="T32" s="50"/>
      <c r="U32" s="50">
        <v>71202</v>
      </c>
      <c r="V32" s="50"/>
      <c r="W32" s="50"/>
      <c r="X32" s="50"/>
      <c r="Y32" s="4" t="s">
        <v>248</v>
      </c>
      <c r="Z32" s="4" t="s">
        <v>93</v>
      </c>
      <c r="AA32" s="4">
        <v>12001</v>
      </c>
      <c r="AB32" s="51" t="s">
        <v>105</v>
      </c>
      <c r="AC32" s="51">
        <v>100300</v>
      </c>
      <c r="AD32" s="51">
        <v>11003</v>
      </c>
      <c r="AE32" s="40">
        <v>2138000</v>
      </c>
      <c r="AF32" s="62" t="s">
        <v>243</v>
      </c>
      <c r="AG32" s="52">
        <v>356</v>
      </c>
      <c r="AH32" s="4">
        <v>3</v>
      </c>
      <c r="AI32" s="4" t="s">
        <v>106</v>
      </c>
      <c r="AJ32" s="4" t="s">
        <v>249</v>
      </c>
      <c r="AK32" s="4" t="s">
        <v>108</v>
      </c>
      <c r="AL32" s="4" t="s">
        <v>250</v>
      </c>
      <c r="AM32" s="4" t="s">
        <v>106</v>
      </c>
      <c r="AN32" s="4" t="s">
        <v>251</v>
      </c>
    </row>
    <row r="33" s="4" customFormat="1" spans="1:40">
      <c r="A33" s="48">
        <v>120010203</v>
      </c>
      <c r="B33" s="49">
        <v>1</v>
      </c>
      <c r="C33" s="49" t="s">
        <v>50</v>
      </c>
      <c r="F33" s="4">
        <v>1200102</v>
      </c>
      <c r="G33" s="4">
        <v>3</v>
      </c>
      <c r="I33" s="37" t="s">
        <v>252</v>
      </c>
      <c r="J33" s="37"/>
      <c r="K33" s="4"/>
      <c r="L33" s="37">
        <v>356</v>
      </c>
      <c r="M33" s="37" t="s">
        <v>52</v>
      </c>
      <c r="N33" s="38">
        <v>11012</v>
      </c>
      <c r="O33" s="38" t="s">
        <v>112</v>
      </c>
      <c r="P33" s="39"/>
      <c r="Q33" s="50"/>
      <c r="R33" s="50"/>
      <c r="S33" t="b">
        <v>0</v>
      </c>
      <c r="T33" s="50"/>
      <c r="U33" s="50">
        <v>71203</v>
      </c>
      <c r="V33" s="50"/>
      <c r="W33" s="50"/>
      <c r="X33" s="50"/>
      <c r="Y33" s="4" t="s">
        <v>253</v>
      </c>
      <c r="Z33" s="4" t="s">
        <v>93</v>
      </c>
      <c r="AA33" s="4">
        <v>12001</v>
      </c>
      <c r="AB33" s="51" t="s">
        <v>114</v>
      </c>
      <c r="AC33" s="51">
        <v>101200</v>
      </c>
      <c r="AD33" s="51">
        <v>11012</v>
      </c>
      <c r="AE33" s="40">
        <v>2138000</v>
      </c>
      <c r="AF33" s="62" t="s">
        <v>243</v>
      </c>
      <c r="AG33" s="52">
        <v>356</v>
      </c>
      <c r="AH33" s="4">
        <v>3</v>
      </c>
      <c r="AI33" s="4" t="s">
        <v>115</v>
      </c>
      <c r="AJ33" s="4" t="s">
        <v>254</v>
      </c>
      <c r="AK33" s="4" t="s">
        <v>117</v>
      </c>
      <c r="AL33" s="4" t="s">
        <v>255</v>
      </c>
      <c r="AM33" s="4" t="s">
        <v>115</v>
      </c>
      <c r="AN33" s="4" t="s">
        <v>256</v>
      </c>
    </row>
    <row r="34" s="4" customFormat="1" spans="1:40">
      <c r="A34" s="48">
        <v>120010204</v>
      </c>
      <c r="B34" s="49">
        <v>1</v>
      </c>
      <c r="C34" s="49" t="s">
        <v>50</v>
      </c>
      <c r="F34" s="4">
        <v>1200102</v>
      </c>
      <c r="G34" s="4">
        <v>4</v>
      </c>
      <c r="I34" s="37" t="s">
        <v>257</v>
      </c>
      <c r="J34" s="37"/>
      <c r="K34" s="4"/>
      <c r="L34" s="37">
        <v>356</v>
      </c>
      <c r="M34" s="37" t="s">
        <v>52</v>
      </c>
      <c r="N34" s="38">
        <v>11014</v>
      </c>
      <c r="O34" s="38" t="s">
        <v>121</v>
      </c>
      <c r="P34" s="39"/>
      <c r="Q34" s="50"/>
      <c r="R34" s="50"/>
      <c r="S34" t="b">
        <v>0</v>
      </c>
      <c r="T34" s="50"/>
      <c r="U34" s="50">
        <v>71204</v>
      </c>
      <c r="V34" s="50"/>
      <c r="W34" s="50"/>
      <c r="X34" s="50"/>
      <c r="Y34" s="4" t="s">
        <v>258</v>
      </c>
      <c r="Z34" s="4" t="s">
        <v>93</v>
      </c>
      <c r="AA34" s="4">
        <v>12001</v>
      </c>
      <c r="AB34" s="51" t="s">
        <v>123</v>
      </c>
      <c r="AC34" s="51">
        <v>101400</v>
      </c>
      <c r="AD34" s="51">
        <v>11014</v>
      </c>
      <c r="AE34" s="40">
        <v>2138000</v>
      </c>
      <c r="AF34" s="62" t="s">
        <v>243</v>
      </c>
      <c r="AG34" s="52">
        <v>356</v>
      </c>
      <c r="AH34" s="4">
        <v>3</v>
      </c>
      <c r="AI34" s="4" t="s">
        <v>124</v>
      </c>
      <c r="AJ34" s="4" t="s">
        <v>259</v>
      </c>
      <c r="AK34" s="4" t="s">
        <v>126</v>
      </c>
      <c r="AL34" s="4" t="s">
        <v>260</v>
      </c>
      <c r="AM34" s="4" t="s">
        <v>128</v>
      </c>
      <c r="AN34" s="4" t="s">
        <v>261</v>
      </c>
    </row>
    <row r="35" s="4" customFormat="1" spans="1:40">
      <c r="A35" s="48">
        <v>120010205</v>
      </c>
      <c r="B35" s="49">
        <v>1</v>
      </c>
      <c r="C35" s="49" t="s">
        <v>50</v>
      </c>
      <c r="F35" s="4">
        <v>1200102</v>
      </c>
      <c r="G35" s="4">
        <v>5</v>
      </c>
      <c r="I35" s="37" t="s">
        <v>262</v>
      </c>
      <c r="J35" s="37"/>
      <c r="K35" s="4"/>
      <c r="L35" s="37">
        <v>356</v>
      </c>
      <c r="M35" s="37" t="s">
        <v>52</v>
      </c>
      <c r="N35" s="38">
        <v>11003</v>
      </c>
      <c r="O35" s="38" t="s">
        <v>131</v>
      </c>
      <c r="P35" s="39"/>
      <c r="Q35" s="50"/>
      <c r="R35" s="50"/>
      <c r="S35" t="b">
        <v>0</v>
      </c>
      <c r="T35" s="50"/>
      <c r="U35" s="50">
        <v>71205</v>
      </c>
      <c r="V35" s="50"/>
      <c r="W35" s="50"/>
      <c r="X35" s="50"/>
      <c r="Y35" s="4" t="s">
        <v>263</v>
      </c>
      <c r="Z35" s="4" t="s">
        <v>133</v>
      </c>
      <c r="AA35" s="4">
        <v>12001</v>
      </c>
      <c r="AB35" s="51" t="s">
        <v>134</v>
      </c>
      <c r="AC35" s="51">
        <v>0</v>
      </c>
      <c r="AD35" s="51">
        <v>11003</v>
      </c>
      <c r="AE35" s="40">
        <v>2138000</v>
      </c>
      <c r="AF35" s="62" t="s">
        <v>243</v>
      </c>
      <c r="AG35" s="52">
        <v>356</v>
      </c>
      <c r="AH35" s="4">
        <v>3</v>
      </c>
      <c r="AI35" s="4" t="s">
        <v>135</v>
      </c>
      <c r="AJ35" s="4" t="s">
        <v>264</v>
      </c>
      <c r="AK35" s="4" t="s">
        <v>137</v>
      </c>
      <c r="AL35" s="4" t="s">
        <v>265</v>
      </c>
      <c r="AM35" s="4" t="s">
        <v>139</v>
      </c>
      <c r="AN35" s="4" t="s">
        <v>266</v>
      </c>
    </row>
    <row r="36" s="4" customFormat="1" spans="1:40">
      <c r="A36" s="48">
        <v>120010206</v>
      </c>
      <c r="B36" s="49">
        <v>1</v>
      </c>
      <c r="C36" s="49" t="s">
        <v>50</v>
      </c>
      <c r="F36" s="4">
        <v>1200102</v>
      </c>
      <c r="G36" s="4">
        <v>6</v>
      </c>
      <c r="H36" s="4"/>
      <c r="I36" s="4" t="s">
        <v>267</v>
      </c>
      <c r="L36" s="37">
        <v>356</v>
      </c>
      <c r="M36" s="37" t="s">
        <v>52</v>
      </c>
      <c r="N36" s="38">
        <v>11017</v>
      </c>
      <c r="O36" s="38" t="s">
        <v>142</v>
      </c>
      <c r="P36" s="39"/>
      <c r="Q36" s="39"/>
      <c r="R36" s="39"/>
      <c r="S36" t="b">
        <v>0</v>
      </c>
      <c r="T36" s="39"/>
      <c r="U36" s="39">
        <v>71206</v>
      </c>
      <c r="V36" s="39"/>
      <c r="W36" s="39"/>
      <c r="X36" s="39"/>
      <c r="Y36" s="4" t="s">
        <v>268</v>
      </c>
      <c r="Z36" s="4" t="s">
        <v>133</v>
      </c>
      <c r="AA36" s="4">
        <v>12001</v>
      </c>
      <c r="AB36" s="51" t="s">
        <v>144</v>
      </c>
      <c r="AC36" s="51">
        <v>101700</v>
      </c>
      <c r="AD36" s="51">
        <v>11017</v>
      </c>
      <c r="AE36" s="40">
        <v>2138000</v>
      </c>
      <c r="AF36" s="62" t="s">
        <v>243</v>
      </c>
      <c r="AG36" s="52">
        <v>356</v>
      </c>
      <c r="AH36" s="4">
        <v>3</v>
      </c>
      <c r="AI36" s="4" t="s">
        <v>145</v>
      </c>
      <c r="AJ36" s="4" t="s">
        <v>269</v>
      </c>
      <c r="AK36" s="4" t="s">
        <v>147</v>
      </c>
      <c r="AL36" s="4" t="s">
        <v>270</v>
      </c>
      <c r="AM36" s="4" t="s">
        <v>149</v>
      </c>
      <c r="AN36" s="4" t="s">
        <v>271</v>
      </c>
    </row>
    <row r="37" s="4" customFormat="1" spans="1:40">
      <c r="A37" s="48">
        <v>120010207</v>
      </c>
      <c r="B37" s="49">
        <v>1</v>
      </c>
      <c r="C37" s="49" t="s">
        <v>50</v>
      </c>
      <c r="F37" s="4">
        <v>1200102</v>
      </c>
      <c r="G37" s="4">
        <v>7</v>
      </c>
      <c r="H37" s="4"/>
      <c r="I37" s="4" t="s">
        <v>272</v>
      </c>
      <c r="L37" s="37">
        <v>356</v>
      </c>
      <c r="M37" s="37" t="s">
        <v>52</v>
      </c>
      <c r="N37" s="38">
        <v>11021</v>
      </c>
      <c r="O37" s="38" t="s">
        <v>152</v>
      </c>
      <c r="P37" s="39"/>
      <c r="Q37" s="39"/>
      <c r="R37" s="39"/>
      <c r="S37" t="b">
        <v>0</v>
      </c>
      <c r="T37" s="39"/>
      <c r="U37" s="39">
        <v>71207</v>
      </c>
      <c r="V37" s="39"/>
      <c r="W37" s="39"/>
      <c r="X37" s="39"/>
      <c r="Y37" s="4" t="s">
        <v>273</v>
      </c>
      <c r="Z37" s="4" t="s">
        <v>133</v>
      </c>
      <c r="AA37" s="4">
        <v>12001</v>
      </c>
      <c r="AB37" s="51" t="s">
        <v>154</v>
      </c>
      <c r="AC37" s="51">
        <v>102100</v>
      </c>
      <c r="AD37" s="51">
        <v>11021</v>
      </c>
      <c r="AE37" s="40">
        <v>2138000</v>
      </c>
      <c r="AF37" s="62" t="s">
        <v>243</v>
      </c>
      <c r="AG37" s="52">
        <v>356</v>
      </c>
      <c r="AH37" s="4">
        <v>3</v>
      </c>
      <c r="AI37" s="4" t="s">
        <v>155</v>
      </c>
      <c r="AJ37" s="4" t="s">
        <v>274</v>
      </c>
      <c r="AK37" s="4" t="s">
        <v>157</v>
      </c>
      <c r="AL37" s="4" t="s">
        <v>275</v>
      </c>
      <c r="AM37" s="4" t="s">
        <v>159</v>
      </c>
      <c r="AN37" s="4" t="s">
        <v>276</v>
      </c>
    </row>
    <row r="38" s="4" customFormat="1" spans="1:40">
      <c r="A38" s="48">
        <v>120010208</v>
      </c>
      <c r="B38" s="49">
        <v>1</v>
      </c>
      <c r="C38" s="49" t="s">
        <v>50</v>
      </c>
      <c r="F38" s="4">
        <v>1200102</v>
      </c>
      <c r="G38" s="4">
        <v>8</v>
      </c>
      <c r="H38" s="4"/>
      <c r="I38" s="4" t="s">
        <v>277</v>
      </c>
      <c r="L38" s="37">
        <v>356</v>
      </c>
      <c r="M38" s="37" t="s">
        <v>52</v>
      </c>
      <c r="N38" s="38">
        <v>11022</v>
      </c>
      <c r="O38" s="38" t="s">
        <v>162</v>
      </c>
      <c r="P38" s="39"/>
      <c r="Q38" s="39"/>
      <c r="R38" s="39"/>
      <c r="S38" t="b">
        <v>0</v>
      </c>
      <c r="T38" s="39"/>
      <c r="U38" s="39">
        <v>71208</v>
      </c>
      <c r="V38" s="39"/>
      <c r="W38" s="39"/>
      <c r="X38" s="39"/>
      <c r="Y38" s="4" t="s">
        <v>278</v>
      </c>
      <c r="Z38" s="4" t="s">
        <v>133</v>
      </c>
      <c r="AA38" s="4">
        <v>12001</v>
      </c>
      <c r="AB38" s="51" t="s">
        <v>164</v>
      </c>
      <c r="AC38" s="51">
        <v>102200</v>
      </c>
      <c r="AD38" s="51">
        <v>11022</v>
      </c>
      <c r="AE38" s="40">
        <v>2138000</v>
      </c>
      <c r="AF38" s="62" t="s">
        <v>243</v>
      </c>
      <c r="AG38" s="52">
        <v>356</v>
      </c>
      <c r="AH38" s="4">
        <v>3</v>
      </c>
      <c r="AI38" s="4" t="s">
        <v>165</v>
      </c>
      <c r="AJ38" s="4" t="s">
        <v>279</v>
      </c>
      <c r="AK38" s="4" t="s">
        <v>167</v>
      </c>
      <c r="AL38" s="4" t="s">
        <v>280</v>
      </c>
      <c r="AM38" s="4" t="s">
        <v>165</v>
      </c>
      <c r="AN38" s="4" t="s">
        <v>281</v>
      </c>
    </row>
    <row r="39" s="4" customFormat="1" spans="1:40">
      <c r="A39" s="48">
        <v>120010209</v>
      </c>
      <c r="B39" s="49">
        <v>1</v>
      </c>
      <c r="C39" s="49" t="s">
        <v>50</v>
      </c>
      <c r="F39" s="4">
        <v>1200102</v>
      </c>
      <c r="G39" s="4">
        <v>9</v>
      </c>
      <c r="H39" s="4"/>
      <c r="I39" s="4" t="s">
        <v>282</v>
      </c>
      <c r="L39" s="37">
        <v>356</v>
      </c>
      <c r="M39" s="37" t="s">
        <v>52</v>
      </c>
      <c r="N39" s="38">
        <v>11023</v>
      </c>
      <c r="O39" s="38" t="s">
        <v>171</v>
      </c>
      <c r="P39" s="39"/>
      <c r="Q39" s="39"/>
      <c r="R39" s="39"/>
      <c r="S39" t="b">
        <v>0</v>
      </c>
      <c r="T39" s="39"/>
      <c r="U39" s="39">
        <v>71209</v>
      </c>
      <c r="V39" s="39"/>
      <c r="W39" s="39"/>
      <c r="X39" s="39"/>
      <c r="Y39" s="4" t="s">
        <v>283</v>
      </c>
      <c r="Z39" s="4" t="s">
        <v>133</v>
      </c>
      <c r="AA39" s="4">
        <v>12001</v>
      </c>
      <c r="AB39" s="51" t="s">
        <v>173</v>
      </c>
      <c r="AC39" s="51">
        <v>102300</v>
      </c>
      <c r="AD39" s="51">
        <v>11023</v>
      </c>
      <c r="AE39" s="40">
        <v>2138000</v>
      </c>
      <c r="AF39" s="62" t="s">
        <v>243</v>
      </c>
      <c r="AG39" s="52">
        <v>356</v>
      </c>
      <c r="AH39" s="4">
        <v>3</v>
      </c>
      <c r="AI39" s="4" t="s">
        <v>174</v>
      </c>
      <c r="AJ39" s="4" t="s">
        <v>284</v>
      </c>
      <c r="AK39" s="4" t="s">
        <v>176</v>
      </c>
      <c r="AL39" s="4" t="s">
        <v>285</v>
      </c>
      <c r="AM39" s="4" t="s">
        <v>178</v>
      </c>
      <c r="AN39" s="4" t="s">
        <v>286</v>
      </c>
    </row>
    <row r="40" s="4" customFormat="1" spans="1:40">
      <c r="A40" s="48">
        <v>120010210</v>
      </c>
      <c r="B40" s="49">
        <v>1</v>
      </c>
      <c r="C40" s="49" t="s">
        <v>50</v>
      </c>
      <c r="F40" s="4">
        <v>1200102</v>
      </c>
      <c r="G40" s="4">
        <v>10</v>
      </c>
      <c r="H40" s="4"/>
      <c r="I40" s="4" t="s">
        <v>287</v>
      </c>
      <c r="L40" s="37">
        <v>356</v>
      </c>
      <c r="M40" s="37" t="s">
        <v>52</v>
      </c>
      <c r="N40" s="38">
        <v>11024</v>
      </c>
      <c r="O40" s="38" t="s">
        <v>181</v>
      </c>
      <c r="P40" s="39"/>
      <c r="Q40" s="39"/>
      <c r="R40" s="39"/>
      <c r="S40" t="b">
        <v>0</v>
      </c>
      <c r="T40" s="39"/>
      <c r="U40" s="39">
        <v>71210</v>
      </c>
      <c r="V40" s="39"/>
      <c r="W40" s="39"/>
      <c r="X40" s="39"/>
      <c r="Y40" s="4" t="s">
        <v>288</v>
      </c>
      <c r="Z40" s="4" t="s">
        <v>133</v>
      </c>
      <c r="AA40" s="4">
        <v>12001</v>
      </c>
      <c r="AB40" s="51" t="s">
        <v>183</v>
      </c>
      <c r="AC40" s="51">
        <v>102400</v>
      </c>
      <c r="AD40" s="51">
        <v>11024</v>
      </c>
      <c r="AE40" s="40">
        <v>2138000</v>
      </c>
      <c r="AF40" s="62" t="s">
        <v>243</v>
      </c>
      <c r="AG40" s="52">
        <v>356</v>
      </c>
      <c r="AH40" s="4">
        <v>3</v>
      </c>
      <c r="AI40" s="4" t="s">
        <v>184</v>
      </c>
      <c r="AJ40" s="4" t="s">
        <v>289</v>
      </c>
      <c r="AK40" s="4" t="s">
        <v>186</v>
      </c>
      <c r="AL40" s="4" t="s">
        <v>290</v>
      </c>
      <c r="AM40" s="4" t="s">
        <v>188</v>
      </c>
      <c r="AN40" s="4" t="s">
        <v>291</v>
      </c>
    </row>
    <row r="41" s="4" customFormat="1" spans="1:40">
      <c r="A41" s="48">
        <v>120010301</v>
      </c>
      <c r="B41" s="49">
        <v>1</v>
      </c>
      <c r="C41" s="49" t="s">
        <v>50</v>
      </c>
      <c r="F41" s="4">
        <v>1200103</v>
      </c>
      <c r="G41" s="4">
        <v>1</v>
      </c>
      <c r="H41" s="4"/>
      <c r="I41" s="4" t="s">
        <v>292</v>
      </c>
      <c r="L41" s="37">
        <v>713</v>
      </c>
      <c r="M41" s="37" t="s">
        <v>52</v>
      </c>
      <c r="N41" s="38">
        <v>11007</v>
      </c>
      <c r="O41" s="38" t="s">
        <v>91</v>
      </c>
      <c r="P41" s="39"/>
      <c r="Q41" s="50"/>
      <c r="R41" s="50"/>
      <c r="S41" t="b">
        <v>0</v>
      </c>
      <c r="T41" s="50"/>
      <c r="U41" s="50">
        <v>71301</v>
      </c>
      <c r="V41" s="50"/>
      <c r="W41" s="50"/>
      <c r="X41" s="50"/>
      <c r="Y41" s="4" t="s">
        <v>293</v>
      </c>
      <c r="Z41" s="4" t="s">
        <v>93</v>
      </c>
      <c r="AA41" s="4">
        <v>12001</v>
      </c>
      <c r="AB41" s="51" t="s">
        <v>94</v>
      </c>
      <c r="AC41" s="51">
        <v>100700</v>
      </c>
      <c r="AD41" s="51">
        <v>11007</v>
      </c>
      <c r="AE41" s="40">
        <v>4277000</v>
      </c>
      <c r="AF41" s="62" t="s">
        <v>294</v>
      </c>
      <c r="AG41" s="52">
        <v>713</v>
      </c>
      <c r="AH41" s="4">
        <v>4</v>
      </c>
      <c r="AI41" s="4" t="s">
        <v>96</v>
      </c>
      <c r="AJ41" s="4" t="s">
        <v>295</v>
      </c>
      <c r="AK41" s="4" t="s">
        <v>98</v>
      </c>
      <c r="AL41" s="4" t="s">
        <v>296</v>
      </c>
      <c r="AM41" s="4" t="s">
        <v>100</v>
      </c>
      <c r="AN41" s="4" t="s">
        <v>297</v>
      </c>
    </row>
    <row r="42" s="4" customFormat="1" spans="1:40">
      <c r="A42" s="48">
        <v>120010302</v>
      </c>
      <c r="B42" s="49">
        <v>1</v>
      </c>
      <c r="C42" s="49" t="s">
        <v>50</v>
      </c>
      <c r="F42" s="4">
        <v>1200103</v>
      </c>
      <c r="G42" s="4">
        <v>2</v>
      </c>
      <c r="H42" s="4"/>
      <c r="I42" s="4" t="s">
        <v>298</v>
      </c>
      <c r="L42" s="37">
        <v>713</v>
      </c>
      <c r="M42" s="37" t="s">
        <v>52</v>
      </c>
      <c r="N42" s="38">
        <v>11003</v>
      </c>
      <c r="O42" s="38" t="s">
        <v>103</v>
      </c>
      <c r="P42" s="39"/>
      <c r="Q42" s="50"/>
      <c r="R42" s="50"/>
      <c r="S42" t="b">
        <v>0</v>
      </c>
      <c r="T42" s="50"/>
      <c r="U42" s="50">
        <v>71302</v>
      </c>
      <c r="V42" s="50"/>
      <c r="W42" s="50"/>
      <c r="X42" s="50"/>
      <c r="Y42" s="4" t="s">
        <v>299</v>
      </c>
      <c r="Z42" s="4" t="s">
        <v>93</v>
      </c>
      <c r="AA42" s="4">
        <v>12001</v>
      </c>
      <c r="AB42" s="51" t="s">
        <v>105</v>
      </c>
      <c r="AC42" s="51">
        <v>100300</v>
      </c>
      <c r="AD42" s="51">
        <v>11003</v>
      </c>
      <c r="AE42" s="40">
        <v>4277000</v>
      </c>
      <c r="AF42" s="62" t="s">
        <v>294</v>
      </c>
      <c r="AG42" s="52">
        <v>713</v>
      </c>
      <c r="AH42" s="4">
        <v>4</v>
      </c>
      <c r="AI42" s="4" t="s">
        <v>106</v>
      </c>
      <c r="AJ42" s="4" t="s">
        <v>300</v>
      </c>
      <c r="AK42" s="4" t="s">
        <v>108</v>
      </c>
      <c r="AL42" s="4" t="s">
        <v>301</v>
      </c>
      <c r="AM42" s="4" t="s">
        <v>106</v>
      </c>
      <c r="AN42" s="4" t="s">
        <v>302</v>
      </c>
    </row>
    <row r="43" s="4" customFormat="1" spans="1:40">
      <c r="A43" s="48">
        <v>120010303</v>
      </c>
      <c r="B43" s="49">
        <v>1</v>
      </c>
      <c r="C43" s="49" t="s">
        <v>50</v>
      </c>
      <c r="F43" s="4">
        <v>1200103</v>
      </c>
      <c r="G43" s="4">
        <v>3</v>
      </c>
      <c r="H43" s="4"/>
      <c r="I43" s="4" t="s">
        <v>303</v>
      </c>
      <c r="L43" s="37">
        <v>713</v>
      </c>
      <c r="M43" s="37" t="s">
        <v>52</v>
      </c>
      <c r="N43" s="38">
        <v>11012</v>
      </c>
      <c r="O43" s="38" t="s">
        <v>112</v>
      </c>
      <c r="P43" s="39"/>
      <c r="Q43" s="50"/>
      <c r="R43" s="50"/>
      <c r="S43" t="b">
        <v>0</v>
      </c>
      <c r="T43" s="50"/>
      <c r="U43" s="50">
        <v>71303</v>
      </c>
      <c r="V43" s="50"/>
      <c r="W43" s="50"/>
      <c r="X43" s="50"/>
      <c r="Y43" s="4" t="s">
        <v>304</v>
      </c>
      <c r="Z43" s="4" t="s">
        <v>93</v>
      </c>
      <c r="AA43" s="4">
        <v>12001</v>
      </c>
      <c r="AB43" s="51" t="s">
        <v>114</v>
      </c>
      <c r="AC43" s="51">
        <v>101200</v>
      </c>
      <c r="AD43" s="51">
        <v>11012</v>
      </c>
      <c r="AE43" s="40">
        <v>4277000</v>
      </c>
      <c r="AF43" s="62" t="s">
        <v>294</v>
      </c>
      <c r="AG43" s="52">
        <v>713</v>
      </c>
      <c r="AH43" s="4">
        <v>4</v>
      </c>
      <c r="AI43" s="4" t="s">
        <v>115</v>
      </c>
      <c r="AJ43" s="4" t="s">
        <v>305</v>
      </c>
      <c r="AK43" s="4" t="s">
        <v>117</v>
      </c>
      <c r="AL43" s="4" t="s">
        <v>306</v>
      </c>
      <c r="AM43" s="4" t="s">
        <v>115</v>
      </c>
      <c r="AN43" s="4" t="s">
        <v>307</v>
      </c>
    </row>
    <row r="44" s="4" customFormat="1" spans="1:40">
      <c r="A44" s="48">
        <v>120010304</v>
      </c>
      <c r="B44" s="49">
        <v>1</v>
      </c>
      <c r="C44" s="49" t="s">
        <v>50</v>
      </c>
      <c r="F44" s="4">
        <v>1200103</v>
      </c>
      <c r="G44" s="4">
        <v>4</v>
      </c>
      <c r="H44" s="4"/>
      <c r="I44" s="4" t="s">
        <v>308</v>
      </c>
      <c r="L44" s="37">
        <v>713</v>
      </c>
      <c r="M44" s="37" t="s">
        <v>52</v>
      </c>
      <c r="N44" s="38">
        <v>11014</v>
      </c>
      <c r="O44" s="38" t="s">
        <v>121</v>
      </c>
      <c r="P44" s="39"/>
      <c r="Q44" s="50"/>
      <c r="R44" s="50"/>
      <c r="S44" t="b">
        <v>0</v>
      </c>
      <c r="T44" s="50"/>
      <c r="U44" s="50">
        <v>71304</v>
      </c>
      <c r="V44" s="50"/>
      <c r="W44" s="50"/>
      <c r="X44" s="50"/>
      <c r="Y44" s="4" t="s">
        <v>309</v>
      </c>
      <c r="Z44" s="4" t="s">
        <v>93</v>
      </c>
      <c r="AA44" s="4">
        <v>12001</v>
      </c>
      <c r="AB44" s="51" t="s">
        <v>123</v>
      </c>
      <c r="AC44" s="51">
        <v>101400</v>
      </c>
      <c r="AD44" s="51">
        <v>11014</v>
      </c>
      <c r="AE44" s="40">
        <v>4277000</v>
      </c>
      <c r="AF44" s="62" t="s">
        <v>294</v>
      </c>
      <c r="AG44" s="52">
        <v>713</v>
      </c>
      <c r="AH44" s="4">
        <v>4</v>
      </c>
      <c r="AI44" s="4" t="s">
        <v>124</v>
      </c>
      <c r="AJ44" s="4" t="s">
        <v>310</v>
      </c>
      <c r="AK44" s="4" t="s">
        <v>126</v>
      </c>
      <c r="AL44" s="4" t="s">
        <v>311</v>
      </c>
      <c r="AM44" s="4" t="s">
        <v>128</v>
      </c>
      <c r="AN44" s="4" t="s">
        <v>312</v>
      </c>
    </row>
    <row r="45" s="4" customFormat="1" spans="1:40">
      <c r="A45" s="48">
        <v>120010305</v>
      </c>
      <c r="B45" s="49">
        <v>1</v>
      </c>
      <c r="C45" s="49" t="s">
        <v>50</v>
      </c>
      <c r="F45" s="4">
        <v>1200103</v>
      </c>
      <c r="G45" s="4">
        <v>5</v>
      </c>
      <c r="H45" s="4"/>
      <c r="I45" s="4" t="s">
        <v>313</v>
      </c>
      <c r="L45" s="37">
        <v>713</v>
      </c>
      <c r="M45" s="37" t="s">
        <v>52</v>
      </c>
      <c r="N45" s="38">
        <v>11003</v>
      </c>
      <c r="O45" s="38" t="s">
        <v>131</v>
      </c>
      <c r="P45" s="39"/>
      <c r="Q45" s="50"/>
      <c r="R45" s="50"/>
      <c r="S45" t="b">
        <v>0</v>
      </c>
      <c r="T45" s="50"/>
      <c r="U45" s="50">
        <v>71305</v>
      </c>
      <c r="V45" s="50"/>
      <c r="W45" s="50"/>
      <c r="X45" s="50"/>
      <c r="Y45" s="4" t="s">
        <v>314</v>
      </c>
      <c r="Z45" s="4" t="s">
        <v>133</v>
      </c>
      <c r="AA45" s="4">
        <v>12001</v>
      </c>
      <c r="AB45" s="51" t="s">
        <v>134</v>
      </c>
      <c r="AC45" s="51">
        <v>0</v>
      </c>
      <c r="AD45" s="51">
        <v>11003</v>
      </c>
      <c r="AE45" s="40">
        <v>4277000</v>
      </c>
      <c r="AF45" s="62" t="s">
        <v>294</v>
      </c>
      <c r="AG45" s="52">
        <v>713</v>
      </c>
      <c r="AH45" s="4">
        <v>4</v>
      </c>
      <c r="AI45" s="4" t="s">
        <v>135</v>
      </c>
      <c r="AJ45" s="4" t="s">
        <v>315</v>
      </c>
      <c r="AK45" s="4" t="s">
        <v>137</v>
      </c>
      <c r="AL45" s="4" t="s">
        <v>316</v>
      </c>
      <c r="AM45" s="4" t="s">
        <v>139</v>
      </c>
      <c r="AN45" s="4" t="s">
        <v>317</v>
      </c>
    </row>
    <row r="46" s="4" customFormat="1" spans="1:40">
      <c r="A46" s="48">
        <v>120010306</v>
      </c>
      <c r="B46" s="49">
        <v>1</v>
      </c>
      <c r="C46" s="49" t="s">
        <v>50</v>
      </c>
      <c r="F46" s="4">
        <v>1200103</v>
      </c>
      <c r="G46" s="4">
        <v>6</v>
      </c>
      <c r="H46" s="4"/>
      <c r="I46" s="4" t="s">
        <v>318</v>
      </c>
      <c r="L46" s="37">
        <v>713</v>
      </c>
      <c r="M46" s="37" t="s">
        <v>52</v>
      </c>
      <c r="N46" s="38">
        <v>11017</v>
      </c>
      <c r="O46" s="38" t="s">
        <v>142</v>
      </c>
      <c r="P46" s="39"/>
      <c r="Q46" s="39"/>
      <c r="R46" s="39"/>
      <c r="S46" t="b">
        <v>0</v>
      </c>
      <c r="T46" s="39"/>
      <c r="U46" s="39">
        <v>71306</v>
      </c>
      <c r="V46" s="39"/>
      <c r="W46" s="39"/>
      <c r="X46" s="39"/>
      <c r="Y46" s="4" t="s">
        <v>319</v>
      </c>
      <c r="Z46" s="4" t="s">
        <v>133</v>
      </c>
      <c r="AA46" s="4">
        <v>12001</v>
      </c>
      <c r="AB46" s="51" t="s">
        <v>144</v>
      </c>
      <c r="AC46" s="51">
        <v>101700</v>
      </c>
      <c r="AD46" s="51">
        <v>11017</v>
      </c>
      <c r="AE46" s="40">
        <v>4277000</v>
      </c>
      <c r="AF46" s="62" t="s">
        <v>294</v>
      </c>
      <c r="AG46" s="52">
        <v>713</v>
      </c>
      <c r="AH46" s="4">
        <v>4</v>
      </c>
      <c r="AI46" s="4" t="s">
        <v>145</v>
      </c>
      <c r="AJ46" s="4" t="s">
        <v>320</v>
      </c>
      <c r="AK46" s="4" t="s">
        <v>147</v>
      </c>
      <c r="AL46" s="4" t="s">
        <v>321</v>
      </c>
      <c r="AM46" s="4" t="s">
        <v>149</v>
      </c>
      <c r="AN46" s="4" t="s">
        <v>322</v>
      </c>
    </row>
    <row r="47" s="4" customFormat="1" spans="1:40">
      <c r="A47" s="48">
        <v>120010307</v>
      </c>
      <c r="B47" s="49">
        <v>1</v>
      </c>
      <c r="C47" s="49" t="s">
        <v>50</v>
      </c>
      <c r="F47" s="4">
        <v>1200103</v>
      </c>
      <c r="G47" s="4">
        <v>7</v>
      </c>
      <c r="H47" s="4"/>
      <c r="I47" s="4" t="s">
        <v>323</v>
      </c>
      <c r="L47" s="37">
        <v>713</v>
      </c>
      <c r="M47" s="37" t="s">
        <v>52</v>
      </c>
      <c r="N47" s="38">
        <v>11021</v>
      </c>
      <c r="O47" s="38" t="s">
        <v>152</v>
      </c>
      <c r="P47" s="39"/>
      <c r="Q47" s="39"/>
      <c r="R47" s="39"/>
      <c r="S47" t="b">
        <v>0</v>
      </c>
      <c r="T47" s="39"/>
      <c r="U47" s="39">
        <v>71307</v>
      </c>
      <c r="V47" s="39"/>
      <c r="W47" s="39"/>
      <c r="X47" s="39"/>
      <c r="Y47" s="4" t="s">
        <v>324</v>
      </c>
      <c r="Z47" s="4" t="s">
        <v>133</v>
      </c>
      <c r="AA47" s="4">
        <v>12001</v>
      </c>
      <c r="AB47" s="51" t="s">
        <v>154</v>
      </c>
      <c r="AC47" s="51">
        <v>102100</v>
      </c>
      <c r="AD47" s="51">
        <v>11021</v>
      </c>
      <c r="AE47" s="40">
        <v>4277000</v>
      </c>
      <c r="AF47" s="62" t="s">
        <v>294</v>
      </c>
      <c r="AG47" s="52">
        <v>713</v>
      </c>
      <c r="AH47" s="4">
        <v>4</v>
      </c>
      <c r="AI47" s="4" t="s">
        <v>155</v>
      </c>
      <c r="AJ47" s="4" t="s">
        <v>325</v>
      </c>
      <c r="AK47" s="4" t="s">
        <v>157</v>
      </c>
      <c r="AL47" s="4" t="s">
        <v>326</v>
      </c>
      <c r="AM47" s="4" t="s">
        <v>159</v>
      </c>
      <c r="AN47" s="4" t="s">
        <v>327</v>
      </c>
    </row>
    <row r="48" s="4" customFormat="1" spans="1:40">
      <c r="A48" s="48">
        <v>120010308</v>
      </c>
      <c r="B48" s="49">
        <v>1</v>
      </c>
      <c r="C48" s="49" t="s">
        <v>50</v>
      </c>
      <c r="F48" s="4">
        <v>1200103</v>
      </c>
      <c r="G48" s="4">
        <v>8</v>
      </c>
      <c r="H48" s="4"/>
      <c r="I48" s="4" t="s">
        <v>328</v>
      </c>
      <c r="L48" s="37">
        <v>713</v>
      </c>
      <c r="M48" s="37" t="s">
        <v>52</v>
      </c>
      <c r="N48" s="38">
        <v>11022</v>
      </c>
      <c r="O48" s="38" t="s">
        <v>162</v>
      </c>
      <c r="P48" s="39"/>
      <c r="Q48" s="39"/>
      <c r="R48" s="39"/>
      <c r="S48" t="b">
        <v>0</v>
      </c>
      <c r="T48" s="39"/>
      <c r="U48" s="39">
        <v>71308</v>
      </c>
      <c r="V48" s="39"/>
      <c r="W48" s="39"/>
      <c r="X48" s="39"/>
      <c r="Y48" s="4" t="s">
        <v>329</v>
      </c>
      <c r="Z48" s="4" t="s">
        <v>133</v>
      </c>
      <c r="AA48" s="4">
        <v>12001</v>
      </c>
      <c r="AB48" s="51" t="s">
        <v>164</v>
      </c>
      <c r="AC48" s="51">
        <v>102200</v>
      </c>
      <c r="AD48" s="51">
        <v>11022</v>
      </c>
      <c r="AE48" s="40">
        <v>4277000</v>
      </c>
      <c r="AF48" s="62" t="s">
        <v>294</v>
      </c>
      <c r="AG48" s="52">
        <v>713</v>
      </c>
      <c r="AH48" s="4">
        <v>4</v>
      </c>
      <c r="AI48" s="4" t="s">
        <v>165</v>
      </c>
      <c r="AJ48" s="4" t="s">
        <v>330</v>
      </c>
      <c r="AK48" s="4" t="s">
        <v>167</v>
      </c>
      <c r="AL48" s="4" t="s">
        <v>331</v>
      </c>
      <c r="AM48" s="4" t="s">
        <v>165</v>
      </c>
      <c r="AN48" s="4" t="s">
        <v>332</v>
      </c>
    </row>
    <row r="49" s="4" customFormat="1" spans="1:40">
      <c r="A49" s="48">
        <v>120010309</v>
      </c>
      <c r="B49" s="49">
        <v>1</v>
      </c>
      <c r="C49" s="49" t="s">
        <v>50</v>
      </c>
      <c r="F49" s="4">
        <v>1200103</v>
      </c>
      <c r="G49" s="4">
        <v>9</v>
      </c>
      <c r="H49" s="4"/>
      <c r="I49" s="4" t="s">
        <v>333</v>
      </c>
      <c r="L49" s="37">
        <v>713</v>
      </c>
      <c r="M49" s="37" t="s">
        <v>52</v>
      </c>
      <c r="N49" s="38">
        <v>11023</v>
      </c>
      <c r="O49" s="38" t="s">
        <v>171</v>
      </c>
      <c r="P49" s="39"/>
      <c r="Q49" s="39"/>
      <c r="R49" s="39"/>
      <c r="S49" t="b">
        <v>0</v>
      </c>
      <c r="T49" s="39"/>
      <c r="U49" s="39">
        <v>71309</v>
      </c>
      <c r="V49" s="39"/>
      <c r="W49" s="39"/>
      <c r="X49" s="39"/>
      <c r="Y49" s="4" t="s">
        <v>334</v>
      </c>
      <c r="Z49" s="4" t="s">
        <v>133</v>
      </c>
      <c r="AA49" s="4">
        <v>12001</v>
      </c>
      <c r="AB49" s="51" t="s">
        <v>173</v>
      </c>
      <c r="AC49" s="51">
        <v>102300</v>
      </c>
      <c r="AD49" s="51">
        <v>11023</v>
      </c>
      <c r="AE49" s="40">
        <v>4277000</v>
      </c>
      <c r="AF49" s="62" t="s">
        <v>294</v>
      </c>
      <c r="AG49" s="52">
        <v>713</v>
      </c>
      <c r="AH49" s="4">
        <v>4</v>
      </c>
      <c r="AI49" s="4" t="s">
        <v>174</v>
      </c>
      <c r="AJ49" s="4" t="s">
        <v>335</v>
      </c>
      <c r="AK49" s="4" t="s">
        <v>176</v>
      </c>
      <c r="AL49" s="4" t="s">
        <v>336</v>
      </c>
      <c r="AM49" s="4" t="s">
        <v>178</v>
      </c>
      <c r="AN49" s="4" t="s">
        <v>337</v>
      </c>
    </row>
    <row r="50" s="4" customFormat="1" spans="1:40">
      <c r="A50" s="48">
        <v>120010310</v>
      </c>
      <c r="B50" s="49">
        <v>1</v>
      </c>
      <c r="C50" s="49" t="s">
        <v>50</v>
      </c>
      <c r="F50" s="4">
        <v>1200103</v>
      </c>
      <c r="G50" s="4">
        <v>10</v>
      </c>
      <c r="H50" s="4"/>
      <c r="I50" s="4" t="s">
        <v>338</v>
      </c>
      <c r="L50" s="37">
        <v>713</v>
      </c>
      <c r="M50" s="37" t="s">
        <v>52</v>
      </c>
      <c r="N50" s="38">
        <v>11024</v>
      </c>
      <c r="O50" s="38" t="s">
        <v>181</v>
      </c>
      <c r="P50" s="39"/>
      <c r="Q50" s="39"/>
      <c r="R50" s="39"/>
      <c r="S50" t="b">
        <v>0</v>
      </c>
      <c r="T50" s="39"/>
      <c r="U50" s="39">
        <v>71310</v>
      </c>
      <c r="V50" s="39"/>
      <c r="W50" s="39"/>
      <c r="X50" s="39"/>
      <c r="Y50" s="4" t="s">
        <v>339</v>
      </c>
      <c r="Z50" s="4" t="s">
        <v>133</v>
      </c>
      <c r="AA50" s="4">
        <v>12001</v>
      </c>
      <c r="AB50" s="51" t="s">
        <v>183</v>
      </c>
      <c r="AC50" s="51">
        <v>102400</v>
      </c>
      <c r="AD50" s="51">
        <v>11024</v>
      </c>
      <c r="AE50" s="40">
        <v>4277000</v>
      </c>
      <c r="AF50" s="62" t="s">
        <v>294</v>
      </c>
      <c r="AG50" s="52">
        <v>713</v>
      </c>
      <c r="AH50" s="4">
        <v>4</v>
      </c>
      <c r="AI50" s="4" t="s">
        <v>184</v>
      </c>
      <c r="AJ50" s="4" t="s">
        <v>340</v>
      </c>
      <c r="AK50" s="4" t="s">
        <v>186</v>
      </c>
      <c r="AL50" s="4" t="s">
        <v>341</v>
      </c>
      <c r="AM50" s="4" t="s">
        <v>188</v>
      </c>
      <c r="AN50" s="4" t="s">
        <v>342</v>
      </c>
    </row>
    <row r="51" s="4" customFormat="1" spans="1:40">
      <c r="A51" s="48">
        <v>120010401</v>
      </c>
      <c r="B51" s="49">
        <v>1</v>
      </c>
      <c r="C51" s="49" t="s">
        <v>50</v>
      </c>
      <c r="F51" s="4">
        <v>1200104</v>
      </c>
      <c r="G51" s="4">
        <v>1</v>
      </c>
      <c r="I51" s="4" t="s">
        <v>343</v>
      </c>
      <c r="L51" s="37">
        <v>1188</v>
      </c>
      <c r="M51" s="37" t="s">
        <v>52</v>
      </c>
      <c r="N51" s="38">
        <v>11007</v>
      </c>
      <c r="O51" s="38" t="s">
        <v>91</v>
      </c>
      <c r="P51" s="39"/>
      <c r="Q51" s="50"/>
      <c r="R51" s="50"/>
      <c r="S51" t="b">
        <v>0</v>
      </c>
      <c r="T51" s="50"/>
      <c r="U51" s="50">
        <v>71401</v>
      </c>
      <c r="V51" s="50"/>
      <c r="W51" s="50"/>
      <c r="X51" s="50"/>
      <c r="Y51" s="4" t="s">
        <v>344</v>
      </c>
      <c r="Z51" s="4" t="s">
        <v>93</v>
      </c>
      <c r="AA51" s="4">
        <v>12001</v>
      </c>
      <c r="AB51" s="51" t="s">
        <v>94</v>
      </c>
      <c r="AC51" s="51">
        <v>100700</v>
      </c>
      <c r="AD51" s="51">
        <v>11007</v>
      </c>
      <c r="AE51" s="40">
        <v>7128000</v>
      </c>
      <c r="AF51" s="62" t="s">
        <v>345</v>
      </c>
      <c r="AG51" s="52">
        <v>1188</v>
      </c>
      <c r="AH51" s="4">
        <v>5</v>
      </c>
      <c r="AI51" s="4" t="s">
        <v>96</v>
      </c>
      <c r="AJ51" s="4" t="s">
        <v>346</v>
      </c>
      <c r="AK51" s="4" t="s">
        <v>98</v>
      </c>
      <c r="AL51" s="4" t="s">
        <v>347</v>
      </c>
      <c r="AM51" s="4" t="s">
        <v>100</v>
      </c>
      <c r="AN51" s="4" t="s">
        <v>348</v>
      </c>
    </row>
    <row r="52" s="4" customFormat="1" spans="1:40">
      <c r="A52" s="48">
        <v>120010402</v>
      </c>
      <c r="B52" s="49">
        <v>1</v>
      </c>
      <c r="C52" s="49" t="s">
        <v>50</v>
      </c>
      <c r="F52" s="4">
        <v>1200104</v>
      </c>
      <c r="G52" s="4">
        <v>2</v>
      </c>
      <c r="I52" s="4" t="s">
        <v>349</v>
      </c>
      <c r="L52" s="37">
        <v>1188</v>
      </c>
      <c r="M52" s="37" t="s">
        <v>52</v>
      </c>
      <c r="N52" s="38">
        <v>11003</v>
      </c>
      <c r="O52" s="38" t="s">
        <v>103</v>
      </c>
      <c r="P52" s="39"/>
      <c r="Q52" s="50"/>
      <c r="R52" s="50"/>
      <c r="S52" t="b">
        <v>0</v>
      </c>
      <c r="T52" s="50"/>
      <c r="U52" s="50">
        <v>71402</v>
      </c>
      <c r="V52" s="50"/>
      <c r="W52" s="50"/>
      <c r="X52" s="50"/>
      <c r="Y52" s="4" t="s">
        <v>350</v>
      </c>
      <c r="Z52" s="4" t="s">
        <v>93</v>
      </c>
      <c r="AA52" s="4">
        <v>12001</v>
      </c>
      <c r="AB52" s="51" t="s">
        <v>105</v>
      </c>
      <c r="AC52" s="51">
        <v>100300</v>
      </c>
      <c r="AD52" s="51">
        <v>11003</v>
      </c>
      <c r="AE52" s="40">
        <v>7128000</v>
      </c>
      <c r="AF52" s="62" t="s">
        <v>345</v>
      </c>
      <c r="AG52" s="52">
        <v>1188</v>
      </c>
      <c r="AH52" s="4">
        <v>5</v>
      </c>
      <c r="AI52" s="4" t="s">
        <v>106</v>
      </c>
      <c r="AJ52" s="4" t="s">
        <v>351</v>
      </c>
      <c r="AK52" s="4" t="s">
        <v>108</v>
      </c>
      <c r="AL52" s="4" t="s">
        <v>352</v>
      </c>
      <c r="AM52" s="4" t="s">
        <v>106</v>
      </c>
      <c r="AN52" s="4" t="s">
        <v>353</v>
      </c>
    </row>
    <row r="53" s="4" customFormat="1" spans="1:40">
      <c r="A53" s="48">
        <v>120010403</v>
      </c>
      <c r="B53" s="49">
        <v>1</v>
      </c>
      <c r="C53" s="49" t="s">
        <v>50</v>
      </c>
      <c r="F53" s="4">
        <v>1200104</v>
      </c>
      <c r="G53" s="4">
        <v>3</v>
      </c>
      <c r="I53" s="4" t="s">
        <v>354</v>
      </c>
      <c r="L53" s="37">
        <v>1188</v>
      </c>
      <c r="M53" s="37" t="s">
        <v>52</v>
      </c>
      <c r="N53" s="38">
        <v>11012</v>
      </c>
      <c r="O53" s="38" t="s">
        <v>112</v>
      </c>
      <c r="P53" s="39"/>
      <c r="Q53" s="50"/>
      <c r="R53" s="50"/>
      <c r="S53" t="b">
        <v>0</v>
      </c>
      <c r="T53" s="50"/>
      <c r="U53" s="50">
        <v>71403</v>
      </c>
      <c r="V53" s="50"/>
      <c r="W53" s="50"/>
      <c r="X53" s="50"/>
      <c r="Y53" s="4" t="s">
        <v>355</v>
      </c>
      <c r="Z53" s="4" t="s">
        <v>93</v>
      </c>
      <c r="AA53" s="4">
        <v>12001</v>
      </c>
      <c r="AB53" s="51" t="s">
        <v>114</v>
      </c>
      <c r="AC53" s="51">
        <v>101200</v>
      </c>
      <c r="AD53" s="51">
        <v>11012</v>
      </c>
      <c r="AE53" s="40">
        <v>7128000</v>
      </c>
      <c r="AF53" s="62" t="s">
        <v>345</v>
      </c>
      <c r="AG53" s="52">
        <v>1188</v>
      </c>
      <c r="AH53" s="4">
        <v>5</v>
      </c>
      <c r="AI53" s="4" t="s">
        <v>115</v>
      </c>
      <c r="AJ53" s="4" t="s">
        <v>356</v>
      </c>
      <c r="AK53" s="4" t="s">
        <v>117</v>
      </c>
      <c r="AL53" s="4" t="s">
        <v>357</v>
      </c>
      <c r="AM53" s="4" t="s">
        <v>115</v>
      </c>
      <c r="AN53" s="4" t="s">
        <v>358</v>
      </c>
    </row>
    <row r="54" s="4" customFormat="1" spans="1:40">
      <c r="A54" s="48">
        <v>120010404</v>
      </c>
      <c r="B54" s="49">
        <v>1</v>
      </c>
      <c r="C54" s="49" t="s">
        <v>50</v>
      </c>
      <c r="F54" s="4">
        <v>1200104</v>
      </c>
      <c r="G54" s="4">
        <v>4</v>
      </c>
      <c r="I54" s="4" t="s">
        <v>359</v>
      </c>
      <c r="L54" s="37">
        <v>1188</v>
      </c>
      <c r="M54" s="37" t="s">
        <v>52</v>
      </c>
      <c r="N54" s="38">
        <v>11014</v>
      </c>
      <c r="O54" s="38" t="s">
        <v>121</v>
      </c>
      <c r="P54" s="39"/>
      <c r="Q54" s="50"/>
      <c r="R54" s="50"/>
      <c r="S54" t="b">
        <v>0</v>
      </c>
      <c r="T54" s="50"/>
      <c r="U54" s="50">
        <v>71404</v>
      </c>
      <c r="V54" s="50"/>
      <c r="W54" s="50"/>
      <c r="X54" s="50"/>
      <c r="Y54" s="4" t="s">
        <v>360</v>
      </c>
      <c r="Z54" s="4" t="s">
        <v>93</v>
      </c>
      <c r="AA54" s="4">
        <v>12001</v>
      </c>
      <c r="AB54" s="51" t="s">
        <v>123</v>
      </c>
      <c r="AC54" s="51">
        <v>101400</v>
      </c>
      <c r="AD54" s="51">
        <v>11014</v>
      </c>
      <c r="AE54" s="40">
        <v>7128000</v>
      </c>
      <c r="AF54" s="62" t="s">
        <v>345</v>
      </c>
      <c r="AG54" s="52">
        <v>1188</v>
      </c>
      <c r="AH54" s="4">
        <v>5</v>
      </c>
      <c r="AI54" s="4" t="s">
        <v>124</v>
      </c>
      <c r="AJ54" s="4" t="s">
        <v>361</v>
      </c>
      <c r="AK54" s="4" t="s">
        <v>126</v>
      </c>
      <c r="AL54" s="4" t="s">
        <v>362</v>
      </c>
      <c r="AM54" s="4" t="s">
        <v>128</v>
      </c>
      <c r="AN54" s="4" t="s">
        <v>363</v>
      </c>
    </row>
    <row r="55" s="4" customFormat="1" spans="1:40">
      <c r="A55" s="48">
        <v>120010405</v>
      </c>
      <c r="B55" s="49">
        <v>1</v>
      </c>
      <c r="C55" s="49" t="s">
        <v>50</v>
      </c>
      <c r="F55" s="4">
        <v>1200104</v>
      </c>
      <c r="G55" s="4">
        <v>5</v>
      </c>
      <c r="I55" s="4" t="s">
        <v>364</v>
      </c>
      <c r="L55" s="37">
        <v>1188</v>
      </c>
      <c r="M55" s="37" t="s">
        <v>52</v>
      </c>
      <c r="N55" s="38">
        <v>11003</v>
      </c>
      <c r="O55" s="38" t="s">
        <v>131</v>
      </c>
      <c r="P55" s="39"/>
      <c r="Q55" s="50"/>
      <c r="R55" s="50"/>
      <c r="S55" t="b">
        <v>0</v>
      </c>
      <c r="T55" s="50"/>
      <c r="U55" s="50">
        <v>71405</v>
      </c>
      <c r="V55" s="50"/>
      <c r="W55" s="50"/>
      <c r="X55" s="50"/>
      <c r="Y55" s="4" t="s">
        <v>365</v>
      </c>
      <c r="Z55" s="4" t="s">
        <v>133</v>
      </c>
      <c r="AA55" s="4">
        <v>12001</v>
      </c>
      <c r="AB55" s="51" t="s">
        <v>134</v>
      </c>
      <c r="AC55" s="51">
        <v>0</v>
      </c>
      <c r="AD55" s="51">
        <v>11003</v>
      </c>
      <c r="AE55" s="40">
        <v>7128000</v>
      </c>
      <c r="AF55" s="62" t="s">
        <v>345</v>
      </c>
      <c r="AG55" s="52">
        <v>1188</v>
      </c>
      <c r="AH55" s="4">
        <v>5</v>
      </c>
      <c r="AI55" s="4" t="s">
        <v>135</v>
      </c>
      <c r="AJ55" s="4" t="s">
        <v>366</v>
      </c>
      <c r="AK55" s="4" t="s">
        <v>137</v>
      </c>
      <c r="AL55" s="4" t="s">
        <v>367</v>
      </c>
      <c r="AM55" s="4" t="s">
        <v>139</v>
      </c>
      <c r="AN55" s="4" t="s">
        <v>368</v>
      </c>
    </row>
    <row r="56" s="4" customFormat="1" spans="1:40">
      <c r="A56" s="48">
        <v>120010406</v>
      </c>
      <c r="B56" s="49">
        <v>1</v>
      </c>
      <c r="C56" s="49" t="s">
        <v>50</v>
      </c>
      <c r="F56" s="4">
        <v>1200104</v>
      </c>
      <c r="G56" s="4">
        <v>6</v>
      </c>
      <c r="H56" s="4"/>
      <c r="I56" s="4" t="s">
        <v>369</v>
      </c>
      <c r="L56" s="37">
        <v>1188</v>
      </c>
      <c r="M56" s="37" t="s">
        <v>52</v>
      </c>
      <c r="N56" s="38">
        <v>11017</v>
      </c>
      <c r="O56" s="38" t="s">
        <v>142</v>
      </c>
      <c r="P56" s="39"/>
      <c r="Q56" s="39"/>
      <c r="R56" s="39"/>
      <c r="S56" t="b">
        <v>0</v>
      </c>
      <c r="T56" s="39"/>
      <c r="U56" s="39">
        <v>71406</v>
      </c>
      <c r="V56" s="39"/>
      <c r="W56" s="39"/>
      <c r="X56" s="39"/>
      <c r="Y56" s="4" t="s">
        <v>370</v>
      </c>
      <c r="Z56" s="4" t="s">
        <v>133</v>
      </c>
      <c r="AA56" s="4">
        <v>12001</v>
      </c>
      <c r="AB56" s="51" t="s">
        <v>144</v>
      </c>
      <c r="AC56" s="51">
        <v>101700</v>
      </c>
      <c r="AD56" s="51">
        <v>11017</v>
      </c>
      <c r="AE56" s="40">
        <v>7128000</v>
      </c>
      <c r="AF56" s="62" t="s">
        <v>345</v>
      </c>
      <c r="AG56" s="4">
        <v>1188</v>
      </c>
      <c r="AH56" s="4">
        <v>5</v>
      </c>
      <c r="AI56" s="4" t="s">
        <v>145</v>
      </c>
      <c r="AJ56" s="4" t="s">
        <v>371</v>
      </c>
      <c r="AK56" s="4" t="s">
        <v>147</v>
      </c>
      <c r="AL56" s="4" t="s">
        <v>372</v>
      </c>
      <c r="AM56" s="4" t="s">
        <v>149</v>
      </c>
      <c r="AN56" s="4" t="s">
        <v>373</v>
      </c>
    </row>
    <row r="57" s="4" customFormat="1" spans="1:40">
      <c r="A57" s="48">
        <v>120010407</v>
      </c>
      <c r="B57" s="49">
        <v>1</v>
      </c>
      <c r="C57" s="49" t="s">
        <v>50</v>
      </c>
      <c r="F57" s="4">
        <v>1200104</v>
      </c>
      <c r="G57" s="4">
        <v>7</v>
      </c>
      <c r="H57" s="4"/>
      <c r="I57" s="4" t="s">
        <v>374</v>
      </c>
      <c r="L57" s="37">
        <v>1188</v>
      </c>
      <c r="M57" s="37" t="s">
        <v>52</v>
      </c>
      <c r="N57" s="38">
        <v>11021</v>
      </c>
      <c r="O57" s="38" t="s">
        <v>152</v>
      </c>
      <c r="P57" s="39"/>
      <c r="Q57" s="39"/>
      <c r="R57" s="39"/>
      <c r="S57" t="b">
        <v>0</v>
      </c>
      <c r="T57" s="39"/>
      <c r="U57" s="39">
        <v>71407</v>
      </c>
      <c r="V57" s="39"/>
      <c r="W57" s="39"/>
      <c r="X57" s="39"/>
      <c r="Y57" s="4" t="s">
        <v>375</v>
      </c>
      <c r="Z57" s="4" t="s">
        <v>133</v>
      </c>
      <c r="AA57" s="4">
        <v>12001</v>
      </c>
      <c r="AB57" s="51" t="s">
        <v>154</v>
      </c>
      <c r="AC57" s="51">
        <v>102100</v>
      </c>
      <c r="AD57" s="51">
        <v>11021</v>
      </c>
      <c r="AE57" s="40">
        <v>7128000</v>
      </c>
      <c r="AF57" s="62" t="s">
        <v>345</v>
      </c>
      <c r="AG57" s="4">
        <v>1188</v>
      </c>
      <c r="AH57" s="4">
        <v>5</v>
      </c>
      <c r="AI57" s="4" t="s">
        <v>155</v>
      </c>
      <c r="AJ57" s="4" t="s">
        <v>376</v>
      </c>
      <c r="AK57" s="4" t="s">
        <v>157</v>
      </c>
      <c r="AL57" s="4" t="s">
        <v>377</v>
      </c>
      <c r="AM57" s="4" t="s">
        <v>159</v>
      </c>
      <c r="AN57" s="4" t="s">
        <v>378</v>
      </c>
    </row>
    <row r="58" s="4" customFormat="1" spans="1:40">
      <c r="A58" s="48">
        <v>120010408</v>
      </c>
      <c r="B58" s="49">
        <v>1</v>
      </c>
      <c r="C58" s="49" t="s">
        <v>50</v>
      </c>
      <c r="F58" s="4">
        <v>1200104</v>
      </c>
      <c r="G58" s="4">
        <v>8</v>
      </c>
      <c r="H58" s="4"/>
      <c r="I58" s="4" t="s">
        <v>379</v>
      </c>
      <c r="L58" s="37">
        <v>1188</v>
      </c>
      <c r="M58" s="37" t="s">
        <v>52</v>
      </c>
      <c r="N58" s="38">
        <v>11022</v>
      </c>
      <c r="O58" s="38" t="s">
        <v>162</v>
      </c>
      <c r="P58" s="39"/>
      <c r="Q58" s="39"/>
      <c r="R58" s="39"/>
      <c r="S58" t="b">
        <v>0</v>
      </c>
      <c r="T58" s="39"/>
      <c r="U58" s="39">
        <v>71408</v>
      </c>
      <c r="V58" s="39"/>
      <c r="W58" s="39"/>
      <c r="X58" s="39"/>
      <c r="Y58" s="4" t="s">
        <v>380</v>
      </c>
      <c r="Z58" s="4" t="s">
        <v>133</v>
      </c>
      <c r="AA58" s="4">
        <v>12001</v>
      </c>
      <c r="AB58" s="51" t="s">
        <v>164</v>
      </c>
      <c r="AC58" s="51">
        <v>102200</v>
      </c>
      <c r="AD58" s="51">
        <v>11022</v>
      </c>
      <c r="AE58" s="40">
        <v>7128000</v>
      </c>
      <c r="AF58" s="62" t="s">
        <v>345</v>
      </c>
      <c r="AG58" s="4">
        <v>1188</v>
      </c>
      <c r="AH58" s="4">
        <v>5</v>
      </c>
      <c r="AI58" s="4" t="s">
        <v>165</v>
      </c>
      <c r="AJ58" s="4" t="s">
        <v>381</v>
      </c>
      <c r="AK58" s="4" t="s">
        <v>167</v>
      </c>
      <c r="AL58" s="4" t="s">
        <v>382</v>
      </c>
      <c r="AM58" s="4" t="s">
        <v>165</v>
      </c>
      <c r="AN58" s="4" t="s">
        <v>383</v>
      </c>
    </row>
    <row r="59" s="4" customFormat="1" spans="1:40">
      <c r="A59" s="48">
        <v>120010409</v>
      </c>
      <c r="B59" s="49">
        <v>1</v>
      </c>
      <c r="C59" s="49" t="s">
        <v>50</v>
      </c>
      <c r="F59" s="4">
        <v>1200104</v>
      </c>
      <c r="G59" s="4">
        <v>9</v>
      </c>
      <c r="H59" s="4"/>
      <c r="I59" s="4" t="s">
        <v>384</v>
      </c>
      <c r="L59" s="37">
        <v>1188</v>
      </c>
      <c r="M59" s="37" t="s">
        <v>52</v>
      </c>
      <c r="N59" s="38">
        <v>11023</v>
      </c>
      <c r="O59" s="38" t="s">
        <v>171</v>
      </c>
      <c r="P59" s="39"/>
      <c r="Q59" s="39"/>
      <c r="R59" s="39"/>
      <c r="S59" t="b">
        <v>0</v>
      </c>
      <c r="T59" s="39"/>
      <c r="U59" s="39">
        <v>71409</v>
      </c>
      <c r="V59" s="39"/>
      <c r="W59" s="39"/>
      <c r="X59" s="39"/>
      <c r="Y59" s="4" t="s">
        <v>385</v>
      </c>
      <c r="Z59" s="4" t="s">
        <v>133</v>
      </c>
      <c r="AA59" s="4">
        <v>12001</v>
      </c>
      <c r="AB59" s="51" t="s">
        <v>173</v>
      </c>
      <c r="AC59" s="51">
        <v>102300</v>
      </c>
      <c r="AD59" s="51">
        <v>11023</v>
      </c>
      <c r="AE59" s="40">
        <v>7128000</v>
      </c>
      <c r="AF59" s="62" t="s">
        <v>345</v>
      </c>
      <c r="AG59" s="4">
        <v>1188</v>
      </c>
      <c r="AH59" s="4">
        <v>5</v>
      </c>
      <c r="AI59" s="4" t="s">
        <v>174</v>
      </c>
      <c r="AJ59" s="4" t="s">
        <v>386</v>
      </c>
      <c r="AK59" s="4" t="s">
        <v>176</v>
      </c>
      <c r="AL59" s="4" t="s">
        <v>387</v>
      </c>
      <c r="AM59" s="4" t="s">
        <v>178</v>
      </c>
      <c r="AN59" s="4" t="s">
        <v>388</v>
      </c>
    </row>
    <row r="60" s="4" customFormat="1" spans="1:40">
      <c r="A60" s="48">
        <v>120010410</v>
      </c>
      <c r="B60" s="49">
        <v>1</v>
      </c>
      <c r="C60" s="49" t="s">
        <v>50</v>
      </c>
      <c r="F60" s="4">
        <v>1200104</v>
      </c>
      <c r="G60" s="4">
        <v>10</v>
      </c>
      <c r="H60" s="4"/>
      <c r="I60" s="4" t="s">
        <v>389</v>
      </c>
      <c r="L60" s="37">
        <v>1188</v>
      </c>
      <c r="M60" s="37" t="s">
        <v>52</v>
      </c>
      <c r="N60" s="38">
        <v>11024</v>
      </c>
      <c r="O60" s="38" t="s">
        <v>181</v>
      </c>
      <c r="P60" s="39"/>
      <c r="Q60" s="39"/>
      <c r="R60" s="39"/>
      <c r="S60" t="b">
        <v>0</v>
      </c>
      <c r="T60" s="39"/>
      <c r="U60" s="39">
        <v>71410</v>
      </c>
      <c r="V60" s="39"/>
      <c r="W60" s="39"/>
      <c r="X60" s="39"/>
      <c r="Y60" s="4" t="s">
        <v>390</v>
      </c>
      <c r="Z60" s="4" t="s">
        <v>133</v>
      </c>
      <c r="AA60" s="4">
        <v>12001</v>
      </c>
      <c r="AB60" s="51" t="s">
        <v>183</v>
      </c>
      <c r="AC60" s="51">
        <v>102400</v>
      </c>
      <c r="AD60" s="51">
        <v>11024</v>
      </c>
      <c r="AE60" s="40">
        <v>7128000</v>
      </c>
      <c r="AF60" s="62" t="s">
        <v>345</v>
      </c>
      <c r="AG60" s="4">
        <v>1188</v>
      </c>
      <c r="AH60" s="4">
        <v>5</v>
      </c>
      <c r="AI60" s="4" t="s">
        <v>184</v>
      </c>
      <c r="AJ60" s="4" t="s">
        <v>391</v>
      </c>
      <c r="AK60" s="4" t="s">
        <v>186</v>
      </c>
      <c r="AL60" s="4" t="s">
        <v>392</v>
      </c>
      <c r="AM60" s="4" t="s">
        <v>188</v>
      </c>
      <c r="AN60" s="4" t="s">
        <v>393</v>
      </c>
    </row>
    <row r="61" spans="1:40">
      <c r="A61" s="49">
        <v>100030101</v>
      </c>
      <c r="B61" s="49">
        <v>1</v>
      </c>
      <c r="C61" s="49" t="s">
        <v>50</v>
      </c>
      <c r="F61" s="4">
        <v>1000301</v>
      </c>
      <c r="G61" s="4">
        <v>1</v>
      </c>
      <c r="I61" s="4" t="s">
        <v>394</v>
      </c>
      <c r="L61" s="4">
        <v>67</v>
      </c>
      <c r="M61" s="37" t="s">
        <v>52</v>
      </c>
      <c r="N61" s="38">
        <v>11007</v>
      </c>
      <c r="O61" s="38" t="s">
        <v>91</v>
      </c>
      <c r="Q61" s="50"/>
      <c r="R61" s="50"/>
      <c r="S61" t="b">
        <v>0</v>
      </c>
      <c r="T61" s="50"/>
      <c r="U61" s="50">
        <v>72001</v>
      </c>
      <c r="V61" s="50"/>
      <c r="W61" s="50"/>
      <c r="X61" s="50"/>
      <c r="Y61" s="4" t="s">
        <v>395</v>
      </c>
      <c r="Z61" s="4" t="s">
        <v>396</v>
      </c>
      <c r="AA61" s="4">
        <v>10003</v>
      </c>
      <c r="AB61" s="4" t="s">
        <v>94</v>
      </c>
      <c r="AC61" s="4">
        <v>100700</v>
      </c>
      <c r="AD61" s="4">
        <v>11007</v>
      </c>
      <c r="AE61" s="40">
        <v>400000</v>
      </c>
      <c r="AF61" s="62" t="s">
        <v>397</v>
      </c>
      <c r="AG61" s="4">
        <v>67</v>
      </c>
      <c r="AH61" s="4">
        <v>1</v>
      </c>
      <c r="AI61" s="4" t="s">
        <v>96</v>
      </c>
      <c r="AJ61" s="4" t="s">
        <v>398</v>
      </c>
      <c r="AK61" s="4" t="s">
        <v>98</v>
      </c>
      <c r="AL61" s="4" t="s">
        <v>399</v>
      </c>
      <c r="AM61" s="4" t="s">
        <v>100</v>
      </c>
      <c r="AN61" s="4" t="s">
        <v>400</v>
      </c>
    </row>
    <row r="62" spans="1:40">
      <c r="A62" s="49">
        <v>100030102</v>
      </c>
      <c r="B62" s="49">
        <v>1</v>
      </c>
      <c r="C62" s="49" t="s">
        <v>50</v>
      </c>
      <c r="F62" s="4">
        <v>1000301</v>
      </c>
      <c r="G62" s="4">
        <v>2</v>
      </c>
      <c r="I62" s="4" t="s">
        <v>401</v>
      </c>
      <c r="L62" s="4">
        <v>67</v>
      </c>
      <c r="M62" s="37" t="s">
        <v>52</v>
      </c>
      <c r="N62" s="38">
        <v>11003</v>
      </c>
      <c r="O62" s="38" t="s">
        <v>103</v>
      </c>
      <c r="Q62" s="50"/>
      <c r="R62" s="50"/>
      <c r="S62" t="b">
        <v>0</v>
      </c>
      <c r="T62" s="50"/>
      <c r="U62" s="50">
        <v>72002</v>
      </c>
      <c r="V62" s="50"/>
      <c r="W62" s="50"/>
      <c r="X62" s="50"/>
      <c r="Y62" s="4" t="s">
        <v>402</v>
      </c>
      <c r="Z62" s="4" t="s">
        <v>396</v>
      </c>
      <c r="AA62" s="4">
        <v>10003</v>
      </c>
      <c r="AB62" s="4" t="s">
        <v>105</v>
      </c>
      <c r="AC62" s="4">
        <v>100300</v>
      </c>
      <c r="AD62" s="4">
        <v>11003</v>
      </c>
      <c r="AE62" s="40">
        <v>400000</v>
      </c>
      <c r="AF62" s="62" t="s">
        <v>397</v>
      </c>
      <c r="AG62" s="4">
        <v>67</v>
      </c>
      <c r="AH62" s="4">
        <v>1</v>
      </c>
      <c r="AI62" s="4" t="s">
        <v>106</v>
      </c>
      <c r="AJ62" s="4" t="s">
        <v>403</v>
      </c>
      <c r="AK62" s="4" t="s">
        <v>108</v>
      </c>
      <c r="AL62" s="4" t="s">
        <v>404</v>
      </c>
      <c r="AM62" s="4" t="s">
        <v>106</v>
      </c>
      <c r="AN62" s="4" t="s">
        <v>405</v>
      </c>
    </row>
    <row r="63" spans="1:40">
      <c r="A63" s="49">
        <v>100030103</v>
      </c>
      <c r="B63" s="49">
        <v>1</v>
      </c>
      <c r="C63" s="49" t="s">
        <v>50</v>
      </c>
      <c r="F63" s="4">
        <v>1000301</v>
      </c>
      <c r="G63" s="4">
        <v>3</v>
      </c>
      <c r="I63" s="4" t="s">
        <v>406</v>
      </c>
      <c r="L63" s="4">
        <v>67</v>
      </c>
      <c r="M63" s="37" t="s">
        <v>52</v>
      </c>
      <c r="N63" s="38">
        <v>11012</v>
      </c>
      <c r="O63" s="38" t="s">
        <v>112</v>
      </c>
      <c r="Q63" s="50"/>
      <c r="R63" s="50"/>
      <c r="S63" t="b">
        <v>0</v>
      </c>
      <c r="T63" s="50"/>
      <c r="U63" s="50">
        <v>72003</v>
      </c>
      <c r="V63" s="50"/>
      <c r="W63" s="50"/>
      <c r="X63" s="50"/>
      <c r="Y63" s="4" t="s">
        <v>407</v>
      </c>
      <c r="Z63" s="4" t="s">
        <v>396</v>
      </c>
      <c r="AA63" s="4">
        <v>10003</v>
      </c>
      <c r="AB63" s="4" t="s">
        <v>114</v>
      </c>
      <c r="AC63" s="4">
        <v>101200</v>
      </c>
      <c r="AD63" s="4">
        <v>11012</v>
      </c>
      <c r="AE63" s="40">
        <v>400000</v>
      </c>
      <c r="AF63" s="62" t="s">
        <v>397</v>
      </c>
      <c r="AG63" s="4">
        <v>67</v>
      </c>
      <c r="AH63" s="4">
        <v>1</v>
      </c>
      <c r="AI63" s="4" t="s">
        <v>115</v>
      </c>
      <c r="AJ63" s="4" t="s">
        <v>408</v>
      </c>
      <c r="AK63" s="4" t="s">
        <v>117</v>
      </c>
      <c r="AL63" s="4" t="s">
        <v>409</v>
      </c>
      <c r="AM63" s="4" t="s">
        <v>115</v>
      </c>
      <c r="AN63" s="4" t="s">
        <v>410</v>
      </c>
    </row>
    <row r="64" spans="1:40">
      <c r="A64" s="49">
        <v>100030104</v>
      </c>
      <c r="B64" s="49">
        <v>1</v>
      </c>
      <c r="C64" s="49" t="s">
        <v>50</v>
      </c>
      <c r="F64" s="4">
        <v>1000301</v>
      </c>
      <c r="G64" s="4">
        <v>4</v>
      </c>
      <c r="I64" s="4" t="s">
        <v>411</v>
      </c>
      <c r="L64" s="4">
        <v>67</v>
      </c>
      <c r="M64" s="37" t="s">
        <v>52</v>
      </c>
      <c r="N64" s="38">
        <v>11014</v>
      </c>
      <c r="O64" s="38" t="s">
        <v>121</v>
      </c>
      <c r="Q64" s="50"/>
      <c r="R64" s="50"/>
      <c r="S64" t="b">
        <v>0</v>
      </c>
      <c r="T64" s="50"/>
      <c r="U64" s="50">
        <v>72004</v>
      </c>
      <c r="V64" s="50"/>
      <c r="W64" s="50"/>
      <c r="X64" s="50"/>
      <c r="Y64" s="4" t="s">
        <v>412</v>
      </c>
      <c r="Z64" s="4" t="s">
        <v>396</v>
      </c>
      <c r="AA64" s="4">
        <v>10003</v>
      </c>
      <c r="AB64" s="4" t="s">
        <v>123</v>
      </c>
      <c r="AC64" s="4">
        <v>101400</v>
      </c>
      <c r="AD64" s="4">
        <v>11014</v>
      </c>
      <c r="AE64" s="40">
        <v>400000</v>
      </c>
      <c r="AF64" s="62" t="s">
        <v>397</v>
      </c>
      <c r="AG64" s="4">
        <v>67</v>
      </c>
      <c r="AH64" s="4">
        <v>1</v>
      </c>
      <c r="AI64" s="4" t="s">
        <v>124</v>
      </c>
      <c r="AJ64" s="4" t="s">
        <v>413</v>
      </c>
      <c r="AK64" s="4" t="s">
        <v>126</v>
      </c>
      <c r="AL64" s="4" t="s">
        <v>414</v>
      </c>
      <c r="AM64" s="4" t="s">
        <v>128</v>
      </c>
      <c r="AN64" s="4" t="s">
        <v>415</v>
      </c>
    </row>
    <row r="65" spans="1:40">
      <c r="A65" s="49">
        <v>100030105</v>
      </c>
      <c r="B65" s="49">
        <v>1</v>
      </c>
      <c r="C65" s="49" t="s">
        <v>50</v>
      </c>
      <c r="F65" s="4">
        <v>1000301</v>
      </c>
      <c r="G65" s="4">
        <v>5</v>
      </c>
      <c r="I65" s="4" t="s">
        <v>416</v>
      </c>
      <c r="L65" s="4">
        <v>67</v>
      </c>
      <c r="M65" s="37" t="s">
        <v>52</v>
      </c>
      <c r="N65" s="38">
        <v>11003</v>
      </c>
      <c r="O65" s="38" t="s">
        <v>417</v>
      </c>
      <c r="Q65" s="50"/>
      <c r="R65" s="50"/>
      <c r="S65" t="b">
        <v>0</v>
      </c>
      <c r="T65" s="50"/>
      <c r="U65" s="50">
        <v>72005</v>
      </c>
      <c r="V65" s="50"/>
      <c r="W65" s="50"/>
      <c r="X65" s="50"/>
      <c r="Y65" s="4" t="s">
        <v>418</v>
      </c>
      <c r="Z65" s="4" t="s">
        <v>133</v>
      </c>
      <c r="AA65" s="4">
        <v>10003</v>
      </c>
      <c r="AB65" s="4" t="s">
        <v>419</v>
      </c>
      <c r="AC65" s="4">
        <v>0</v>
      </c>
      <c r="AD65" s="4">
        <v>11003</v>
      </c>
      <c r="AE65" s="40">
        <v>400000</v>
      </c>
      <c r="AF65" s="62" t="s">
        <v>397</v>
      </c>
      <c r="AG65" s="4">
        <v>67</v>
      </c>
      <c r="AH65" s="4">
        <v>1</v>
      </c>
      <c r="AI65" s="4" t="s">
        <v>135</v>
      </c>
      <c r="AJ65" s="4" t="s">
        <v>420</v>
      </c>
      <c r="AK65" s="4" t="s">
        <v>137</v>
      </c>
      <c r="AL65" s="4" t="s">
        <v>421</v>
      </c>
      <c r="AM65" s="4" t="s">
        <v>139</v>
      </c>
      <c r="AN65" s="4" t="s">
        <v>422</v>
      </c>
    </row>
    <row r="66" spans="1:40">
      <c r="A66" s="49">
        <v>100030106</v>
      </c>
      <c r="B66" s="49">
        <v>1</v>
      </c>
      <c r="C66" s="49" t="s">
        <v>50</v>
      </c>
      <c r="F66" s="4">
        <v>1000301</v>
      </c>
      <c r="G66" s="4">
        <v>6</v>
      </c>
      <c r="I66" s="4" t="s">
        <v>423</v>
      </c>
      <c r="L66" s="4">
        <v>67</v>
      </c>
      <c r="M66" s="37" t="s">
        <v>52</v>
      </c>
      <c r="N66" s="38">
        <v>11017</v>
      </c>
      <c r="O66" s="38" t="s">
        <v>142</v>
      </c>
      <c r="S66" t="b">
        <v>0</v>
      </c>
      <c r="U66" s="39">
        <v>72006</v>
      </c>
      <c r="Y66" s="4" t="s">
        <v>424</v>
      </c>
      <c r="Z66" s="4" t="s">
        <v>396</v>
      </c>
      <c r="AA66" s="4">
        <v>10003</v>
      </c>
      <c r="AB66" s="4" t="s">
        <v>144</v>
      </c>
      <c r="AC66" s="4">
        <v>101700</v>
      </c>
      <c r="AD66" s="4">
        <v>11017</v>
      </c>
      <c r="AE66" s="40">
        <v>400000</v>
      </c>
      <c r="AF66" s="62" t="s">
        <v>397</v>
      </c>
      <c r="AG66" s="4">
        <v>67</v>
      </c>
      <c r="AH66" s="4">
        <v>1</v>
      </c>
      <c r="AI66" s="4" t="s">
        <v>145</v>
      </c>
      <c r="AJ66" s="4" t="s">
        <v>425</v>
      </c>
      <c r="AK66" s="4" t="s">
        <v>147</v>
      </c>
      <c r="AL66" s="4" t="s">
        <v>426</v>
      </c>
      <c r="AM66" s="4" t="s">
        <v>149</v>
      </c>
      <c r="AN66" s="4" t="s">
        <v>427</v>
      </c>
    </row>
    <row r="67" spans="1:40">
      <c r="A67" s="49">
        <v>100030107</v>
      </c>
      <c r="B67" s="49">
        <v>1</v>
      </c>
      <c r="C67" s="49" t="s">
        <v>50</v>
      </c>
      <c r="F67" s="4">
        <v>1000301</v>
      </c>
      <c r="G67" s="4">
        <v>7</v>
      </c>
      <c r="I67" s="4" t="s">
        <v>428</v>
      </c>
      <c r="L67" s="4">
        <v>67</v>
      </c>
      <c r="M67" s="37" t="s">
        <v>52</v>
      </c>
      <c r="N67" s="38">
        <v>11021</v>
      </c>
      <c r="O67" s="38" t="s">
        <v>152</v>
      </c>
      <c r="S67" t="b">
        <v>0</v>
      </c>
      <c r="U67" s="39">
        <v>72007</v>
      </c>
      <c r="Y67" s="4" t="s">
        <v>429</v>
      </c>
      <c r="Z67" s="4" t="s">
        <v>396</v>
      </c>
      <c r="AA67" s="4">
        <v>10003</v>
      </c>
      <c r="AB67" s="4" t="s">
        <v>154</v>
      </c>
      <c r="AC67" s="4">
        <v>102100</v>
      </c>
      <c r="AD67" s="4">
        <v>11021</v>
      </c>
      <c r="AE67" s="40">
        <v>400000</v>
      </c>
      <c r="AF67" s="62" t="s">
        <v>397</v>
      </c>
      <c r="AG67" s="4">
        <v>67</v>
      </c>
      <c r="AH67" s="4">
        <v>1</v>
      </c>
      <c r="AI67" s="4" t="s">
        <v>155</v>
      </c>
      <c r="AJ67" s="4" t="s">
        <v>430</v>
      </c>
      <c r="AK67" s="4" t="s">
        <v>157</v>
      </c>
      <c r="AL67" s="4" t="s">
        <v>431</v>
      </c>
      <c r="AM67" s="4" t="s">
        <v>159</v>
      </c>
      <c r="AN67" s="4" t="s">
        <v>432</v>
      </c>
    </row>
    <row r="68" spans="1:40">
      <c r="A68" s="49">
        <v>100030108</v>
      </c>
      <c r="B68" s="49">
        <v>1</v>
      </c>
      <c r="C68" s="49" t="s">
        <v>50</v>
      </c>
      <c r="F68" s="4">
        <v>1000301</v>
      </c>
      <c r="G68" s="4">
        <v>8</v>
      </c>
      <c r="I68" s="4" t="s">
        <v>433</v>
      </c>
      <c r="L68" s="4">
        <v>67</v>
      </c>
      <c r="M68" s="37" t="s">
        <v>52</v>
      </c>
      <c r="N68" s="38">
        <v>11022</v>
      </c>
      <c r="O68" s="38" t="s">
        <v>162</v>
      </c>
      <c r="S68" t="b">
        <v>0</v>
      </c>
      <c r="U68" s="39">
        <v>72008</v>
      </c>
      <c r="Y68" s="4" t="s">
        <v>434</v>
      </c>
      <c r="Z68" s="4" t="s">
        <v>396</v>
      </c>
      <c r="AA68" s="4">
        <v>10003</v>
      </c>
      <c r="AB68" s="4" t="s">
        <v>164</v>
      </c>
      <c r="AC68" s="4">
        <v>102200</v>
      </c>
      <c r="AD68" s="4">
        <v>11022</v>
      </c>
      <c r="AE68" s="40">
        <v>400000</v>
      </c>
      <c r="AF68" s="62" t="s">
        <v>397</v>
      </c>
      <c r="AG68" s="4">
        <v>67</v>
      </c>
      <c r="AH68" s="4">
        <v>1</v>
      </c>
      <c r="AI68" s="4" t="s">
        <v>165</v>
      </c>
      <c r="AJ68" s="4" t="s">
        <v>435</v>
      </c>
      <c r="AK68" s="4" t="s">
        <v>167</v>
      </c>
      <c r="AL68" s="4" t="s">
        <v>436</v>
      </c>
      <c r="AM68" s="4" t="s">
        <v>165</v>
      </c>
      <c r="AN68" s="4" t="s">
        <v>437</v>
      </c>
    </row>
    <row r="69" spans="1:40">
      <c r="A69" s="49">
        <v>100030109</v>
      </c>
      <c r="B69" s="49">
        <v>1</v>
      </c>
      <c r="C69" s="49" t="s">
        <v>50</v>
      </c>
      <c r="F69" s="4">
        <v>1000301</v>
      </c>
      <c r="G69" s="4">
        <v>9</v>
      </c>
      <c r="I69" s="4" t="s">
        <v>438</v>
      </c>
      <c r="L69" s="4">
        <v>67</v>
      </c>
      <c r="M69" s="37" t="s">
        <v>52</v>
      </c>
      <c r="N69" s="38">
        <v>11023</v>
      </c>
      <c r="O69" s="38" t="s">
        <v>171</v>
      </c>
      <c r="S69" t="b">
        <v>0</v>
      </c>
      <c r="U69" s="39">
        <v>72009</v>
      </c>
      <c r="Y69" s="4" t="s">
        <v>439</v>
      </c>
      <c r="Z69" s="4" t="s">
        <v>396</v>
      </c>
      <c r="AA69" s="4">
        <v>10003</v>
      </c>
      <c r="AB69" s="4" t="s">
        <v>173</v>
      </c>
      <c r="AC69" s="4">
        <v>102300</v>
      </c>
      <c r="AD69" s="4">
        <v>11023</v>
      </c>
      <c r="AE69" s="40">
        <v>400000</v>
      </c>
      <c r="AF69" s="62" t="s">
        <v>397</v>
      </c>
      <c r="AG69" s="4">
        <v>67</v>
      </c>
      <c r="AH69" s="4">
        <v>1</v>
      </c>
      <c r="AI69" s="4" t="s">
        <v>174</v>
      </c>
      <c r="AJ69" s="4" t="s">
        <v>440</v>
      </c>
      <c r="AK69" s="4" t="s">
        <v>176</v>
      </c>
      <c r="AL69" s="4" t="s">
        <v>441</v>
      </c>
      <c r="AM69" s="4" t="s">
        <v>178</v>
      </c>
      <c r="AN69" s="4" t="s">
        <v>442</v>
      </c>
    </row>
    <row r="70" spans="1:40">
      <c r="A70" s="49">
        <v>100030110</v>
      </c>
      <c r="B70" s="49">
        <v>1</v>
      </c>
      <c r="C70" s="49" t="s">
        <v>50</v>
      </c>
      <c r="F70" s="4">
        <v>1000301</v>
      </c>
      <c r="G70" s="4">
        <v>10</v>
      </c>
      <c r="I70" s="4" t="s">
        <v>443</v>
      </c>
      <c r="L70" s="4">
        <v>67</v>
      </c>
      <c r="M70" s="37" t="s">
        <v>52</v>
      </c>
      <c r="N70" s="38">
        <v>11024</v>
      </c>
      <c r="O70" s="38" t="s">
        <v>181</v>
      </c>
      <c r="S70" t="b">
        <v>0</v>
      </c>
      <c r="U70" s="39">
        <v>72010</v>
      </c>
      <c r="Y70" s="4" t="s">
        <v>444</v>
      </c>
      <c r="Z70" s="4" t="s">
        <v>396</v>
      </c>
      <c r="AA70" s="4">
        <v>10003</v>
      </c>
      <c r="AB70" s="4" t="s">
        <v>183</v>
      </c>
      <c r="AC70" s="4">
        <v>102400</v>
      </c>
      <c r="AD70" s="4">
        <v>11024</v>
      </c>
      <c r="AE70" s="40">
        <v>400000</v>
      </c>
      <c r="AF70" s="62" t="s">
        <v>397</v>
      </c>
      <c r="AG70" s="4">
        <v>67</v>
      </c>
      <c r="AH70" s="4">
        <v>1</v>
      </c>
      <c r="AI70" s="4" t="s">
        <v>184</v>
      </c>
      <c r="AJ70" s="4" t="s">
        <v>445</v>
      </c>
      <c r="AK70" s="4" t="s">
        <v>186</v>
      </c>
      <c r="AL70" s="4" t="s">
        <v>446</v>
      </c>
      <c r="AM70" s="4" t="s">
        <v>188</v>
      </c>
      <c r="AN70" s="4" t="s">
        <v>447</v>
      </c>
    </row>
    <row r="71" spans="1:40">
      <c r="A71" s="49">
        <v>100030201</v>
      </c>
      <c r="B71" s="49">
        <v>1</v>
      </c>
      <c r="C71" s="49" t="s">
        <v>50</v>
      </c>
      <c r="F71" s="4">
        <v>1000302</v>
      </c>
      <c r="G71" s="4">
        <v>1</v>
      </c>
      <c r="I71" s="4" t="s">
        <v>448</v>
      </c>
      <c r="L71" s="4">
        <v>133</v>
      </c>
      <c r="M71" s="37" t="s">
        <v>52</v>
      </c>
      <c r="N71" s="38">
        <v>11007</v>
      </c>
      <c r="O71" s="38" t="s">
        <v>91</v>
      </c>
      <c r="Q71" s="50"/>
      <c r="R71" s="50"/>
      <c r="S71" t="b">
        <v>0</v>
      </c>
      <c r="T71" s="50"/>
      <c r="U71" s="50">
        <v>72201</v>
      </c>
      <c r="V71" s="50"/>
      <c r="W71" s="50"/>
      <c r="X71" s="50"/>
      <c r="Y71" s="4" t="s">
        <v>449</v>
      </c>
      <c r="Z71" s="4" t="s">
        <v>396</v>
      </c>
      <c r="AA71" s="4">
        <v>10003</v>
      </c>
      <c r="AB71" s="4" t="s">
        <v>94</v>
      </c>
      <c r="AC71" s="4">
        <v>100700</v>
      </c>
      <c r="AD71" s="4">
        <v>11007</v>
      </c>
      <c r="AE71" s="40">
        <v>800000</v>
      </c>
      <c r="AF71" s="62" t="s">
        <v>450</v>
      </c>
      <c r="AG71" s="4">
        <v>133</v>
      </c>
      <c r="AH71" s="4">
        <v>2</v>
      </c>
      <c r="AI71" s="4" t="s">
        <v>96</v>
      </c>
      <c r="AJ71" s="4" t="s">
        <v>451</v>
      </c>
      <c r="AK71" s="4" t="s">
        <v>98</v>
      </c>
      <c r="AL71" s="4" t="s">
        <v>452</v>
      </c>
      <c r="AM71" s="4" t="s">
        <v>100</v>
      </c>
      <c r="AN71" s="4" t="s">
        <v>453</v>
      </c>
    </row>
    <row r="72" spans="1:40">
      <c r="A72" s="49">
        <v>100030202</v>
      </c>
      <c r="B72" s="49">
        <v>1</v>
      </c>
      <c r="C72" s="49" t="s">
        <v>50</v>
      </c>
      <c r="F72" s="4">
        <v>1000302</v>
      </c>
      <c r="G72" s="4">
        <v>2</v>
      </c>
      <c r="I72" s="4" t="s">
        <v>454</v>
      </c>
      <c r="L72" s="4">
        <v>133</v>
      </c>
      <c r="M72" s="37" t="s">
        <v>52</v>
      </c>
      <c r="N72" s="38">
        <v>11003</v>
      </c>
      <c r="O72" s="38" t="s">
        <v>103</v>
      </c>
      <c r="Q72" s="50"/>
      <c r="R72" s="50"/>
      <c r="S72" t="b">
        <v>0</v>
      </c>
      <c r="T72" s="50"/>
      <c r="U72" s="50">
        <v>72202</v>
      </c>
      <c r="V72" s="50"/>
      <c r="W72" s="50"/>
      <c r="X72" s="50"/>
      <c r="Y72" s="4" t="s">
        <v>455</v>
      </c>
      <c r="Z72" s="4" t="s">
        <v>396</v>
      </c>
      <c r="AA72" s="4">
        <v>10003</v>
      </c>
      <c r="AB72" s="4" t="s">
        <v>105</v>
      </c>
      <c r="AC72" s="4">
        <v>100300</v>
      </c>
      <c r="AD72" s="4">
        <v>11003</v>
      </c>
      <c r="AE72" s="40">
        <v>800000</v>
      </c>
      <c r="AF72" s="62" t="s">
        <v>450</v>
      </c>
      <c r="AG72" s="4">
        <v>133</v>
      </c>
      <c r="AH72" s="4">
        <v>2</v>
      </c>
      <c r="AI72" s="4" t="s">
        <v>106</v>
      </c>
      <c r="AJ72" s="4" t="s">
        <v>456</v>
      </c>
      <c r="AK72" s="4" t="s">
        <v>108</v>
      </c>
      <c r="AL72" s="4" t="s">
        <v>457</v>
      </c>
      <c r="AM72" s="4" t="s">
        <v>106</v>
      </c>
      <c r="AN72" s="4" t="s">
        <v>458</v>
      </c>
    </row>
    <row r="73" spans="1:40">
      <c r="A73" s="49">
        <v>100030203</v>
      </c>
      <c r="B73" s="49">
        <v>1</v>
      </c>
      <c r="C73" s="49" t="s">
        <v>50</v>
      </c>
      <c r="F73" s="4">
        <v>1000302</v>
      </c>
      <c r="G73" s="4">
        <v>3</v>
      </c>
      <c r="I73" s="4" t="s">
        <v>459</v>
      </c>
      <c r="L73" s="4">
        <v>133</v>
      </c>
      <c r="M73" s="37" t="s">
        <v>52</v>
      </c>
      <c r="N73" s="38">
        <v>11012</v>
      </c>
      <c r="O73" s="38" t="s">
        <v>112</v>
      </c>
      <c r="Q73" s="50"/>
      <c r="R73" s="50"/>
      <c r="S73" t="b">
        <v>0</v>
      </c>
      <c r="T73" s="50"/>
      <c r="U73" s="50">
        <v>72203</v>
      </c>
      <c r="V73" s="50"/>
      <c r="W73" s="50"/>
      <c r="X73" s="50"/>
      <c r="Y73" s="4" t="s">
        <v>460</v>
      </c>
      <c r="Z73" s="4" t="s">
        <v>396</v>
      </c>
      <c r="AA73" s="4">
        <v>10003</v>
      </c>
      <c r="AB73" s="4" t="s">
        <v>114</v>
      </c>
      <c r="AC73" s="4">
        <v>101200</v>
      </c>
      <c r="AD73" s="4">
        <v>11012</v>
      </c>
      <c r="AE73" s="40">
        <v>800000</v>
      </c>
      <c r="AF73" s="62" t="s">
        <v>450</v>
      </c>
      <c r="AG73" s="4">
        <v>133</v>
      </c>
      <c r="AH73" s="4">
        <v>2</v>
      </c>
      <c r="AI73" s="4" t="s">
        <v>115</v>
      </c>
      <c r="AJ73" s="4" t="s">
        <v>461</v>
      </c>
      <c r="AK73" s="4" t="s">
        <v>117</v>
      </c>
      <c r="AL73" s="4" t="s">
        <v>462</v>
      </c>
      <c r="AM73" s="4" t="s">
        <v>115</v>
      </c>
      <c r="AN73" s="4" t="s">
        <v>463</v>
      </c>
    </row>
    <row r="74" spans="1:40">
      <c r="A74" s="49">
        <v>100030204</v>
      </c>
      <c r="B74" s="49">
        <v>1</v>
      </c>
      <c r="C74" s="49" t="s">
        <v>50</v>
      </c>
      <c r="F74" s="4">
        <v>1000302</v>
      </c>
      <c r="G74" s="4">
        <v>4</v>
      </c>
      <c r="I74" s="4" t="s">
        <v>464</v>
      </c>
      <c r="L74" s="4">
        <v>133</v>
      </c>
      <c r="M74" s="37" t="s">
        <v>52</v>
      </c>
      <c r="N74" s="38">
        <v>11014</v>
      </c>
      <c r="O74" s="38" t="s">
        <v>121</v>
      </c>
      <c r="Q74" s="50"/>
      <c r="R74" s="50"/>
      <c r="S74" t="b">
        <v>0</v>
      </c>
      <c r="T74" s="50"/>
      <c r="U74" s="50">
        <v>72204</v>
      </c>
      <c r="V74" s="50"/>
      <c r="W74" s="50"/>
      <c r="X74" s="50"/>
      <c r="Y74" s="4" t="s">
        <v>465</v>
      </c>
      <c r="Z74" s="4" t="s">
        <v>396</v>
      </c>
      <c r="AA74" s="4">
        <v>10003</v>
      </c>
      <c r="AB74" s="4" t="s">
        <v>123</v>
      </c>
      <c r="AC74" s="4">
        <v>101400</v>
      </c>
      <c r="AD74" s="4">
        <v>11014</v>
      </c>
      <c r="AE74" s="40">
        <v>800000</v>
      </c>
      <c r="AF74" s="62" t="s">
        <v>450</v>
      </c>
      <c r="AG74" s="4">
        <v>133</v>
      </c>
      <c r="AH74" s="4">
        <v>2</v>
      </c>
      <c r="AI74" s="4" t="s">
        <v>124</v>
      </c>
      <c r="AJ74" s="4" t="s">
        <v>466</v>
      </c>
      <c r="AK74" s="4" t="s">
        <v>126</v>
      </c>
      <c r="AL74" s="4" t="s">
        <v>467</v>
      </c>
      <c r="AM74" s="4" t="s">
        <v>128</v>
      </c>
      <c r="AN74" s="4" t="s">
        <v>468</v>
      </c>
    </row>
    <row r="75" spans="1:40">
      <c r="A75" s="49">
        <v>100030205</v>
      </c>
      <c r="B75" s="49">
        <v>1</v>
      </c>
      <c r="C75" s="49" t="s">
        <v>50</v>
      </c>
      <c r="F75" s="4">
        <v>1000302</v>
      </c>
      <c r="G75" s="4">
        <v>5</v>
      </c>
      <c r="I75" s="4" t="s">
        <v>469</v>
      </c>
      <c r="L75" s="4">
        <v>133</v>
      </c>
      <c r="M75" s="37" t="s">
        <v>52</v>
      </c>
      <c r="N75" s="38">
        <v>11003</v>
      </c>
      <c r="O75" s="38" t="s">
        <v>417</v>
      </c>
      <c r="Q75" s="50"/>
      <c r="R75" s="50"/>
      <c r="S75" t="b">
        <v>0</v>
      </c>
      <c r="T75" s="50"/>
      <c r="U75" s="50">
        <v>72205</v>
      </c>
      <c r="V75" s="50"/>
      <c r="W75" s="50"/>
      <c r="X75" s="50"/>
      <c r="Y75" s="4" t="s">
        <v>470</v>
      </c>
      <c r="Z75" s="4" t="s">
        <v>133</v>
      </c>
      <c r="AA75" s="4">
        <v>10003</v>
      </c>
      <c r="AB75" s="4" t="s">
        <v>419</v>
      </c>
      <c r="AC75" s="4">
        <v>0</v>
      </c>
      <c r="AD75" s="4">
        <v>11003</v>
      </c>
      <c r="AE75" s="40">
        <v>800000</v>
      </c>
      <c r="AF75" s="62" t="s">
        <v>450</v>
      </c>
      <c r="AG75" s="4">
        <v>133</v>
      </c>
      <c r="AH75" s="4">
        <v>2</v>
      </c>
      <c r="AI75" s="4" t="s">
        <v>135</v>
      </c>
      <c r="AJ75" s="4" t="s">
        <v>471</v>
      </c>
      <c r="AK75" s="4" t="s">
        <v>137</v>
      </c>
      <c r="AL75" s="4" t="s">
        <v>472</v>
      </c>
      <c r="AM75" s="4" t="s">
        <v>139</v>
      </c>
      <c r="AN75" s="4" t="s">
        <v>473</v>
      </c>
    </row>
    <row r="76" spans="1:40">
      <c r="A76" s="49">
        <v>100030206</v>
      </c>
      <c r="B76" s="49">
        <v>1</v>
      </c>
      <c r="C76" s="49" t="s">
        <v>50</v>
      </c>
      <c r="F76" s="4">
        <v>1000302</v>
      </c>
      <c r="G76" s="4">
        <v>6</v>
      </c>
      <c r="I76" s="4" t="s">
        <v>474</v>
      </c>
      <c r="L76" s="4">
        <v>133</v>
      </c>
      <c r="M76" s="37" t="s">
        <v>52</v>
      </c>
      <c r="N76" s="38">
        <v>11017</v>
      </c>
      <c r="O76" s="38" t="s">
        <v>142</v>
      </c>
      <c r="S76" t="b">
        <v>0</v>
      </c>
      <c r="U76" s="39">
        <v>72206</v>
      </c>
      <c r="Y76" s="4" t="s">
        <v>475</v>
      </c>
      <c r="Z76" s="4" t="s">
        <v>396</v>
      </c>
      <c r="AA76" s="4">
        <v>10003</v>
      </c>
      <c r="AB76" s="4" t="s">
        <v>144</v>
      </c>
      <c r="AC76" s="4">
        <v>101700</v>
      </c>
      <c r="AD76" s="4">
        <v>11017</v>
      </c>
      <c r="AE76" s="40">
        <v>800000</v>
      </c>
      <c r="AF76" s="62" t="s">
        <v>450</v>
      </c>
      <c r="AG76" s="4">
        <v>133</v>
      </c>
      <c r="AH76" s="4">
        <v>2</v>
      </c>
      <c r="AI76" s="4" t="s">
        <v>145</v>
      </c>
      <c r="AJ76" s="4" t="s">
        <v>476</v>
      </c>
      <c r="AK76" s="4" t="s">
        <v>147</v>
      </c>
      <c r="AL76" s="4" t="s">
        <v>477</v>
      </c>
      <c r="AM76" s="4" t="s">
        <v>149</v>
      </c>
      <c r="AN76" s="4" t="s">
        <v>478</v>
      </c>
    </row>
    <row r="77" spans="1:40">
      <c r="A77" s="49">
        <v>100030207</v>
      </c>
      <c r="B77" s="49">
        <v>1</v>
      </c>
      <c r="C77" s="49" t="s">
        <v>50</v>
      </c>
      <c r="F77" s="4">
        <v>1000302</v>
      </c>
      <c r="G77" s="4">
        <v>7</v>
      </c>
      <c r="I77" s="4" t="s">
        <v>479</v>
      </c>
      <c r="L77" s="4">
        <v>133</v>
      </c>
      <c r="M77" s="37" t="s">
        <v>52</v>
      </c>
      <c r="N77" s="38">
        <v>11021</v>
      </c>
      <c r="O77" s="38" t="s">
        <v>152</v>
      </c>
      <c r="S77" t="b">
        <v>0</v>
      </c>
      <c r="U77" s="39">
        <v>72207</v>
      </c>
      <c r="Y77" s="4" t="s">
        <v>480</v>
      </c>
      <c r="Z77" s="4" t="s">
        <v>396</v>
      </c>
      <c r="AA77" s="4">
        <v>10003</v>
      </c>
      <c r="AB77" s="4" t="s">
        <v>154</v>
      </c>
      <c r="AC77" s="4">
        <v>102100</v>
      </c>
      <c r="AD77" s="4">
        <v>11021</v>
      </c>
      <c r="AE77" s="40">
        <v>800000</v>
      </c>
      <c r="AF77" s="62" t="s">
        <v>450</v>
      </c>
      <c r="AG77" s="4">
        <v>133</v>
      </c>
      <c r="AH77" s="4">
        <v>2</v>
      </c>
      <c r="AI77" s="4" t="s">
        <v>155</v>
      </c>
      <c r="AJ77" s="4" t="s">
        <v>481</v>
      </c>
      <c r="AK77" s="4" t="s">
        <v>157</v>
      </c>
      <c r="AL77" s="4" t="s">
        <v>482</v>
      </c>
      <c r="AM77" s="4" t="s">
        <v>159</v>
      </c>
      <c r="AN77" s="4" t="s">
        <v>483</v>
      </c>
    </row>
    <row r="78" spans="1:40">
      <c r="A78" s="49">
        <v>100030208</v>
      </c>
      <c r="B78" s="49">
        <v>1</v>
      </c>
      <c r="C78" s="49" t="s">
        <v>50</v>
      </c>
      <c r="F78" s="4">
        <v>1000302</v>
      </c>
      <c r="G78" s="4">
        <v>8</v>
      </c>
      <c r="I78" s="4" t="s">
        <v>484</v>
      </c>
      <c r="L78" s="4">
        <v>133</v>
      </c>
      <c r="M78" s="37" t="s">
        <v>52</v>
      </c>
      <c r="N78" s="38">
        <v>11022</v>
      </c>
      <c r="O78" s="38" t="s">
        <v>162</v>
      </c>
      <c r="S78" t="b">
        <v>0</v>
      </c>
      <c r="U78" s="39">
        <v>72208</v>
      </c>
      <c r="Y78" s="4" t="s">
        <v>485</v>
      </c>
      <c r="Z78" s="4" t="s">
        <v>396</v>
      </c>
      <c r="AA78" s="4">
        <v>10003</v>
      </c>
      <c r="AB78" s="4" t="s">
        <v>164</v>
      </c>
      <c r="AC78" s="4">
        <v>102200</v>
      </c>
      <c r="AD78" s="4">
        <v>11022</v>
      </c>
      <c r="AE78" s="40">
        <v>800000</v>
      </c>
      <c r="AF78" s="62" t="s">
        <v>450</v>
      </c>
      <c r="AG78" s="4">
        <v>133</v>
      </c>
      <c r="AH78" s="4">
        <v>2</v>
      </c>
      <c r="AI78" s="4" t="s">
        <v>165</v>
      </c>
      <c r="AJ78" s="4" t="s">
        <v>486</v>
      </c>
      <c r="AK78" s="4" t="s">
        <v>167</v>
      </c>
      <c r="AL78" s="4" t="s">
        <v>487</v>
      </c>
      <c r="AM78" s="4" t="s">
        <v>165</v>
      </c>
      <c r="AN78" s="4" t="s">
        <v>488</v>
      </c>
    </row>
    <row r="79" spans="1:40">
      <c r="A79" s="49">
        <v>100030209</v>
      </c>
      <c r="B79" s="49">
        <v>1</v>
      </c>
      <c r="C79" s="49" t="s">
        <v>50</v>
      </c>
      <c r="F79" s="4">
        <v>1000302</v>
      </c>
      <c r="G79" s="4">
        <v>9</v>
      </c>
      <c r="I79" s="4" t="s">
        <v>489</v>
      </c>
      <c r="L79" s="4">
        <v>133</v>
      </c>
      <c r="M79" s="37" t="s">
        <v>52</v>
      </c>
      <c r="N79" s="38">
        <v>11023</v>
      </c>
      <c r="O79" s="38" t="s">
        <v>171</v>
      </c>
      <c r="S79" t="b">
        <v>0</v>
      </c>
      <c r="U79" s="39">
        <v>72209</v>
      </c>
      <c r="Y79" s="4" t="s">
        <v>490</v>
      </c>
      <c r="Z79" s="4" t="s">
        <v>396</v>
      </c>
      <c r="AA79" s="4">
        <v>10003</v>
      </c>
      <c r="AB79" s="4" t="s">
        <v>173</v>
      </c>
      <c r="AC79" s="4">
        <v>102300</v>
      </c>
      <c r="AD79" s="4">
        <v>11023</v>
      </c>
      <c r="AE79" s="40">
        <v>800000</v>
      </c>
      <c r="AF79" s="62" t="s">
        <v>450</v>
      </c>
      <c r="AG79" s="4">
        <v>133</v>
      </c>
      <c r="AH79" s="4">
        <v>2</v>
      </c>
      <c r="AI79" s="4" t="s">
        <v>174</v>
      </c>
      <c r="AJ79" s="4" t="s">
        <v>491</v>
      </c>
      <c r="AK79" s="4" t="s">
        <v>176</v>
      </c>
      <c r="AL79" s="4" t="s">
        <v>492</v>
      </c>
      <c r="AM79" s="4" t="s">
        <v>178</v>
      </c>
      <c r="AN79" s="4" t="s">
        <v>493</v>
      </c>
    </row>
    <row r="80" spans="1:40">
      <c r="A80" s="49">
        <v>100030210</v>
      </c>
      <c r="B80" s="49">
        <v>1</v>
      </c>
      <c r="C80" s="49" t="s">
        <v>50</v>
      </c>
      <c r="F80" s="4">
        <v>1000302</v>
      </c>
      <c r="G80" s="4">
        <v>10</v>
      </c>
      <c r="I80" s="4" t="s">
        <v>494</v>
      </c>
      <c r="L80" s="4">
        <v>133</v>
      </c>
      <c r="M80" s="37" t="s">
        <v>52</v>
      </c>
      <c r="N80" s="38">
        <v>11024</v>
      </c>
      <c r="O80" s="38" t="s">
        <v>181</v>
      </c>
      <c r="S80" t="b">
        <v>0</v>
      </c>
      <c r="U80" s="39">
        <v>72210</v>
      </c>
      <c r="Y80" s="4" t="s">
        <v>495</v>
      </c>
      <c r="Z80" s="4" t="s">
        <v>396</v>
      </c>
      <c r="AA80" s="4">
        <v>10003</v>
      </c>
      <c r="AB80" s="4" t="s">
        <v>183</v>
      </c>
      <c r="AC80" s="4">
        <v>102400</v>
      </c>
      <c r="AD80" s="4">
        <v>11024</v>
      </c>
      <c r="AE80" s="40">
        <v>800000</v>
      </c>
      <c r="AF80" s="62" t="s">
        <v>450</v>
      </c>
      <c r="AG80" s="4">
        <v>133</v>
      </c>
      <c r="AH80" s="4">
        <v>2</v>
      </c>
      <c r="AI80" s="4" t="s">
        <v>184</v>
      </c>
      <c r="AJ80" s="4" t="s">
        <v>496</v>
      </c>
      <c r="AK80" s="4" t="s">
        <v>186</v>
      </c>
      <c r="AL80" s="4" t="s">
        <v>497</v>
      </c>
      <c r="AM80" s="4" t="s">
        <v>188</v>
      </c>
      <c r="AN80" s="4" t="s">
        <v>498</v>
      </c>
    </row>
    <row r="81" spans="1:40">
      <c r="A81" s="49">
        <v>100030301</v>
      </c>
      <c r="B81" s="49">
        <v>1</v>
      </c>
      <c r="C81" s="49" t="s">
        <v>50</v>
      </c>
      <c r="F81" s="4">
        <v>1000303</v>
      </c>
      <c r="G81" s="4">
        <v>1</v>
      </c>
      <c r="I81" s="4" t="s">
        <v>499</v>
      </c>
      <c r="L81" s="4">
        <v>333</v>
      </c>
      <c r="M81" s="37" t="s">
        <v>52</v>
      </c>
      <c r="N81" s="38">
        <v>11007</v>
      </c>
      <c r="O81" s="38" t="s">
        <v>91</v>
      </c>
      <c r="Q81" s="50"/>
      <c r="R81" s="50"/>
      <c r="S81" t="b">
        <v>0</v>
      </c>
      <c r="T81" s="50"/>
      <c r="U81" s="50">
        <v>72301</v>
      </c>
      <c r="V81" s="50"/>
      <c r="W81" s="50"/>
      <c r="X81" s="50"/>
      <c r="Y81" s="4" t="s">
        <v>500</v>
      </c>
      <c r="Z81" s="4" t="s">
        <v>396</v>
      </c>
      <c r="AA81" s="4">
        <v>10003</v>
      </c>
      <c r="AB81" s="4" t="s">
        <v>94</v>
      </c>
      <c r="AC81" s="4">
        <v>100700</v>
      </c>
      <c r="AD81" s="4">
        <v>11007</v>
      </c>
      <c r="AE81" s="40">
        <v>2000000</v>
      </c>
      <c r="AF81" s="62" t="s">
        <v>501</v>
      </c>
      <c r="AG81" s="4">
        <v>333</v>
      </c>
      <c r="AH81" s="4">
        <v>3</v>
      </c>
      <c r="AI81" s="4" t="s">
        <v>96</v>
      </c>
      <c r="AJ81" s="4" t="s">
        <v>502</v>
      </c>
      <c r="AK81" s="4" t="s">
        <v>98</v>
      </c>
      <c r="AL81" s="4" t="s">
        <v>503</v>
      </c>
      <c r="AM81" s="4" t="s">
        <v>100</v>
      </c>
      <c r="AN81" s="4" t="s">
        <v>504</v>
      </c>
    </row>
    <row r="82" spans="1:40">
      <c r="A82" s="49">
        <v>100030302</v>
      </c>
      <c r="B82" s="49">
        <v>1</v>
      </c>
      <c r="C82" s="49" t="s">
        <v>50</v>
      </c>
      <c r="F82" s="4">
        <v>1000303</v>
      </c>
      <c r="G82" s="4">
        <v>2</v>
      </c>
      <c r="I82" s="4" t="s">
        <v>505</v>
      </c>
      <c r="L82" s="4">
        <v>333</v>
      </c>
      <c r="M82" s="37" t="s">
        <v>52</v>
      </c>
      <c r="N82" s="38">
        <v>11003</v>
      </c>
      <c r="O82" s="38" t="s">
        <v>103</v>
      </c>
      <c r="Q82" s="50"/>
      <c r="R82" s="50"/>
      <c r="S82" t="b">
        <v>0</v>
      </c>
      <c r="T82" s="50"/>
      <c r="U82" s="50">
        <v>72302</v>
      </c>
      <c r="V82" s="50"/>
      <c r="W82" s="50"/>
      <c r="X82" s="50"/>
      <c r="Y82" s="4" t="s">
        <v>506</v>
      </c>
      <c r="Z82" s="4" t="s">
        <v>396</v>
      </c>
      <c r="AA82" s="4">
        <v>10003</v>
      </c>
      <c r="AB82" s="4" t="s">
        <v>105</v>
      </c>
      <c r="AC82" s="4">
        <v>100300</v>
      </c>
      <c r="AD82" s="4">
        <v>11003</v>
      </c>
      <c r="AE82" s="40">
        <v>2000000</v>
      </c>
      <c r="AF82" s="62" t="s">
        <v>501</v>
      </c>
      <c r="AG82" s="4">
        <v>333</v>
      </c>
      <c r="AH82" s="4">
        <v>3</v>
      </c>
      <c r="AI82" s="4" t="s">
        <v>106</v>
      </c>
      <c r="AJ82" s="4" t="s">
        <v>507</v>
      </c>
      <c r="AK82" s="4" t="s">
        <v>108</v>
      </c>
      <c r="AL82" s="4" t="s">
        <v>508</v>
      </c>
      <c r="AM82" s="4" t="s">
        <v>106</v>
      </c>
      <c r="AN82" s="4" t="s">
        <v>509</v>
      </c>
    </row>
    <row r="83" spans="1:40">
      <c r="A83" s="49">
        <v>100030303</v>
      </c>
      <c r="B83" s="49">
        <v>1</v>
      </c>
      <c r="C83" s="49" t="s">
        <v>50</v>
      </c>
      <c r="F83" s="4">
        <v>1000303</v>
      </c>
      <c r="G83" s="4">
        <v>3</v>
      </c>
      <c r="I83" s="4" t="s">
        <v>510</v>
      </c>
      <c r="L83" s="4">
        <v>333</v>
      </c>
      <c r="M83" s="37" t="s">
        <v>52</v>
      </c>
      <c r="N83" s="38">
        <v>11012</v>
      </c>
      <c r="O83" s="38" t="s">
        <v>112</v>
      </c>
      <c r="Q83" s="50"/>
      <c r="R83" s="50"/>
      <c r="S83" t="b">
        <v>0</v>
      </c>
      <c r="T83" s="50"/>
      <c r="U83" s="50">
        <v>72303</v>
      </c>
      <c r="V83" s="50"/>
      <c r="W83" s="50"/>
      <c r="X83" s="50"/>
      <c r="Y83" s="4" t="s">
        <v>511</v>
      </c>
      <c r="Z83" s="4" t="s">
        <v>396</v>
      </c>
      <c r="AA83" s="4">
        <v>10003</v>
      </c>
      <c r="AB83" s="4" t="s">
        <v>114</v>
      </c>
      <c r="AC83" s="4">
        <v>101200</v>
      </c>
      <c r="AD83" s="4">
        <v>11012</v>
      </c>
      <c r="AE83" s="40">
        <v>2000000</v>
      </c>
      <c r="AF83" s="62" t="s">
        <v>501</v>
      </c>
      <c r="AG83" s="4">
        <v>333</v>
      </c>
      <c r="AH83" s="4">
        <v>3</v>
      </c>
      <c r="AI83" s="4" t="s">
        <v>115</v>
      </c>
      <c r="AJ83" s="4" t="s">
        <v>512</v>
      </c>
      <c r="AK83" s="4" t="s">
        <v>117</v>
      </c>
      <c r="AL83" s="4" t="s">
        <v>513</v>
      </c>
      <c r="AM83" s="4" t="s">
        <v>115</v>
      </c>
      <c r="AN83" s="4" t="s">
        <v>514</v>
      </c>
    </row>
    <row r="84" spans="1:40">
      <c r="A84" s="49">
        <v>100030304</v>
      </c>
      <c r="B84" s="49">
        <v>1</v>
      </c>
      <c r="C84" s="49" t="s">
        <v>50</v>
      </c>
      <c r="F84" s="4">
        <v>1000303</v>
      </c>
      <c r="G84" s="4">
        <v>4</v>
      </c>
      <c r="I84" s="4" t="s">
        <v>515</v>
      </c>
      <c r="L84" s="4">
        <v>333</v>
      </c>
      <c r="M84" s="37" t="s">
        <v>52</v>
      </c>
      <c r="N84" s="38">
        <v>11014</v>
      </c>
      <c r="O84" s="38" t="s">
        <v>121</v>
      </c>
      <c r="Q84" s="50"/>
      <c r="R84" s="50"/>
      <c r="S84" t="b">
        <v>0</v>
      </c>
      <c r="T84" s="50"/>
      <c r="U84" s="50">
        <v>72304</v>
      </c>
      <c r="V84" s="50"/>
      <c r="W84" s="50"/>
      <c r="X84" s="50"/>
      <c r="Y84" s="4" t="s">
        <v>516</v>
      </c>
      <c r="Z84" s="4" t="s">
        <v>396</v>
      </c>
      <c r="AA84" s="4">
        <v>10003</v>
      </c>
      <c r="AB84" s="4" t="s">
        <v>123</v>
      </c>
      <c r="AC84" s="4">
        <v>101400</v>
      </c>
      <c r="AD84" s="4">
        <v>11014</v>
      </c>
      <c r="AE84" s="40">
        <v>2000000</v>
      </c>
      <c r="AF84" s="62" t="s">
        <v>501</v>
      </c>
      <c r="AG84" s="4">
        <v>333</v>
      </c>
      <c r="AH84" s="4">
        <v>3</v>
      </c>
      <c r="AI84" s="4" t="s">
        <v>124</v>
      </c>
      <c r="AJ84" s="4" t="s">
        <v>517</v>
      </c>
      <c r="AK84" s="4" t="s">
        <v>126</v>
      </c>
      <c r="AL84" s="4" t="s">
        <v>518</v>
      </c>
      <c r="AM84" s="4" t="s">
        <v>128</v>
      </c>
      <c r="AN84" s="4" t="s">
        <v>519</v>
      </c>
    </row>
    <row r="85" spans="1:40">
      <c r="A85" s="49">
        <v>100030305</v>
      </c>
      <c r="B85" s="49">
        <v>1</v>
      </c>
      <c r="C85" s="49" t="s">
        <v>50</v>
      </c>
      <c r="F85" s="4">
        <v>1000303</v>
      </c>
      <c r="G85" s="4">
        <v>5</v>
      </c>
      <c r="I85" s="4" t="s">
        <v>520</v>
      </c>
      <c r="L85" s="4">
        <v>333</v>
      </c>
      <c r="M85" s="37" t="s">
        <v>52</v>
      </c>
      <c r="N85" s="38">
        <v>11003</v>
      </c>
      <c r="O85" s="38" t="s">
        <v>417</v>
      </c>
      <c r="Q85" s="50"/>
      <c r="R85" s="50"/>
      <c r="S85" t="b">
        <v>0</v>
      </c>
      <c r="T85" s="50"/>
      <c r="U85" s="50">
        <v>72305</v>
      </c>
      <c r="V85" s="50"/>
      <c r="W85" s="50"/>
      <c r="X85" s="50"/>
      <c r="Y85" s="4" t="s">
        <v>521</v>
      </c>
      <c r="Z85" s="4" t="s">
        <v>133</v>
      </c>
      <c r="AA85" s="4">
        <v>10003</v>
      </c>
      <c r="AB85" s="4" t="s">
        <v>419</v>
      </c>
      <c r="AC85" s="4">
        <v>0</v>
      </c>
      <c r="AD85" s="4">
        <v>11003</v>
      </c>
      <c r="AE85" s="40">
        <v>2000000</v>
      </c>
      <c r="AF85" s="62" t="s">
        <v>501</v>
      </c>
      <c r="AG85" s="4">
        <v>333</v>
      </c>
      <c r="AH85" s="4">
        <v>3</v>
      </c>
      <c r="AI85" s="4" t="s">
        <v>135</v>
      </c>
      <c r="AJ85" s="4" t="s">
        <v>522</v>
      </c>
      <c r="AK85" s="4" t="s">
        <v>137</v>
      </c>
      <c r="AL85" s="4" t="s">
        <v>523</v>
      </c>
      <c r="AM85" s="4" t="s">
        <v>139</v>
      </c>
      <c r="AN85" s="4" t="s">
        <v>524</v>
      </c>
    </row>
    <row r="86" spans="1:40">
      <c r="A86" s="49">
        <v>100030306</v>
      </c>
      <c r="B86" s="49">
        <v>1</v>
      </c>
      <c r="C86" s="49" t="s">
        <v>50</v>
      </c>
      <c r="F86" s="4">
        <v>1000303</v>
      </c>
      <c r="G86" s="4">
        <v>6</v>
      </c>
      <c r="I86" s="4" t="s">
        <v>525</v>
      </c>
      <c r="L86" s="4">
        <v>333</v>
      </c>
      <c r="M86" s="37" t="s">
        <v>52</v>
      </c>
      <c r="N86" s="38">
        <v>11017</v>
      </c>
      <c r="O86" s="38" t="s">
        <v>142</v>
      </c>
      <c r="S86" t="b">
        <v>0</v>
      </c>
      <c r="U86" s="39">
        <v>72306</v>
      </c>
      <c r="Y86" s="4" t="s">
        <v>526</v>
      </c>
      <c r="Z86" s="4" t="s">
        <v>396</v>
      </c>
      <c r="AA86" s="4">
        <v>10003</v>
      </c>
      <c r="AB86" s="4" t="s">
        <v>144</v>
      </c>
      <c r="AC86" s="4">
        <v>101700</v>
      </c>
      <c r="AD86" s="4">
        <v>11017</v>
      </c>
      <c r="AE86" s="40">
        <v>2000000</v>
      </c>
      <c r="AF86" s="62" t="s">
        <v>501</v>
      </c>
      <c r="AG86" s="4">
        <v>333</v>
      </c>
      <c r="AH86" s="4">
        <v>3</v>
      </c>
      <c r="AI86" s="4" t="s">
        <v>145</v>
      </c>
      <c r="AJ86" s="4" t="s">
        <v>527</v>
      </c>
      <c r="AK86" s="4" t="s">
        <v>147</v>
      </c>
      <c r="AL86" s="4" t="s">
        <v>528</v>
      </c>
      <c r="AM86" s="4" t="s">
        <v>149</v>
      </c>
      <c r="AN86" s="4" t="s">
        <v>529</v>
      </c>
    </row>
    <row r="87" spans="1:40">
      <c r="A87" s="49">
        <v>100030307</v>
      </c>
      <c r="B87" s="49">
        <v>1</v>
      </c>
      <c r="C87" s="49" t="s">
        <v>50</v>
      </c>
      <c r="F87" s="4">
        <v>1000303</v>
      </c>
      <c r="G87" s="4">
        <v>7</v>
      </c>
      <c r="I87" s="4" t="s">
        <v>530</v>
      </c>
      <c r="L87" s="4">
        <v>333</v>
      </c>
      <c r="M87" s="37" t="s">
        <v>52</v>
      </c>
      <c r="N87" s="38">
        <v>11021</v>
      </c>
      <c r="O87" s="38" t="s">
        <v>152</v>
      </c>
      <c r="S87" t="b">
        <v>0</v>
      </c>
      <c r="U87" s="39">
        <v>72307</v>
      </c>
      <c r="Y87" s="4" t="s">
        <v>531</v>
      </c>
      <c r="Z87" s="4" t="s">
        <v>396</v>
      </c>
      <c r="AA87" s="4">
        <v>10003</v>
      </c>
      <c r="AB87" s="4" t="s">
        <v>154</v>
      </c>
      <c r="AC87" s="4">
        <v>102100</v>
      </c>
      <c r="AD87" s="4">
        <v>11021</v>
      </c>
      <c r="AE87" s="40">
        <v>2000000</v>
      </c>
      <c r="AF87" s="62" t="s">
        <v>501</v>
      </c>
      <c r="AG87" s="4">
        <v>333</v>
      </c>
      <c r="AH87" s="4">
        <v>3</v>
      </c>
      <c r="AI87" s="4" t="s">
        <v>155</v>
      </c>
      <c r="AJ87" s="4" t="s">
        <v>532</v>
      </c>
      <c r="AK87" s="4" t="s">
        <v>157</v>
      </c>
      <c r="AL87" s="4" t="s">
        <v>533</v>
      </c>
      <c r="AM87" s="4" t="s">
        <v>159</v>
      </c>
      <c r="AN87" s="4" t="s">
        <v>534</v>
      </c>
    </row>
    <row r="88" spans="1:40">
      <c r="A88" s="49">
        <v>100030308</v>
      </c>
      <c r="B88" s="49">
        <v>1</v>
      </c>
      <c r="C88" s="49" t="s">
        <v>50</v>
      </c>
      <c r="F88" s="4">
        <v>1000303</v>
      </c>
      <c r="G88" s="4">
        <v>8</v>
      </c>
      <c r="I88" s="4" t="s">
        <v>535</v>
      </c>
      <c r="L88" s="4">
        <v>333</v>
      </c>
      <c r="M88" s="37" t="s">
        <v>52</v>
      </c>
      <c r="N88" s="38">
        <v>11022</v>
      </c>
      <c r="O88" s="38" t="s">
        <v>162</v>
      </c>
      <c r="S88" t="b">
        <v>0</v>
      </c>
      <c r="U88" s="39">
        <v>72308</v>
      </c>
      <c r="Y88" s="4" t="s">
        <v>536</v>
      </c>
      <c r="Z88" s="4" t="s">
        <v>396</v>
      </c>
      <c r="AA88" s="4">
        <v>10003</v>
      </c>
      <c r="AB88" s="4" t="s">
        <v>164</v>
      </c>
      <c r="AC88" s="4">
        <v>102200</v>
      </c>
      <c r="AD88" s="4">
        <v>11022</v>
      </c>
      <c r="AE88" s="40">
        <v>2000000</v>
      </c>
      <c r="AF88" s="62" t="s">
        <v>501</v>
      </c>
      <c r="AG88" s="4">
        <v>333</v>
      </c>
      <c r="AH88" s="4">
        <v>3</v>
      </c>
      <c r="AI88" s="4" t="s">
        <v>165</v>
      </c>
      <c r="AJ88" s="4" t="s">
        <v>537</v>
      </c>
      <c r="AK88" s="4" t="s">
        <v>167</v>
      </c>
      <c r="AL88" s="4" t="s">
        <v>538</v>
      </c>
      <c r="AM88" s="4" t="s">
        <v>165</v>
      </c>
      <c r="AN88" s="4" t="s">
        <v>539</v>
      </c>
    </row>
    <row r="89" spans="1:40">
      <c r="A89" s="49">
        <v>100030309</v>
      </c>
      <c r="B89" s="49">
        <v>1</v>
      </c>
      <c r="C89" s="49" t="s">
        <v>50</v>
      </c>
      <c r="F89" s="4">
        <v>1000303</v>
      </c>
      <c r="G89" s="4">
        <v>9</v>
      </c>
      <c r="I89" s="4" t="s">
        <v>540</v>
      </c>
      <c r="L89" s="4">
        <v>333</v>
      </c>
      <c r="M89" s="37" t="s">
        <v>52</v>
      </c>
      <c r="N89" s="38">
        <v>11023</v>
      </c>
      <c r="O89" s="38" t="s">
        <v>171</v>
      </c>
      <c r="S89" t="b">
        <v>0</v>
      </c>
      <c r="U89" s="39">
        <v>72309</v>
      </c>
      <c r="Y89" s="4" t="s">
        <v>541</v>
      </c>
      <c r="Z89" s="4" t="s">
        <v>396</v>
      </c>
      <c r="AA89" s="4">
        <v>10003</v>
      </c>
      <c r="AB89" s="4" t="s">
        <v>173</v>
      </c>
      <c r="AC89" s="4">
        <v>102300</v>
      </c>
      <c r="AD89" s="4">
        <v>11023</v>
      </c>
      <c r="AE89" s="40">
        <v>2000000</v>
      </c>
      <c r="AF89" s="62" t="s">
        <v>501</v>
      </c>
      <c r="AG89" s="4">
        <v>333</v>
      </c>
      <c r="AH89" s="4">
        <v>3</v>
      </c>
      <c r="AI89" s="4" t="s">
        <v>174</v>
      </c>
      <c r="AJ89" s="4" t="s">
        <v>542</v>
      </c>
      <c r="AK89" s="4" t="s">
        <v>176</v>
      </c>
      <c r="AL89" s="4" t="s">
        <v>543</v>
      </c>
      <c r="AM89" s="4" t="s">
        <v>178</v>
      </c>
      <c r="AN89" s="4" t="s">
        <v>544</v>
      </c>
    </row>
    <row r="90" spans="1:40">
      <c r="A90" s="49">
        <v>100030310</v>
      </c>
      <c r="B90" s="49">
        <v>1</v>
      </c>
      <c r="C90" s="49" t="s">
        <v>50</v>
      </c>
      <c r="F90" s="4">
        <v>1000303</v>
      </c>
      <c r="G90" s="4">
        <v>10</v>
      </c>
      <c r="I90" s="4" t="s">
        <v>545</v>
      </c>
      <c r="L90" s="4">
        <v>333</v>
      </c>
      <c r="M90" s="37" t="s">
        <v>52</v>
      </c>
      <c r="N90" s="38">
        <v>11024</v>
      </c>
      <c r="O90" s="38" t="s">
        <v>181</v>
      </c>
      <c r="S90" t="b">
        <v>0</v>
      </c>
      <c r="U90" s="39">
        <v>72310</v>
      </c>
      <c r="Y90" s="4" t="s">
        <v>546</v>
      </c>
      <c r="Z90" s="4" t="s">
        <v>396</v>
      </c>
      <c r="AA90" s="4">
        <v>10003</v>
      </c>
      <c r="AB90" s="4" t="s">
        <v>183</v>
      </c>
      <c r="AC90" s="4">
        <v>102400</v>
      </c>
      <c r="AD90" s="4">
        <v>11024</v>
      </c>
      <c r="AE90" s="40">
        <v>2000000</v>
      </c>
      <c r="AF90" s="62" t="s">
        <v>501</v>
      </c>
      <c r="AG90" s="4">
        <v>333</v>
      </c>
      <c r="AH90" s="4">
        <v>3</v>
      </c>
      <c r="AI90" s="4" t="s">
        <v>184</v>
      </c>
      <c r="AJ90" s="4" t="s">
        <v>547</v>
      </c>
      <c r="AK90" s="4" t="s">
        <v>186</v>
      </c>
      <c r="AL90" s="4" t="s">
        <v>548</v>
      </c>
      <c r="AM90" s="4" t="s">
        <v>188</v>
      </c>
      <c r="AN90" s="4" t="s">
        <v>549</v>
      </c>
    </row>
    <row r="91" spans="1:40">
      <c r="A91" s="49">
        <v>100030401</v>
      </c>
      <c r="B91" s="49">
        <v>1</v>
      </c>
      <c r="C91" s="49" t="s">
        <v>50</v>
      </c>
      <c r="F91" s="4">
        <v>1000304</v>
      </c>
      <c r="G91" s="4">
        <v>1</v>
      </c>
      <c r="I91" s="4" t="s">
        <v>550</v>
      </c>
      <c r="L91" s="4">
        <v>667</v>
      </c>
      <c r="M91" s="37" t="s">
        <v>52</v>
      </c>
      <c r="N91" s="38">
        <v>11007</v>
      </c>
      <c r="O91" s="38" t="s">
        <v>91</v>
      </c>
      <c r="Q91" s="50"/>
      <c r="R91" s="50"/>
      <c r="S91" t="b">
        <v>0</v>
      </c>
      <c r="T91" s="50"/>
      <c r="U91" s="50">
        <v>72401</v>
      </c>
      <c r="V91" s="50"/>
      <c r="W91" s="50"/>
      <c r="X91" s="50"/>
      <c r="Y91" s="4" t="s">
        <v>551</v>
      </c>
      <c r="Z91" s="4" t="s">
        <v>396</v>
      </c>
      <c r="AA91" s="4">
        <v>10003</v>
      </c>
      <c r="AB91" s="4" t="s">
        <v>94</v>
      </c>
      <c r="AC91" s="4">
        <v>100700</v>
      </c>
      <c r="AD91" s="4">
        <v>11007</v>
      </c>
      <c r="AE91" s="40">
        <v>4000000</v>
      </c>
      <c r="AF91" s="62" t="s">
        <v>552</v>
      </c>
      <c r="AG91" s="4">
        <v>667</v>
      </c>
      <c r="AH91" s="4">
        <v>4</v>
      </c>
      <c r="AI91" s="4" t="s">
        <v>96</v>
      </c>
      <c r="AJ91" s="4" t="s">
        <v>553</v>
      </c>
      <c r="AK91" s="4" t="s">
        <v>98</v>
      </c>
      <c r="AL91" s="4" t="s">
        <v>554</v>
      </c>
      <c r="AM91" s="4" t="s">
        <v>100</v>
      </c>
      <c r="AN91" s="4" t="s">
        <v>555</v>
      </c>
    </row>
    <row r="92" spans="1:40">
      <c r="A92" s="49">
        <v>100030402</v>
      </c>
      <c r="B92" s="49">
        <v>1</v>
      </c>
      <c r="C92" s="49" t="s">
        <v>50</v>
      </c>
      <c r="F92" s="4">
        <v>1000304</v>
      </c>
      <c r="G92" s="4">
        <v>2</v>
      </c>
      <c r="I92" s="4" t="s">
        <v>556</v>
      </c>
      <c r="L92" s="4">
        <v>667</v>
      </c>
      <c r="M92" s="37" t="s">
        <v>52</v>
      </c>
      <c r="N92" s="38">
        <v>11003</v>
      </c>
      <c r="O92" s="38" t="s">
        <v>103</v>
      </c>
      <c r="Q92" s="50"/>
      <c r="R92" s="50"/>
      <c r="S92" t="b">
        <v>0</v>
      </c>
      <c r="T92" s="50"/>
      <c r="U92" s="50">
        <v>72402</v>
      </c>
      <c r="V92" s="50"/>
      <c r="W92" s="50"/>
      <c r="X92" s="50"/>
      <c r="Y92" s="4" t="s">
        <v>557</v>
      </c>
      <c r="Z92" s="4" t="s">
        <v>396</v>
      </c>
      <c r="AA92" s="4">
        <v>10003</v>
      </c>
      <c r="AB92" s="4" t="s">
        <v>105</v>
      </c>
      <c r="AC92" s="4">
        <v>100300</v>
      </c>
      <c r="AD92" s="4">
        <v>11003</v>
      </c>
      <c r="AE92" s="40">
        <v>4000000</v>
      </c>
      <c r="AF92" s="62" t="s">
        <v>552</v>
      </c>
      <c r="AG92" s="4">
        <v>667</v>
      </c>
      <c r="AH92" s="4">
        <v>4</v>
      </c>
      <c r="AI92" s="4" t="s">
        <v>106</v>
      </c>
      <c r="AJ92" s="4" t="s">
        <v>558</v>
      </c>
      <c r="AK92" s="4" t="s">
        <v>108</v>
      </c>
      <c r="AL92" s="4" t="s">
        <v>559</v>
      </c>
      <c r="AM92" s="4" t="s">
        <v>106</v>
      </c>
      <c r="AN92" s="4" t="s">
        <v>560</v>
      </c>
    </row>
    <row r="93" spans="1:40">
      <c r="A93" s="49">
        <v>100030403</v>
      </c>
      <c r="B93" s="49">
        <v>1</v>
      </c>
      <c r="C93" s="49" t="s">
        <v>50</v>
      </c>
      <c r="F93" s="4">
        <v>1000304</v>
      </c>
      <c r="G93" s="4">
        <v>3</v>
      </c>
      <c r="I93" s="4" t="s">
        <v>561</v>
      </c>
      <c r="L93" s="4">
        <v>667</v>
      </c>
      <c r="M93" s="37" t="s">
        <v>52</v>
      </c>
      <c r="N93" s="38">
        <v>11012</v>
      </c>
      <c r="O93" s="38" t="s">
        <v>112</v>
      </c>
      <c r="Q93" s="50"/>
      <c r="R93" s="50"/>
      <c r="S93" t="b">
        <v>0</v>
      </c>
      <c r="T93" s="50"/>
      <c r="U93" s="50">
        <v>72403</v>
      </c>
      <c r="V93" s="50"/>
      <c r="W93" s="50"/>
      <c r="X93" s="50"/>
      <c r="Y93" s="4" t="s">
        <v>562</v>
      </c>
      <c r="Z93" s="4" t="s">
        <v>396</v>
      </c>
      <c r="AA93" s="4">
        <v>10003</v>
      </c>
      <c r="AB93" s="4" t="s">
        <v>114</v>
      </c>
      <c r="AC93" s="4">
        <v>101200</v>
      </c>
      <c r="AD93" s="4">
        <v>11012</v>
      </c>
      <c r="AE93" s="40">
        <v>4000000</v>
      </c>
      <c r="AF93" s="62" t="s">
        <v>552</v>
      </c>
      <c r="AG93" s="4">
        <v>667</v>
      </c>
      <c r="AH93" s="4">
        <v>4</v>
      </c>
      <c r="AI93" s="4" t="s">
        <v>115</v>
      </c>
      <c r="AJ93" s="4" t="s">
        <v>563</v>
      </c>
      <c r="AK93" s="4" t="s">
        <v>117</v>
      </c>
      <c r="AL93" s="4" t="s">
        <v>564</v>
      </c>
      <c r="AM93" s="4" t="s">
        <v>115</v>
      </c>
      <c r="AN93" s="4" t="s">
        <v>565</v>
      </c>
    </row>
    <row r="94" spans="1:40">
      <c r="A94" s="49">
        <v>100030404</v>
      </c>
      <c r="B94" s="49">
        <v>1</v>
      </c>
      <c r="C94" s="49" t="s">
        <v>50</v>
      </c>
      <c r="F94" s="4">
        <v>1000304</v>
      </c>
      <c r="G94" s="4">
        <v>4</v>
      </c>
      <c r="I94" s="4" t="s">
        <v>566</v>
      </c>
      <c r="L94" s="4">
        <v>667</v>
      </c>
      <c r="M94" s="37" t="s">
        <v>52</v>
      </c>
      <c r="N94" s="38">
        <v>11014</v>
      </c>
      <c r="O94" s="38" t="s">
        <v>121</v>
      </c>
      <c r="Q94" s="50"/>
      <c r="R94" s="50"/>
      <c r="S94" t="b">
        <v>0</v>
      </c>
      <c r="T94" s="50"/>
      <c r="U94" s="50">
        <v>72404</v>
      </c>
      <c r="V94" s="50"/>
      <c r="W94" s="50"/>
      <c r="X94" s="50"/>
      <c r="Y94" s="4" t="s">
        <v>567</v>
      </c>
      <c r="Z94" s="4" t="s">
        <v>396</v>
      </c>
      <c r="AA94" s="4">
        <v>10003</v>
      </c>
      <c r="AB94" s="4" t="s">
        <v>123</v>
      </c>
      <c r="AC94" s="4">
        <v>101400</v>
      </c>
      <c r="AD94" s="4">
        <v>11014</v>
      </c>
      <c r="AE94" s="40">
        <v>4000000</v>
      </c>
      <c r="AF94" s="62" t="s">
        <v>552</v>
      </c>
      <c r="AG94" s="4">
        <v>667</v>
      </c>
      <c r="AH94" s="4">
        <v>4</v>
      </c>
      <c r="AI94" s="4" t="s">
        <v>124</v>
      </c>
      <c r="AJ94" s="4" t="s">
        <v>568</v>
      </c>
      <c r="AK94" s="4" t="s">
        <v>126</v>
      </c>
      <c r="AL94" s="4" t="s">
        <v>569</v>
      </c>
      <c r="AM94" s="4" t="s">
        <v>128</v>
      </c>
      <c r="AN94" s="4" t="s">
        <v>570</v>
      </c>
    </row>
    <row r="95" spans="1:40">
      <c r="A95" s="49">
        <v>100030405</v>
      </c>
      <c r="B95" s="49">
        <v>1</v>
      </c>
      <c r="C95" s="49" t="s">
        <v>50</v>
      </c>
      <c r="F95" s="4">
        <v>1000304</v>
      </c>
      <c r="G95" s="4">
        <v>5</v>
      </c>
      <c r="I95" s="4" t="s">
        <v>571</v>
      </c>
      <c r="L95" s="4">
        <v>667</v>
      </c>
      <c r="M95" s="37" t="s">
        <v>52</v>
      </c>
      <c r="N95" s="38">
        <v>11003</v>
      </c>
      <c r="O95" s="38" t="s">
        <v>417</v>
      </c>
      <c r="Q95" s="50"/>
      <c r="R95" s="50"/>
      <c r="S95" t="b">
        <v>0</v>
      </c>
      <c r="T95" s="50"/>
      <c r="U95" s="50">
        <v>72405</v>
      </c>
      <c r="V95" s="50"/>
      <c r="W95" s="50"/>
      <c r="X95" s="50"/>
      <c r="Y95" s="4" t="s">
        <v>572</v>
      </c>
      <c r="Z95" s="4" t="s">
        <v>133</v>
      </c>
      <c r="AA95" s="4">
        <v>10003</v>
      </c>
      <c r="AB95" s="4" t="s">
        <v>419</v>
      </c>
      <c r="AC95" s="4">
        <v>0</v>
      </c>
      <c r="AD95" s="4">
        <v>11003</v>
      </c>
      <c r="AE95" s="40">
        <v>4000000</v>
      </c>
      <c r="AF95" s="62" t="s">
        <v>552</v>
      </c>
      <c r="AG95" s="4">
        <v>667</v>
      </c>
      <c r="AH95" s="4">
        <v>4</v>
      </c>
      <c r="AI95" s="4" t="s">
        <v>135</v>
      </c>
      <c r="AJ95" s="4" t="s">
        <v>573</v>
      </c>
      <c r="AK95" s="4" t="s">
        <v>137</v>
      </c>
      <c r="AL95" s="4" t="s">
        <v>574</v>
      </c>
      <c r="AM95" s="4" t="s">
        <v>139</v>
      </c>
      <c r="AN95" s="4" t="s">
        <v>575</v>
      </c>
    </row>
    <row r="96" spans="1:40">
      <c r="A96" s="49">
        <v>100030406</v>
      </c>
      <c r="B96" s="49">
        <v>1</v>
      </c>
      <c r="C96" s="49" t="s">
        <v>50</v>
      </c>
      <c r="F96" s="4">
        <v>1000304</v>
      </c>
      <c r="G96" s="4">
        <v>6</v>
      </c>
      <c r="I96" s="4" t="s">
        <v>576</v>
      </c>
      <c r="L96" s="4">
        <v>667</v>
      </c>
      <c r="M96" s="37" t="s">
        <v>52</v>
      </c>
      <c r="N96" s="38">
        <v>11017</v>
      </c>
      <c r="O96" s="38" t="s">
        <v>142</v>
      </c>
      <c r="S96" t="b">
        <v>0</v>
      </c>
      <c r="U96" s="39">
        <v>72406</v>
      </c>
      <c r="Y96" s="4" t="s">
        <v>577</v>
      </c>
      <c r="Z96" s="4" t="s">
        <v>396</v>
      </c>
      <c r="AA96" s="4">
        <v>10003</v>
      </c>
      <c r="AB96" s="4" t="s">
        <v>144</v>
      </c>
      <c r="AC96" s="4">
        <v>101700</v>
      </c>
      <c r="AD96" s="4">
        <v>11017</v>
      </c>
      <c r="AE96" s="40">
        <v>4000000</v>
      </c>
      <c r="AF96" s="62" t="s">
        <v>552</v>
      </c>
      <c r="AG96" s="4">
        <v>667</v>
      </c>
      <c r="AH96" s="4">
        <v>4</v>
      </c>
      <c r="AI96" s="4" t="s">
        <v>145</v>
      </c>
      <c r="AJ96" s="4" t="s">
        <v>578</v>
      </c>
      <c r="AK96" s="4" t="s">
        <v>147</v>
      </c>
      <c r="AL96" s="4" t="s">
        <v>579</v>
      </c>
      <c r="AM96" s="4" t="s">
        <v>149</v>
      </c>
      <c r="AN96" s="4" t="s">
        <v>580</v>
      </c>
    </row>
    <row r="97" spans="1:40">
      <c r="A97" s="49">
        <v>100030407</v>
      </c>
      <c r="B97" s="49">
        <v>1</v>
      </c>
      <c r="C97" s="49" t="s">
        <v>50</v>
      </c>
      <c r="F97" s="4">
        <v>1000304</v>
      </c>
      <c r="G97" s="4">
        <v>7</v>
      </c>
      <c r="I97" s="4" t="s">
        <v>581</v>
      </c>
      <c r="L97" s="4">
        <v>667</v>
      </c>
      <c r="M97" s="37" t="s">
        <v>52</v>
      </c>
      <c r="N97" s="38">
        <v>11021</v>
      </c>
      <c r="O97" s="38" t="s">
        <v>152</v>
      </c>
      <c r="S97" t="b">
        <v>0</v>
      </c>
      <c r="U97" s="39">
        <v>72407</v>
      </c>
      <c r="Y97" s="4" t="s">
        <v>582</v>
      </c>
      <c r="Z97" s="4" t="s">
        <v>396</v>
      </c>
      <c r="AA97" s="4">
        <v>10003</v>
      </c>
      <c r="AB97" s="4" t="s">
        <v>154</v>
      </c>
      <c r="AC97" s="4">
        <v>102100</v>
      </c>
      <c r="AD97" s="4">
        <v>11021</v>
      </c>
      <c r="AE97" s="40">
        <v>4000000</v>
      </c>
      <c r="AF97" s="62" t="s">
        <v>552</v>
      </c>
      <c r="AG97" s="4">
        <v>667</v>
      </c>
      <c r="AH97" s="4">
        <v>4</v>
      </c>
      <c r="AI97" s="4" t="s">
        <v>155</v>
      </c>
      <c r="AJ97" s="4" t="s">
        <v>583</v>
      </c>
      <c r="AK97" s="4" t="s">
        <v>157</v>
      </c>
      <c r="AL97" s="4" t="s">
        <v>584</v>
      </c>
      <c r="AM97" s="4" t="s">
        <v>159</v>
      </c>
      <c r="AN97" s="4" t="s">
        <v>585</v>
      </c>
    </row>
    <row r="98" spans="1:40">
      <c r="A98" s="49">
        <v>100030408</v>
      </c>
      <c r="B98" s="49">
        <v>1</v>
      </c>
      <c r="C98" s="49" t="s">
        <v>50</v>
      </c>
      <c r="F98" s="4">
        <v>1000304</v>
      </c>
      <c r="G98" s="4">
        <v>8</v>
      </c>
      <c r="I98" s="4" t="s">
        <v>586</v>
      </c>
      <c r="L98" s="4">
        <v>667</v>
      </c>
      <c r="M98" s="37" t="s">
        <v>52</v>
      </c>
      <c r="N98" s="38">
        <v>11022</v>
      </c>
      <c r="O98" s="38" t="s">
        <v>162</v>
      </c>
      <c r="S98" t="b">
        <v>0</v>
      </c>
      <c r="U98" s="39">
        <v>72408</v>
      </c>
      <c r="Y98" s="4" t="s">
        <v>587</v>
      </c>
      <c r="Z98" s="4" t="s">
        <v>396</v>
      </c>
      <c r="AA98" s="4">
        <v>10003</v>
      </c>
      <c r="AB98" s="4" t="s">
        <v>164</v>
      </c>
      <c r="AC98" s="4">
        <v>102200</v>
      </c>
      <c r="AD98" s="4">
        <v>11022</v>
      </c>
      <c r="AE98" s="40">
        <v>4000000</v>
      </c>
      <c r="AF98" s="62" t="s">
        <v>552</v>
      </c>
      <c r="AG98" s="4">
        <v>667</v>
      </c>
      <c r="AH98" s="4">
        <v>4</v>
      </c>
      <c r="AI98" s="4" t="s">
        <v>165</v>
      </c>
      <c r="AJ98" s="4" t="s">
        <v>588</v>
      </c>
      <c r="AK98" s="4" t="s">
        <v>167</v>
      </c>
      <c r="AL98" s="4" t="s">
        <v>589</v>
      </c>
      <c r="AM98" s="4" t="s">
        <v>165</v>
      </c>
      <c r="AN98" s="4" t="s">
        <v>590</v>
      </c>
    </row>
    <row r="99" spans="1:40">
      <c r="A99" s="49">
        <v>100030409</v>
      </c>
      <c r="B99" s="49">
        <v>1</v>
      </c>
      <c r="C99" s="49" t="s">
        <v>50</v>
      </c>
      <c r="F99" s="4">
        <v>1000304</v>
      </c>
      <c r="G99" s="4">
        <v>9</v>
      </c>
      <c r="I99" s="4" t="s">
        <v>591</v>
      </c>
      <c r="L99" s="4">
        <v>667</v>
      </c>
      <c r="M99" s="37" t="s">
        <v>52</v>
      </c>
      <c r="N99" s="38">
        <v>11023</v>
      </c>
      <c r="O99" s="38" t="s">
        <v>171</v>
      </c>
      <c r="S99" t="b">
        <v>0</v>
      </c>
      <c r="U99" s="39">
        <v>72409</v>
      </c>
      <c r="Y99" s="4" t="s">
        <v>592</v>
      </c>
      <c r="Z99" s="4" t="s">
        <v>396</v>
      </c>
      <c r="AA99" s="4">
        <v>10003</v>
      </c>
      <c r="AB99" s="4" t="s">
        <v>173</v>
      </c>
      <c r="AC99" s="4">
        <v>102300</v>
      </c>
      <c r="AD99" s="4">
        <v>11023</v>
      </c>
      <c r="AE99" s="40">
        <v>4000000</v>
      </c>
      <c r="AF99" s="62" t="s">
        <v>552</v>
      </c>
      <c r="AG99" s="4">
        <v>667</v>
      </c>
      <c r="AH99" s="4">
        <v>4</v>
      </c>
      <c r="AI99" s="4" t="s">
        <v>174</v>
      </c>
      <c r="AJ99" s="4" t="s">
        <v>593</v>
      </c>
      <c r="AK99" s="4" t="s">
        <v>176</v>
      </c>
      <c r="AL99" s="4" t="s">
        <v>594</v>
      </c>
      <c r="AM99" s="4" t="s">
        <v>178</v>
      </c>
      <c r="AN99" s="4" t="s">
        <v>595</v>
      </c>
    </row>
    <row r="100" spans="1:40">
      <c r="A100" s="49">
        <v>100030410</v>
      </c>
      <c r="B100" s="49">
        <v>1</v>
      </c>
      <c r="C100" s="49" t="s">
        <v>50</v>
      </c>
      <c r="F100" s="4">
        <v>1000304</v>
      </c>
      <c r="G100" s="4">
        <v>10</v>
      </c>
      <c r="I100" s="4" t="s">
        <v>596</v>
      </c>
      <c r="L100" s="4">
        <v>667</v>
      </c>
      <c r="M100" s="37" t="s">
        <v>52</v>
      </c>
      <c r="N100" s="38">
        <v>11024</v>
      </c>
      <c r="O100" s="38" t="s">
        <v>181</v>
      </c>
      <c r="S100" t="b">
        <v>0</v>
      </c>
      <c r="U100" s="39">
        <v>72410</v>
      </c>
      <c r="Y100" s="4" t="s">
        <v>597</v>
      </c>
      <c r="Z100" s="4" t="s">
        <v>396</v>
      </c>
      <c r="AA100" s="4">
        <v>10003</v>
      </c>
      <c r="AB100" s="4" t="s">
        <v>183</v>
      </c>
      <c r="AC100" s="4">
        <v>102400</v>
      </c>
      <c r="AD100" s="4">
        <v>11024</v>
      </c>
      <c r="AE100" s="40">
        <v>4000000</v>
      </c>
      <c r="AF100" s="62" t="s">
        <v>552</v>
      </c>
      <c r="AG100" s="4">
        <v>667</v>
      </c>
      <c r="AH100" s="4">
        <v>4</v>
      </c>
      <c r="AI100" s="4" t="s">
        <v>184</v>
      </c>
      <c r="AJ100" s="4" t="s">
        <v>598</v>
      </c>
      <c r="AK100" s="4" t="s">
        <v>186</v>
      </c>
      <c r="AL100" s="4" t="s">
        <v>599</v>
      </c>
      <c r="AM100" s="4" t="s">
        <v>188</v>
      </c>
      <c r="AN100" s="4" t="s">
        <v>600</v>
      </c>
    </row>
    <row r="101" spans="1:40">
      <c r="A101" s="49">
        <v>100010101</v>
      </c>
      <c r="B101" s="49">
        <v>1</v>
      </c>
      <c r="C101" s="49" t="s">
        <v>50</v>
      </c>
      <c r="F101" s="4">
        <v>1000101</v>
      </c>
      <c r="G101" s="4">
        <v>1</v>
      </c>
      <c r="I101" s="4" t="s">
        <v>601</v>
      </c>
      <c r="L101" s="4">
        <v>300</v>
      </c>
      <c r="M101" s="37" t="s">
        <v>52</v>
      </c>
      <c r="N101" s="38">
        <v>11007</v>
      </c>
      <c r="O101" s="38" t="s">
        <v>91</v>
      </c>
      <c r="Q101" s="50"/>
      <c r="R101" s="50"/>
      <c r="S101" t="b">
        <v>0</v>
      </c>
      <c r="T101" s="50"/>
      <c r="U101" s="50">
        <v>73001</v>
      </c>
      <c r="V101" s="50"/>
      <c r="W101" s="50"/>
      <c r="X101" s="50"/>
      <c r="Y101" s="4" t="s">
        <v>602</v>
      </c>
      <c r="Z101" s="4" t="s">
        <v>603</v>
      </c>
      <c r="AA101" s="4">
        <v>10001</v>
      </c>
      <c r="AB101" s="4" t="s">
        <v>94</v>
      </c>
      <c r="AC101" s="4">
        <v>100700</v>
      </c>
      <c r="AD101" s="4">
        <v>11007</v>
      </c>
      <c r="AE101" s="40">
        <v>1000</v>
      </c>
      <c r="AF101" s="62" t="s">
        <v>604</v>
      </c>
      <c r="AG101" s="4">
        <v>300</v>
      </c>
      <c r="AH101" s="4">
        <v>1</v>
      </c>
      <c r="AI101" s="4" t="s">
        <v>96</v>
      </c>
      <c r="AJ101" s="4" t="s">
        <v>605</v>
      </c>
      <c r="AK101" s="4" t="s">
        <v>98</v>
      </c>
      <c r="AL101" s="4" t="s">
        <v>606</v>
      </c>
      <c r="AM101" s="4" t="s">
        <v>100</v>
      </c>
      <c r="AN101" s="4" t="s">
        <v>607</v>
      </c>
    </row>
    <row r="102" spans="1:40">
      <c r="A102" s="49">
        <v>100010102</v>
      </c>
      <c r="B102" s="49">
        <v>1</v>
      </c>
      <c r="C102" s="49" t="s">
        <v>50</v>
      </c>
      <c r="F102" s="4">
        <v>1000101</v>
      </c>
      <c r="G102" s="4">
        <v>2</v>
      </c>
      <c r="I102" s="4" t="s">
        <v>608</v>
      </c>
      <c r="L102" s="4">
        <v>300</v>
      </c>
      <c r="M102" s="37" t="s">
        <v>52</v>
      </c>
      <c r="N102" s="38">
        <v>11003</v>
      </c>
      <c r="O102" s="38" t="s">
        <v>103</v>
      </c>
      <c r="Q102" s="50"/>
      <c r="R102" s="50"/>
      <c r="S102" t="b">
        <v>0</v>
      </c>
      <c r="T102" s="50"/>
      <c r="U102" s="50">
        <v>73002</v>
      </c>
      <c r="V102" s="50"/>
      <c r="W102" s="50"/>
      <c r="X102" s="50"/>
      <c r="Y102" s="4" t="s">
        <v>609</v>
      </c>
      <c r="Z102" s="4" t="s">
        <v>603</v>
      </c>
      <c r="AA102" s="4">
        <v>10001</v>
      </c>
      <c r="AB102" s="4" t="s">
        <v>105</v>
      </c>
      <c r="AC102" s="4">
        <v>100300</v>
      </c>
      <c r="AD102" s="4">
        <v>11003</v>
      </c>
      <c r="AE102" s="40">
        <v>1000</v>
      </c>
      <c r="AF102" s="62" t="s">
        <v>604</v>
      </c>
      <c r="AG102" s="4">
        <v>300</v>
      </c>
      <c r="AH102" s="4">
        <v>1</v>
      </c>
      <c r="AI102" s="4" t="s">
        <v>106</v>
      </c>
      <c r="AJ102" s="4" t="s">
        <v>610</v>
      </c>
      <c r="AK102" s="4" t="s">
        <v>108</v>
      </c>
      <c r="AL102" s="4" t="s">
        <v>611</v>
      </c>
      <c r="AM102" s="4" t="s">
        <v>106</v>
      </c>
      <c r="AN102" s="4" t="s">
        <v>612</v>
      </c>
    </row>
    <row r="103" spans="1:40">
      <c r="A103" s="49">
        <v>100010103</v>
      </c>
      <c r="B103" s="49">
        <v>1</v>
      </c>
      <c r="C103" s="49" t="s">
        <v>50</v>
      </c>
      <c r="F103" s="4">
        <v>1000101</v>
      </c>
      <c r="G103" s="4">
        <v>3</v>
      </c>
      <c r="I103" s="4" t="s">
        <v>613</v>
      </c>
      <c r="L103" s="4">
        <v>300</v>
      </c>
      <c r="M103" s="37" t="s">
        <v>52</v>
      </c>
      <c r="N103" s="38">
        <v>11012</v>
      </c>
      <c r="O103" s="38" t="s">
        <v>112</v>
      </c>
      <c r="Q103" s="50"/>
      <c r="R103" s="50"/>
      <c r="S103" t="b">
        <v>0</v>
      </c>
      <c r="T103" s="50"/>
      <c r="U103" s="50">
        <v>73003</v>
      </c>
      <c r="V103" s="50"/>
      <c r="W103" s="50"/>
      <c r="X103" s="50"/>
      <c r="Y103" s="4" t="s">
        <v>614</v>
      </c>
      <c r="Z103" s="4" t="s">
        <v>603</v>
      </c>
      <c r="AA103" s="4">
        <v>10001</v>
      </c>
      <c r="AB103" s="4" t="s">
        <v>114</v>
      </c>
      <c r="AC103" s="4">
        <v>101200</v>
      </c>
      <c r="AD103" s="4">
        <v>11012</v>
      </c>
      <c r="AE103" s="40">
        <v>1000</v>
      </c>
      <c r="AF103" s="62" t="s">
        <v>604</v>
      </c>
      <c r="AG103" s="4">
        <v>300</v>
      </c>
      <c r="AH103" s="4">
        <v>1</v>
      </c>
      <c r="AI103" s="4" t="s">
        <v>115</v>
      </c>
      <c r="AJ103" s="4" t="s">
        <v>615</v>
      </c>
      <c r="AK103" s="4" t="s">
        <v>117</v>
      </c>
      <c r="AL103" s="4" t="s">
        <v>616</v>
      </c>
      <c r="AM103" s="4" t="s">
        <v>115</v>
      </c>
      <c r="AN103" s="4" t="s">
        <v>617</v>
      </c>
    </row>
    <row r="104" spans="1:40">
      <c r="A104" s="49">
        <v>100010104</v>
      </c>
      <c r="B104" s="49">
        <v>1</v>
      </c>
      <c r="C104" s="49" t="s">
        <v>50</v>
      </c>
      <c r="F104" s="4">
        <v>1000101</v>
      </c>
      <c r="G104" s="4">
        <v>4</v>
      </c>
      <c r="I104" s="4" t="s">
        <v>618</v>
      </c>
      <c r="L104" s="4">
        <v>300</v>
      </c>
      <c r="M104" s="37" t="s">
        <v>52</v>
      </c>
      <c r="N104" s="38">
        <v>11014</v>
      </c>
      <c r="O104" s="38" t="s">
        <v>121</v>
      </c>
      <c r="Q104" s="50"/>
      <c r="R104" s="50"/>
      <c r="S104" t="b">
        <v>0</v>
      </c>
      <c r="T104" s="50"/>
      <c r="U104" s="50">
        <v>73004</v>
      </c>
      <c r="V104" s="50"/>
      <c r="W104" s="50"/>
      <c r="X104" s="50"/>
      <c r="Y104" s="4" t="s">
        <v>619</v>
      </c>
      <c r="Z104" s="4" t="s">
        <v>603</v>
      </c>
      <c r="AA104" s="4">
        <v>10001</v>
      </c>
      <c r="AB104" s="4" t="s">
        <v>123</v>
      </c>
      <c r="AC104" s="4">
        <v>101400</v>
      </c>
      <c r="AD104" s="4">
        <v>11014</v>
      </c>
      <c r="AE104" s="40">
        <v>1000</v>
      </c>
      <c r="AF104" s="62" t="s">
        <v>604</v>
      </c>
      <c r="AG104" s="4">
        <v>300</v>
      </c>
      <c r="AH104" s="4">
        <v>1</v>
      </c>
      <c r="AI104" s="4" t="s">
        <v>124</v>
      </c>
      <c r="AJ104" s="4" t="s">
        <v>620</v>
      </c>
      <c r="AK104" s="4" t="s">
        <v>126</v>
      </c>
      <c r="AL104" s="4" t="s">
        <v>621</v>
      </c>
      <c r="AM104" s="4" t="s">
        <v>128</v>
      </c>
      <c r="AN104" s="4" t="s">
        <v>622</v>
      </c>
    </row>
    <row r="105" spans="1:40">
      <c r="A105" s="49">
        <v>100010105</v>
      </c>
      <c r="B105" s="49">
        <v>1</v>
      </c>
      <c r="C105" s="49" t="s">
        <v>50</v>
      </c>
      <c r="F105" s="4">
        <v>1000101</v>
      </c>
      <c r="G105" s="4">
        <v>5</v>
      </c>
      <c r="I105" s="4" t="s">
        <v>623</v>
      </c>
      <c r="L105" s="4">
        <v>300</v>
      </c>
      <c r="M105" s="37" t="s">
        <v>52</v>
      </c>
      <c r="N105" s="38">
        <v>11003</v>
      </c>
      <c r="O105" s="38" t="s">
        <v>624</v>
      </c>
      <c r="Q105" s="50"/>
      <c r="R105" s="50"/>
      <c r="S105" t="b">
        <v>0</v>
      </c>
      <c r="T105" s="50"/>
      <c r="U105" s="50">
        <v>73005</v>
      </c>
      <c r="V105" s="50"/>
      <c r="W105" s="50"/>
      <c r="X105" s="50"/>
      <c r="Y105" s="4" t="s">
        <v>625</v>
      </c>
      <c r="Z105" s="4" t="s">
        <v>626</v>
      </c>
      <c r="AA105" s="4">
        <v>10001</v>
      </c>
      <c r="AC105" s="4">
        <v>0</v>
      </c>
      <c r="AD105" s="4">
        <v>11003</v>
      </c>
      <c r="AE105" s="40">
        <v>1000</v>
      </c>
      <c r="AF105" s="62" t="s">
        <v>604</v>
      </c>
      <c r="AG105" s="4">
        <v>300</v>
      </c>
      <c r="AH105" s="4">
        <v>1</v>
      </c>
      <c r="AI105" s="4" t="s">
        <v>135</v>
      </c>
      <c r="AJ105" s="4" t="s">
        <v>627</v>
      </c>
      <c r="AK105" s="4" t="s">
        <v>137</v>
      </c>
      <c r="AL105" s="4" t="s">
        <v>628</v>
      </c>
      <c r="AM105" s="4" t="s">
        <v>139</v>
      </c>
      <c r="AN105" s="4" t="s">
        <v>629</v>
      </c>
    </row>
    <row r="106" spans="1:40">
      <c r="A106" s="49">
        <v>100010106</v>
      </c>
      <c r="B106" s="49">
        <v>1</v>
      </c>
      <c r="C106" s="49" t="s">
        <v>50</v>
      </c>
      <c r="F106" s="4">
        <v>1000101</v>
      </c>
      <c r="G106" s="4">
        <v>6</v>
      </c>
      <c r="I106" s="4" t="s">
        <v>630</v>
      </c>
      <c r="L106" s="4">
        <v>300</v>
      </c>
      <c r="M106" s="37" t="s">
        <v>52</v>
      </c>
      <c r="N106" s="38">
        <v>11017</v>
      </c>
      <c r="O106" s="38" t="s">
        <v>142</v>
      </c>
      <c r="S106" t="b">
        <v>0</v>
      </c>
      <c r="U106" s="39">
        <v>73006</v>
      </c>
      <c r="Y106" s="4" t="s">
        <v>631</v>
      </c>
      <c r="Z106" s="4" t="s">
        <v>603</v>
      </c>
      <c r="AA106" s="4">
        <v>12001</v>
      </c>
      <c r="AB106" s="4" t="s">
        <v>144</v>
      </c>
      <c r="AC106" s="4">
        <v>101700</v>
      </c>
      <c r="AD106" s="4">
        <v>11017</v>
      </c>
      <c r="AE106" s="40">
        <v>1000</v>
      </c>
      <c r="AF106" s="62" t="s">
        <v>604</v>
      </c>
      <c r="AG106" s="4">
        <v>300</v>
      </c>
      <c r="AH106" s="4">
        <v>1</v>
      </c>
      <c r="AI106" s="4" t="s">
        <v>145</v>
      </c>
      <c r="AJ106" s="4" t="s">
        <v>632</v>
      </c>
      <c r="AK106" s="4" t="s">
        <v>147</v>
      </c>
      <c r="AL106" s="4" t="s">
        <v>633</v>
      </c>
      <c r="AM106" s="4" t="s">
        <v>149</v>
      </c>
      <c r="AN106" s="4" t="s">
        <v>634</v>
      </c>
    </row>
    <row r="107" spans="1:40">
      <c r="A107" s="49">
        <v>100010107</v>
      </c>
      <c r="B107" s="49">
        <v>1</v>
      </c>
      <c r="C107" s="49" t="s">
        <v>50</v>
      </c>
      <c r="F107" s="4">
        <v>1000101</v>
      </c>
      <c r="G107" s="4">
        <v>7</v>
      </c>
      <c r="I107" s="4" t="s">
        <v>635</v>
      </c>
      <c r="L107" s="4">
        <v>300</v>
      </c>
      <c r="M107" s="37" t="s">
        <v>52</v>
      </c>
      <c r="N107" s="38">
        <v>11021</v>
      </c>
      <c r="O107" s="38" t="s">
        <v>152</v>
      </c>
      <c r="S107" t="b">
        <v>0</v>
      </c>
      <c r="U107" s="39">
        <v>73007</v>
      </c>
      <c r="Y107" s="4" t="s">
        <v>636</v>
      </c>
      <c r="Z107" s="4" t="s">
        <v>603</v>
      </c>
      <c r="AA107" s="4">
        <v>12001</v>
      </c>
      <c r="AB107" s="4" t="s">
        <v>154</v>
      </c>
      <c r="AC107" s="4">
        <v>102100</v>
      </c>
      <c r="AD107" s="4">
        <v>11021</v>
      </c>
      <c r="AE107" s="40">
        <v>1000</v>
      </c>
      <c r="AF107" s="62" t="s">
        <v>604</v>
      </c>
      <c r="AG107" s="4">
        <v>300</v>
      </c>
      <c r="AH107" s="4">
        <v>1</v>
      </c>
      <c r="AI107" s="4" t="s">
        <v>155</v>
      </c>
      <c r="AJ107" s="4" t="s">
        <v>637</v>
      </c>
      <c r="AK107" s="4" t="s">
        <v>157</v>
      </c>
      <c r="AL107" s="4" t="s">
        <v>638</v>
      </c>
      <c r="AM107" s="4" t="s">
        <v>159</v>
      </c>
      <c r="AN107" s="4" t="s">
        <v>639</v>
      </c>
    </row>
    <row r="108" spans="1:40">
      <c r="A108" s="49">
        <v>100010108</v>
      </c>
      <c r="B108" s="49">
        <v>1</v>
      </c>
      <c r="C108" s="49" t="s">
        <v>50</v>
      </c>
      <c r="F108" s="4">
        <v>1000101</v>
      </c>
      <c r="G108" s="4">
        <v>8</v>
      </c>
      <c r="I108" s="4" t="s">
        <v>640</v>
      </c>
      <c r="L108" s="4">
        <v>300</v>
      </c>
      <c r="M108" s="37" t="s">
        <v>52</v>
      </c>
      <c r="N108" s="38">
        <v>11022</v>
      </c>
      <c r="O108" s="38" t="s">
        <v>162</v>
      </c>
      <c r="S108" t="b">
        <v>0</v>
      </c>
      <c r="U108" s="39">
        <v>73008</v>
      </c>
      <c r="Y108" s="4" t="s">
        <v>641</v>
      </c>
      <c r="Z108" s="4" t="s">
        <v>603</v>
      </c>
      <c r="AA108" s="4">
        <v>12001</v>
      </c>
      <c r="AB108" s="4" t="s">
        <v>164</v>
      </c>
      <c r="AC108" s="4">
        <v>102200</v>
      </c>
      <c r="AD108" s="4">
        <v>11022</v>
      </c>
      <c r="AE108" s="40">
        <v>1000</v>
      </c>
      <c r="AF108" s="62" t="s">
        <v>604</v>
      </c>
      <c r="AG108" s="4">
        <v>300</v>
      </c>
      <c r="AH108" s="4">
        <v>1</v>
      </c>
      <c r="AI108" s="4" t="s">
        <v>165</v>
      </c>
      <c r="AJ108" s="4" t="s">
        <v>642</v>
      </c>
      <c r="AK108" s="4" t="s">
        <v>167</v>
      </c>
      <c r="AL108" s="4" t="s">
        <v>643</v>
      </c>
      <c r="AM108" s="4" t="s">
        <v>165</v>
      </c>
      <c r="AN108" s="4" t="s">
        <v>644</v>
      </c>
    </row>
    <row r="109" spans="1:40">
      <c r="A109" s="49">
        <v>100010109</v>
      </c>
      <c r="B109" s="49">
        <v>1</v>
      </c>
      <c r="C109" s="49" t="s">
        <v>50</v>
      </c>
      <c r="F109" s="4">
        <v>1000101</v>
      </c>
      <c r="G109" s="4">
        <v>9</v>
      </c>
      <c r="I109" s="4" t="s">
        <v>645</v>
      </c>
      <c r="L109" s="4">
        <v>300</v>
      </c>
      <c r="M109" s="37" t="s">
        <v>52</v>
      </c>
      <c r="N109" s="38">
        <v>11023</v>
      </c>
      <c r="O109" s="38" t="s">
        <v>171</v>
      </c>
      <c r="S109" t="b">
        <v>0</v>
      </c>
      <c r="U109" s="39">
        <v>73009</v>
      </c>
      <c r="Y109" s="4" t="s">
        <v>646</v>
      </c>
      <c r="Z109" s="4" t="s">
        <v>603</v>
      </c>
      <c r="AA109" s="4">
        <v>12001</v>
      </c>
      <c r="AB109" s="4" t="s">
        <v>173</v>
      </c>
      <c r="AC109" s="4">
        <v>102300</v>
      </c>
      <c r="AD109" s="4">
        <v>11023</v>
      </c>
      <c r="AE109" s="40">
        <v>1000</v>
      </c>
      <c r="AF109" s="62" t="s">
        <v>604</v>
      </c>
      <c r="AG109" s="4">
        <v>300</v>
      </c>
      <c r="AH109" s="4">
        <v>1</v>
      </c>
      <c r="AI109" s="4" t="s">
        <v>174</v>
      </c>
      <c r="AJ109" s="4" t="s">
        <v>647</v>
      </c>
      <c r="AK109" s="4" t="s">
        <v>176</v>
      </c>
      <c r="AL109" s="4" t="s">
        <v>648</v>
      </c>
      <c r="AM109" s="4" t="s">
        <v>178</v>
      </c>
      <c r="AN109" s="4" t="s">
        <v>649</v>
      </c>
    </row>
    <row r="110" spans="1:40">
      <c r="A110" s="49">
        <v>100010110</v>
      </c>
      <c r="B110" s="49">
        <v>1</v>
      </c>
      <c r="C110" s="49" t="s">
        <v>50</v>
      </c>
      <c r="F110" s="4">
        <v>1000101</v>
      </c>
      <c r="G110" s="4">
        <v>10</v>
      </c>
      <c r="I110" s="4" t="s">
        <v>650</v>
      </c>
      <c r="L110" s="4">
        <v>300</v>
      </c>
      <c r="M110" s="37" t="s">
        <v>52</v>
      </c>
      <c r="N110" s="38">
        <v>11024</v>
      </c>
      <c r="O110" s="38" t="s">
        <v>181</v>
      </c>
      <c r="S110" t="b">
        <v>0</v>
      </c>
      <c r="U110" s="39">
        <v>73010</v>
      </c>
      <c r="Y110" s="4" t="s">
        <v>651</v>
      </c>
      <c r="Z110" s="4" t="s">
        <v>603</v>
      </c>
      <c r="AA110" s="4">
        <v>12001</v>
      </c>
      <c r="AB110" s="4" t="s">
        <v>183</v>
      </c>
      <c r="AC110" s="4">
        <v>102400</v>
      </c>
      <c r="AD110" s="4">
        <v>11024</v>
      </c>
      <c r="AE110" s="40">
        <v>1000</v>
      </c>
      <c r="AF110" s="62" t="s">
        <v>604</v>
      </c>
      <c r="AG110" s="4">
        <v>300</v>
      </c>
      <c r="AH110" s="4">
        <v>1</v>
      </c>
      <c r="AI110" s="4" t="s">
        <v>184</v>
      </c>
      <c r="AJ110" s="4" t="s">
        <v>652</v>
      </c>
      <c r="AK110" s="4" t="s">
        <v>186</v>
      </c>
      <c r="AL110" s="4" t="s">
        <v>653</v>
      </c>
      <c r="AM110" s="4" t="s">
        <v>188</v>
      </c>
      <c r="AN110" s="4" t="s">
        <v>654</v>
      </c>
    </row>
    <row r="111" spans="1:40">
      <c r="A111" s="53">
        <v>100020001</v>
      </c>
      <c r="B111" s="12">
        <v>2</v>
      </c>
      <c r="C111" s="12" t="s">
        <v>655</v>
      </c>
      <c r="D111" s="12"/>
      <c r="E111" s="12"/>
      <c r="F111" s="12"/>
      <c r="G111" s="12"/>
      <c r="H111" s="12">
        <v>100020002</v>
      </c>
      <c r="I111" s="12" t="s">
        <v>656</v>
      </c>
      <c r="J111" s="12"/>
      <c r="K111" s="12" t="s">
        <v>657</v>
      </c>
      <c r="L111" s="12"/>
      <c r="M111" s="13"/>
      <c r="N111" s="10">
        <v>3401</v>
      </c>
      <c r="O111" s="10"/>
      <c r="P111" s="8"/>
      <c r="Q111" s="6"/>
      <c r="R111" s="6"/>
      <c r="S111" t="b">
        <v>0</v>
      </c>
      <c r="T111" s="6"/>
      <c r="U111" s="6">
        <v>74001</v>
      </c>
      <c r="V111" s="6"/>
      <c r="W111" s="6"/>
      <c r="X111" s="6" t="str">
        <f>IF(N111="",85001,"")</f>
        <v/>
      </c>
      <c r="Y111" s="4" t="s">
        <v>658</v>
      </c>
    </row>
    <row r="112" spans="1:40">
      <c r="A112" s="12">
        <v>100020002</v>
      </c>
      <c r="B112" s="12">
        <v>2</v>
      </c>
      <c r="C112" s="12" t="s">
        <v>655</v>
      </c>
      <c r="D112" s="12"/>
      <c r="E112" s="12"/>
      <c r="F112" s="12"/>
      <c r="G112" s="12"/>
      <c r="H112" s="12">
        <v>100020003</v>
      </c>
      <c r="I112" s="12" t="s">
        <v>659</v>
      </c>
      <c r="J112" s="12"/>
      <c r="K112" s="12" t="s">
        <v>660</v>
      </c>
      <c r="L112" s="12"/>
      <c r="M112" s="13"/>
      <c r="N112" s="10">
        <v>3201</v>
      </c>
      <c r="O112" s="10"/>
      <c r="P112" s="8"/>
      <c r="Q112" s="6"/>
      <c r="R112" s="6"/>
      <c r="S112" t="b">
        <v>0</v>
      </c>
      <c r="T112" s="6"/>
      <c r="U112" s="6">
        <v>74002</v>
      </c>
      <c r="V112" s="6"/>
      <c r="W112" s="6"/>
      <c r="X112" s="6" t="str">
        <f t="shared" ref="X112:X143" si="0">IF(N112="",85001,"")</f>
        <v/>
      </c>
      <c r="Y112" s="4" t="s">
        <v>661</v>
      </c>
    </row>
    <row r="113" spans="1:25">
      <c r="A113" s="54">
        <v>100020003</v>
      </c>
      <c r="B113" s="12">
        <v>2</v>
      </c>
      <c r="C113" s="12" t="s">
        <v>655</v>
      </c>
      <c r="D113" s="12"/>
      <c r="E113" s="12"/>
      <c r="F113" s="12"/>
      <c r="G113" s="12"/>
      <c r="H113" s="12">
        <v>100020004</v>
      </c>
      <c r="I113" s="12" t="s">
        <v>662</v>
      </c>
      <c r="J113" s="12"/>
      <c r="K113" s="12" t="s">
        <v>663</v>
      </c>
      <c r="L113" s="12"/>
      <c r="M113" s="13"/>
      <c r="N113" s="10">
        <v>3301</v>
      </c>
      <c r="O113" s="10"/>
      <c r="P113" s="8"/>
      <c r="Q113" s="6"/>
      <c r="R113" s="6"/>
      <c r="S113" t="b">
        <v>0</v>
      </c>
      <c r="T113" s="6"/>
      <c r="U113" s="6">
        <v>74003</v>
      </c>
      <c r="V113" s="6"/>
      <c r="W113" s="6"/>
      <c r="X113" s="6" t="str">
        <f t="shared" si="0"/>
        <v/>
      </c>
      <c r="Y113" s="4" t="s">
        <v>664</v>
      </c>
    </row>
    <row r="114" spans="1:25">
      <c r="A114" s="12">
        <v>100020004</v>
      </c>
      <c r="B114" s="12">
        <v>2</v>
      </c>
      <c r="C114" s="12" t="s">
        <v>655</v>
      </c>
      <c r="D114" s="12"/>
      <c r="E114" s="12"/>
      <c r="F114" s="12"/>
      <c r="G114" s="12"/>
      <c r="H114" s="12">
        <v>100020005</v>
      </c>
      <c r="I114" s="12" t="s">
        <v>665</v>
      </c>
      <c r="J114" s="12"/>
      <c r="K114" s="12" t="s">
        <v>666</v>
      </c>
      <c r="L114" s="12"/>
      <c r="M114" s="13"/>
      <c r="N114" s="10">
        <v>11041</v>
      </c>
      <c r="O114" s="10"/>
      <c r="P114" s="8"/>
      <c r="Q114" s="6"/>
      <c r="R114" s="6"/>
      <c r="S114" t="b">
        <v>0</v>
      </c>
      <c r="T114" s="6"/>
      <c r="U114" s="6">
        <v>74004</v>
      </c>
      <c r="V114" s="6"/>
      <c r="W114" s="6"/>
      <c r="X114" s="6" t="str">
        <f t="shared" si="0"/>
        <v/>
      </c>
      <c r="Y114" s="4" t="s">
        <v>667</v>
      </c>
    </row>
    <row r="115" spans="1:25">
      <c r="A115" s="12">
        <v>100020005</v>
      </c>
      <c r="B115" s="12">
        <v>2</v>
      </c>
      <c r="C115" s="12" t="s">
        <v>655</v>
      </c>
      <c r="D115" s="12"/>
      <c r="E115" s="12"/>
      <c r="F115" s="12"/>
      <c r="G115" s="12"/>
      <c r="H115" s="12">
        <v>100020006</v>
      </c>
      <c r="I115" s="12" t="s">
        <v>668</v>
      </c>
      <c r="J115" s="12"/>
      <c r="K115" s="12" t="s">
        <v>669</v>
      </c>
      <c r="L115" s="12"/>
      <c r="M115" s="13"/>
      <c r="N115" s="10">
        <v>3554</v>
      </c>
      <c r="O115" s="10"/>
      <c r="P115" s="8"/>
      <c r="Q115" s="6"/>
      <c r="R115" s="6"/>
      <c r="S115" t="b">
        <v>0</v>
      </c>
      <c r="T115" s="6"/>
      <c r="U115" s="6">
        <v>74005</v>
      </c>
      <c r="V115" s="6"/>
      <c r="W115" s="6"/>
      <c r="X115" s="6" t="str">
        <f t="shared" si="0"/>
        <v/>
      </c>
      <c r="Y115" s="4" t="s">
        <v>670</v>
      </c>
    </row>
    <row r="116" spans="1:25">
      <c r="A116" s="12">
        <v>100020006</v>
      </c>
      <c r="B116" s="12">
        <v>2</v>
      </c>
      <c r="C116" s="12" t="s">
        <v>655</v>
      </c>
      <c r="D116" s="12"/>
      <c r="E116" s="12"/>
      <c r="F116" s="12"/>
      <c r="G116" s="12"/>
      <c r="H116" s="12">
        <v>100020007</v>
      </c>
      <c r="I116" s="12" t="s">
        <v>671</v>
      </c>
      <c r="J116" s="12">
        <v>5011</v>
      </c>
      <c r="K116" s="12" t="s">
        <v>672</v>
      </c>
      <c r="L116" s="12"/>
      <c r="M116" s="13"/>
      <c r="N116" s="10">
        <v>3201</v>
      </c>
      <c r="O116" s="10"/>
      <c r="P116" s="8"/>
      <c r="Q116" s="6"/>
      <c r="R116" s="6"/>
      <c r="S116" t="b">
        <v>0</v>
      </c>
      <c r="T116" s="6"/>
      <c r="U116" s="6">
        <v>74006</v>
      </c>
      <c r="V116" s="6"/>
      <c r="W116" s="6"/>
      <c r="X116" s="6" t="str">
        <f t="shared" si="0"/>
        <v/>
      </c>
      <c r="Y116" s="4" t="s">
        <v>673</v>
      </c>
    </row>
    <row r="117" spans="1:25">
      <c r="A117" s="12">
        <v>100020007</v>
      </c>
      <c r="B117" s="12">
        <v>2</v>
      </c>
      <c r="C117" s="12" t="s">
        <v>655</v>
      </c>
      <c r="D117" s="12"/>
      <c r="E117" s="12"/>
      <c r="F117" s="12"/>
      <c r="G117" s="12"/>
      <c r="H117" s="12">
        <v>100020008</v>
      </c>
      <c r="I117" s="12" t="s">
        <v>674</v>
      </c>
      <c r="J117" s="12"/>
      <c r="K117" s="12" t="s">
        <v>675</v>
      </c>
      <c r="L117" s="12"/>
      <c r="M117" s="13"/>
      <c r="N117" s="10">
        <v>3301</v>
      </c>
      <c r="O117" s="10"/>
      <c r="P117" s="8"/>
      <c r="Q117" s="6"/>
      <c r="R117" s="6"/>
      <c r="S117" t="b">
        <v>0</v>
      </c>
      <c r="T117" s="6"/>
      <c r="U117" s="6">
        <v>74007</v>
      </c>
      <c r="V117" s="6"/>
      <c r="W117" s="6"/>
      <c r="X117" s="6" t="str">
        <f t="shared" si="0"/>
        <v/>
      </c>
      <c r="Y117" s="4" t="s">
        <v>676</v>
      </c>
    </row>
    <row r="118" spans="1:25">
      <c r="A118" s="12">
        <v>100020008</v>
      </c>
      <c r="B118" s="12">
        <v>2</v>
      </c>
      <c r="C118" s="12" t="s">
        <v>655</v>
      </c>
      <c r="D118" s="12"/>
      <c r="E118" s="12"/>
      <c r="F118" s="12"/>
      <c r="G118" s="12"/>
      <c r="H118" s="12">
        <v>100020009</v>
      </c>
      <c r="I118" s="12" t="s">
        <v>677</v>
      </c>
      <c r="J118" s="12"/>
      <c r="K118" s="12" t="s">
        <v>678</v>
      </c>
      <c r="L118" s="12"/>
      <c r="M118" s="13"/>
      <c r="N118" s="10">
        <v>3301</v>
      </c>
      <c r="O118" s="10"/>
      <c r="P118" s="8"/>
      <c r="Q118" s="6"/>
      <c r="R118" s="6"/>
      <c r="S118" t="b">
        <v>0</v>
      </c>
      <c r="T118" s="6"/>
      <c r="U118" s="6">
        <v>74008</v>
      </c>
      <c r="V118" s="6"/>
      <c r="W118" s="6"/>
      <c r="X118" s="6" t="str">
        <f t="shared" si="0"/>
        <v/>
      </c>
      <c r="Y118" s="4" t="s">
        <v>679</v>
      </c>
    </row>
    <row r="119" spans="1:25">
      <c r="A119" s="12">
        <v>100020009</v>
      </c>
      <c r="B119" s="12">
        <v>2</v>
      </c>
      <c r="C119" s="12" t="s">
        <v>655</v>
      </c>
      <c r="D119" s="12"/>
      <c r="E119" s="12"/>
      <c r="F119" s="12"/>
      <c r="G119" s="12"/>
      <c r="H119" s="12">
        <v>100020010</v>
      </c>
      <c r="I119" s="12" t="s">
        <v>680</v>
      </c>
      <c r="J119" s="12"/>
      <c r="K119" s="12" t="s">
        <v>681</v>
      </c>
      <c r="L119" s="12"/>
      <c r="M119" s="13"/>
      <c r="N119" s="10">
        <v>11041</v>
      </c>
      <c r="O119" s="10"/>
      <c r="P119" s="8"/>
      <c r="Q119" s="6"/>
      <c r="R119" s="6"/>
      <c r="S119" t="b">
        <v>0</v>
      </c>
      <c r="T119" s="6"/>
      <c r="U119" s="6">
        <v>74009</v>
      </c>
      <c r="V119" s="6"/>
      <c r="W119" s="6"/>
      <c r="X119" s="6" t="str">
        <f t="shared" si="0"/>
        <v/>
      </c>
      <c r="Y119" s="4" t="s">
        <v>682</v>
      </c>
    </row>
    <row r="120" spans="1:25">
      <c r="A120" s="12">
        <v>100020010</v>
      </c>
      <c r="B120" s="12">
        <v>2</v>
      </c>
      <c r="C120" s="12" t="s">
        <v>655</v>
      </c>
      <c r="D120" s="12"/>
      <c r="E120" s="12"/>
      <c r="F120" s="12"/>
      <c r="G120" s="12"/>
      <c r="H120" s="12">
        <v>100020011</v>
      </c>
      <c r="I120" s="12" t="s">
        <v>683</v>
      </c>
      <c r="K120" s="12" t="s">
        <v>684</v>
      </c>
      <c r="L120" s="12"/>
      <c r="M120" s="13"/>
      <c r="N120" s="10">
        <v>3501</v>
      </c>
      <c r="O120" s="10"/>
      <c r="P120" s="8"/>
      <c r="Q120" s="6"/>
      <c r="R120" s="6"/>
      <c r="S120" t="b">
        <v>0</v>
      </c>
      <c r="T120" s="6"/>
      <c r="U120" s="6">
        <v>74010</v>
      </c>
      <c r="V120" s="6"/>
      <c r="W120" s="6"/>
      <c r="X120" s="6" t="str">
        <f t="shared" si="0"/>
        <v/>
      </c>
      <c r="Y120" s="4" t="s">
        <v>685</v>
      </c>
    </row>
    <row r="121" spans="1:25">
      <c r="A121" s="12">
        <v>100020011</v>
      </c>
      <c r="B121" s="12">
        <v>2</v>
      </c>
      <c r="C121" s="12" t="s">
        <v>655</v>
      </c>
      <c r="D121" s="12"/>
      <c r="E121" s="12"/>
      <c r="F121" s="12"/>
      <c r="G121" s="12"/>
      <c r="H121" s="12">
        <v>100020012</v>
      </c>
      <c r="I121" s="12" t="s">
        <v>686</v>
      </c>
      <c r="K121" s="12" t="s">
        <v>687</v>
      </c>
      <c r="L121" s="12"/>
      <c r="M121" s="13"/>
      <c r="N121" s="10">
        <v>3551</v>
      </c>
      <c r="O121" s="10"/>
      <c r="P121" s="8"/>
      <c r="Q121" s="6"/>
      <c r="R121" s="6"/>
      <c r="S121" t="b">
        <v>0</v>
      </c>
      <c r="T121" s="6"/>
      <c r="U121" s="6">
        <v>74011</v>
      </c>
      <c r="V121" s="6"/>
      <c r="W121" s="6"/>
      <c r="X121" s="6" t="str">
        <f t="shared" si="0"/>
        <v/>
      </c>
      <c r="Y121" s="4" t="s">
        <v>688</v>
      </c>
    </row>
    <row r="122" spans="1:25">
      <c r="A122" s="12">
        <v>100020012</v>
      </c>
      <c r="B122" s="12">
        <v>2</v>
      </c>
      <c r="C122" s="12" t="s">
        <v>655</v>
      </c>
      <c r="D122" s="12"/>
      <c r="E122" s="12"/>
      <c r="F122" s="12"/>
      <c r="G122" s="12"/>
      <c r="H122" s="12">
        <v>100020013</v>
      </c>
      <c r="I122" s="12" t="s">
        <v>689</v>
      </c>
      <c r="J122" s="12">
        <v>5002</v>
      </c>
      <c r="K122" s="12" t="s">
        <v>690</v>
      </c>
      <c r="L122" s="12"/>
      <c r="M122" s="13"/>
      <c r="N122" s="10">
        <v>3301</v>
      </c>
      <c r="O122" s="10"/>
      <c r="P122" s="8"/>
      <c r="Q122" s="6"/>
      <c r="R122" s="6"/>
      <c r="S122" t="b">
        <v>0</v>
      </c>
      <c r="T122" s="6"/>
      <c r="U122" s="6">
        <v>74012</v>
      </c>
      <c r="V122" s="6"/>
      <c r="W122" s="6"/>
      <c r="X122" s="6" t="str">
        <f t="shared" si="0"/>
        <v/>
      </c>
      <c r="Y122" s="4" t="s">
        <v>691</v>
      </c>
    </row>
    <row r="123" spans="1:25">
      <c r="A123" s="12">
        <v>100020013</v>
      </c>
      <c r="B123" s="12">
        <v>2</v>
      </c>
      <c r="C123" s="12" t="s">
        <v>655</v>
      </c>
      <c r="D123" s="12"/>
      <c r="E123" s="12"/>
      <c r="F123" s="12"/>
      <c r="G123" s="12"/>
      <c r="H123" s="12">
        <v>100020014</v>
      </c>
      <c r="I123" s="12" t="s">
        <v>692</v>
      </c>
      <c r="J123" s="12"/>
      <c r="K123" s="12" t="s">
        <v>693</v>
      </c>
      <c r="L123" s="12"/>
      <c r="M123" s="13"/>
      <c r="N123" s="10">
        <v>3017</v>
      </c>
      <c r="O123" s="10"/>
      <c r="P123" s="8"/>
      <c r="Q123" s="6"/>
      <c r="R123" s="6"/>
      <c r="S123" t="b">
        <v>0</v>
      </c>
      <c r="T123" s="6"/>
      <c r="U123" s="6">
        <v>74013</v>
      </c>
      <c r="V123" s="6"/>
      <c r="W123" s="6"/>
      <c r="X123" s="6" t="str">
        <f t="shared" si="0"/>
        <v/>
      </c>
      <c r="Y123" s="4" t="s">
        <v>694</v>
      </c>
    </row>
    <row r="124" spans="1:25">
      <c r="A124" s="12">
        <v>100020014</v>
      </c>
      <c r="B124" s="12">
        <v>2</v>
      </c>
      <c r="C124" s="12" t="s">
        <v>655</v>
      </c>
      <c r="D124" s="12"/>
      <c r="E124" s="12"/>
      <c r="F124" s="12"/>
      <c r="G124" s="12"/>
      <c r="H124" s="12">
        <v>100020015</v>
      </c>
      <c r="I124" s="12" t="s">
        <v>695</v>
      </c>
      <c r="J124" s="12"/>
      <c r="K124" s="12" t="s">
        <v>696</v>
      </c>
      <c r="L124" s="12"/>
      <c r="M124" s="13"/>
      <c r="N124" s="10">
        <v>3121</v>
      </c>
      <c r="O124" s="10"/>
      <c r="P124" s="8"/>
      <c r="Q124" s="6"/>
      <c r="R124" s="6"/>
      <c r="S124" t="b">
        <v>0</v>
      </c>
      <c r="T124" s="6"/>
      <c r="U124" s="6">
        <v>74014</v>
      </c>
      <c r="V124" s="6"/>
      <c r="W124" s="6"/>
      <c r="X124" s="6" t="str">
        <f t="shared" si="0"/>
        <v/>
      </c>
      <c r="Y124" s="4" t="s">
        <v>697</v>
      </c>
    </row>
    <row r="125" spans="1:25">
      <c r="A125" s="12">
        <v>100020015</v>
      </c>
      <c r="B125" s="12">
        <v>2</v>
      </c>
      <c r="C125" s="12" t="s">
        <v>655</v>
      </c>
      <c r="D125" s="12"/>
      <c r="E125" s="12"/>
      <c r="F125" s="12"/>
      <c r="G125" s="12"/>
      <c r="H125" s="12">
        <v>100020016</v>
      </c>
      <c r="I125" s="12" t="s">
        <v>698</v>
      </c>
      <c r="J125" s="12"/>
      <c r="K125" s="12" t="s">
        <v>699</v>
      </c>
      <c r="L125" s="12"/>
      <c r="M125" s="13"/>
      <c r="N125" s="10">
        <v>3301</v>
      </c>
      <c r="O125" s="10"/>
      <c r="P125" s="8"/>
      <c r="Q125" s="6"/>
      <c r="R125" s="6"/>
      <c r="S125" t="b">
        <v>0</v>
      </c>
      <c r="T125" s="6"/>
      <c r="U125" s="6">
        <v>74015</v>
      </c>
      <c r="V125" s="6"/>
      <c r="W125" s="6"/>
      <c r="X125" s="6" t="str">
        <f t="shared" si="0"/>
        <v/>
      </c>
      <c r="Y125" s="4" t="s">
        <v>700</v>
      </c>
    </row>
    <row r="126" spans="1:25">
      <c r="A126" s="12">
        <v>100020016</v>
      </c>
      <c r="B126" s="12">
        <v>2</v>
      </c>
      <c r="C126" s="12" t="s">
        <v>655</v>
      </c>
      <c r="D126" s="12"/>
      <c r="E126" s="12"/>
      <c r="F126" s="12"/>
      <c r="G126" s="12"/>
      <c r="H126" s="12">
        <v>100020017</v>
      </c>
      <c r="I126" s="12" t="s">
        <v>701</v>
      </c>
      <c r="J126" s="12"/>
      <c r="K126" s="12" t="s">
        <v>699</v>
      </c>
      <c r="L126" s="12"/>
      <c r="M126" s="13"/>
      <c r="N126" s="10">
        <v>3301</v>
      </c>
      <c r="O126" s="10"/>
      <c r="P126" s="8"/>
      <c r="Q126" s="6"/>
      <c r="R126" s="6"/>
      <c r="S126" t="b">
        <v>0</v>
      </c>
      <c r="T126" s="6"/>
      <c r="U126" s="6">
        <v>74016</v>
      </c>
      <c r="V126" s="6"/>
      <c r="W126" s="6"/>
      <c r="X126" s="6" t="str">
        <f t="shared" si="0"/>
        <v/>
      </c>
      <c r="Y126" s="4" t="s">
        <v>702</v>
      </c>
    </row>
    <row r="127" spans="1:25">
      <c r="A127" s="12">
        <v>100020017</v>
      </c>
      <c r="B127" s="12">
        <v>2</v>
      </c>
      <c r="C127" s="12" t="s">
        <v>655</v>
      </c>
      <c r="D127" s="12"/>
      <c r="E127" s="12"/>
      <c r="F127" s="12"/>
      <c r="G127" s="12"/>
      <c r="H127" s="12">
        <v>100020018</v>
      </c>
      <c r="I127" s="12" t="s">
        <v>703</v>
      </c>
      <c r="J127" s="12"/>
      <c r="K127" s="12" t="s">
        <v>704</v>
      </c>
      <c r="L127" s="12"/>
      <c r="M127" s="13"/>
      <c r="N127" s="10">
        <v>3301</v>
      </c>
      <c r="O127" s="10"/>
      <c r="P127" s="8"/>
      <c r="Q127" s="6"/>
      <c r="R127" s="6"/>
      <c r="S127" t="b">
        <v>0</v>
      </c>
      <c r="T127" s="6"/>
      <c r="U127" s="6">
        <v>74017</v>
      </c>
      <c r="V127" s="6"/>
      <c r="W127" s="6"/>
      <c r="X127" s="6" t="str">
        <f t="shared" si="0"/>
        <v/>
      </c>
      <c r="Y127" s="4" t="s">
        <v>705</v>
      </c>
    </row>
    <row r="128" spans="1:25">
      <c r="A128" s="12">
        <v>100020018</v>
      </c>
      <c r="B128" s="12">
        <v>2</v>
      </c>
      <c r="C128" s="12" t="s">
        <v>655</v>
      </c>
      <c r="D128" s="12"/>
      <c r="E128" s="12"/>
      <c r="F128" s="12"/>
      <c r="G128" s="12"/>
      <c r="H128" s="12">
        <v>100020019</v>
      </c>
      <c r="I128" s="12" t="s">
        <v>706</v>
      </c>
      <c r="J128" s="12"/>
      <c r="K128" s="12" t="s">
        <v>707</v>
      </c>
      <c r="L128" s="12"/>
      <c r="M128" s="13"/>
      <c r="N128" s="10">
        <v>11041</v>
      </c>
      <c r="O128" s="10"/>
      <c r="P128" s="8"/>
      <c r="Q128" s="6"/>
      <c r="R128" s="6"/>
      <c r="S128" t="b">
        <v>0</v>
      </c>
      <c r="T128" s="6"/>
      <c r="U128" s="6">
        <v>74018</v>
      </c>
      <c r="V128" s="6"/>
      <c r="W128" s="6"/>
      <c r="X128" s="6" t="str">
        <f t="shared" si="0"/>
        <v/>
      </c>
      <c r="Y128" s="4" t="s">
        <v>708</v>
      </c>
    </row>
    <row r="129" spans="1:25">
      <c r="A129" s="12">
        <v>100020019</v>
      </c>
      <c r="B129" s="12">
        <v>2</v>
      </c>
      <c r="C129" s="12" t="s">
        <v>655</v>
      </c>
      <c r="D129" s="12"/>
      <c r="E129" s="12"/>
      <c r="F129" s="12"/>
      <c r="G129" s="12"/>
      <c r="H129" s="12">
        <v>100020020</v>
      </c>
      <c r="I129" s="12" t="s">
        <v>709</v>
      </c>
      <c r="J129" s="12"/>
      <c r="K129" s="12" t="s">
        <v>710</v>
      </c>
      <c r="L129" s="12"/>
      <c r="M129" s="13"/>
      <c r="N129" s="10">
        <v>3554</v>
      </c>
      <c r="O129" s="10"/>
      <c r="P129" s="8"/>
      <c r="Q129" s="6"/>
      <c r="R129" s="6"/>
      <c r="S129" t="b">
        <v>0</v>
      </c>
      <c r="T129" s="6"/>
      <c r="U129" s="6">
        <v>74019</v>
      </c>
      <c r="V129" s="6"/>
      <c r="W129" s="6"/>
      <c r="X129" s="6" t="str">
        <f t="shared" si="0"/>
        <v/>
      </c>
      <c r="Y129" s="4" t="s">
        <v>711</v>
      </c>
    </row>
    <row r="130" spans="1:25">
      <c r="A130" s="12">
        <v>100020020</v>
      </c>
      <c r="B130" s="12">
        <v>2</v>
      </c>
      <c r="C130" s="12" t="s">
        <v>655</v>
      </c>
      <c r="D130" s="12"/>
      <c r="E130" s="12"/>
      <c r="F130" s="12"/>
      <c r="G130" s="12"/>
      <c r="H130" s="12">
        <v>100020021</v>
      </c>
      <c r="I130" s="12" t="s">
        <v>712</v>
      </c>
      <c r="J130" s="12"/>
      <c r="K130" s="12" t="s">
        <v>713</v>
      </c>
      <c r="L130" s="12"/>
      <c r="M130" s="13"/>
      <c r="N130" s="10">
        <v>3301</v>
      </c>
      <c r="O130" s="10"/>
      <c r="P130" s="8"/>
      <c r="Q130" s="6"/>
      <c r="R130" s="6"/>
      <c r="S130" t="b">
        <v>0</v>
      </c>
      <c r="T130" s="6"/>
      <c r="U130" s="6">
        <v>74020</v>
      </c>
      <c r="V130" s="6"/>
      <c r="W130" s="6"/>
      <c r="X130" s="6" t="str">
        <f t="shared" si="0"/>
        <v/>
      </c>
      <c r="Y130" s="4" t="s">
        <v>714</v>
      </c>
    </row>
    <row r="131" spans="1:25">
      <c r="A131" s="12">
        <v>100020021</v>
      </c>
      <c r="B131" s="12">
        <v>2</v>
      </c>
      <c r="C131" s="12" t="s">
        <v>655</v>
      </c>
      <c r="D131" s="12"/>
      <c r="E131" s="12"/>
      <c r="F131" s="12"/>
      <c r="G131" s="12"/>
      <c r="H131" s="12">
        <v>100020022</v>
      </c>
      <c r="I131" s="12" t="s">
        <v>715</v>
      </c>
      <c r="J131" s="12"/>
      <c r="K131" s="12" t="s">
        <v>716</v>
      </c>
      <c r="L131" s="12"/>
      <c r="M131" s="13"/>
      <c r="N131" s="10">
        <v>3301</v>
      </c>
      <c r="O131" s="10"/>
      <c r="P131" s="8"/>
      <c r="Q131" s="6"/>
      <c r="R131" s="6"/>
      <c r="S131" t="b">
        <v>0</v>
      </c>
      <c r="T131" s="6"/>
      <c r="U131" s="6">
        <v>74021</v>
      </c>
      <c r="V131" s="6"/>
      <c r="W131" s="6"/>
      <c r="X131" s="6" t="str">
        <f t="shared" si="0"/>
        <v/>
      </c>
      <c r="Y131" s="4" t="s">
        <v>717</v>
      </c>
    </row>
    <row r="132" spans="1:25">
      <c r="A132" s="12">
        <v>100020022</v>
      </c>
      <c r="B132" s="12">
        <v>2</v>
      </c>
      <c r="C132" s="12" t="s">
        <v>655</v>
      </c>
      <c r="D132" s="12"/>
      <c r="E132" s="12"/>
      <c r="F132" s="12"/>
      <c r="G132" s="12"/>
      <c r="H132" s="12">
        <v>100020023</v>
      </c>
      <c r="I132" s="12" t="s">
        <v>718</v>
      </c>
      <c r="J132" s="12"/>
      <c r="K132" s="12" t="s">
        <v>710</v>
      </c>
      <c r="L132" s="12"/>
      <c r="M132" s="13"/>
      <c r="N132" s="10">
        <v>3502</v>
      </c>
      <c r="O132" s="10"/>
      <c r="P132" s="8"/>
      <c r="Q132" s="6"/>
      <c r="R132" s="6"/>
      <c r="S132" t="b">
        <v>0</v>
      </c>
      <c r="T132" s="6"/>
      <c r="U132" s="6">
        <v>74022</v>
      </c>
      <c r="V132" s="6"/>
      <c r="W132" s="6"/>
      <c r="X132" s="6" t="str">
        <f t="shared" si="0"/>
        <v/>
      </c>
      <c r="Y132" s="4" t="s">
        <v>719</v>
      </c>
    </row>
    <row r="133" spans="1:25">
      <c r="A133" s="12">
        <v>100020023</v>
      </c>
      <c r="B133" s="12">
        <v>2</v>
      </c>
      <c r="C133" s="12" t="s">
        <v>655</v>
      </c>
      <c r="D133" s="12"/>
      <c r="E133" s="12"/>
      <c r="F133" s="12"/>
      <c r="G133" s="12"/>
      <c r="H133" s="12">
        <v>100020024</v>
      </c>
      <c r="I133" s="12" t="s">
        <v>720</v>
      </c>
      <c r="J133" s="12"/>
      <c r="K133" s="12" t="s">
        <v>716</v>
      </c>
      <c r="L133" s="12"/>
      <c r="M133" s="13"/>
      <c r="N133" s="10">
        <v>3552</v>
      </c>
      <c r="O133" s="10"/>
      <c r="P133" s="8"/>
      <c r="Q133" s="6"/>
      <c r="R133" s="6"/>
      <c r="S133" t="b">
        <v>0</v>
      </c>
      <c r="T133" s="6"/>
      <c r="U133" s="6">
        <v>74023</v>
      </c>
      <c r="V133" s="6"/>
      <c r="W133" s="6"/>
      <c r="X133" s="6" t="str">
        <f t="shared" si="0"/>
        <v/>
      </c>
      <c r="Y133" s="4" t="s">
        <v>721</v>
      </c>
    </row>
    <row r="134" spans="1:25">
      <c r="A134" s="12">
        <v>100020024</v>
      </c>
      <c r="B134" s="12">
        <v>2</v>
      </c>
      <c r="C134" s="12" t="s">
        <v>655</v>
      </c>
      <c r="D134" s="12"/>
      <c r="E134" s="12"/>
      <c r="F134" s="12"/>
      <c r="G134" s="12"/>
      <c r="H134" s="12">
        <v>100020025</v>
      </c>
      <c r="I134" s="12" t="s">
        <v>722</v>
      </c>
      <c r="J134" s="12"/>
      <c r="K134" s="12" t="s">
        <v>716</v>
      </c>
      <c r="L134" s="12"/>
      <c r="M134" s="13"/>
      <c r="N134" s="10">
        <v>3201</v>
      </c>
      <c r="O134" s="10"/>
      <c r="P134" s="8"/>
      <c r="Q134" s="6"/>
      <c r="R134" s="6"/>
      <c r="S134" t="b">
        <v>0</v>
      </c>
      <c r="T134" s="6"/>
      <c r="U134" s="6">
        <v>74024</v>
      </c>
      <c r="V134" s="6"/>
      <c r="W134" s="6"/>
      <c r="X134" s="6" t="str">
        <f t="shared" si="0"/>
        <v/>
      </c>
      <c r="Y134" s="4" t="s">
        <v>723</v>
      </c>
    </row>
    <row r="135" spans="1:25">
      <c r="A135" s="12">
        <v>100020025</v>
      </c>
      <c r="B135" s="12">
        <v>2</v>
      </c>
      <c r="C135" s="12" t="s">
        <v>655</v>
      </c>
      <c r="D135" s="12"/>
      <c r="E135" s="12"/>
      <c r="F135" s="12"/>
      <c r="G135" s="12"/>
      <c r="H135" s="12">
        <v>100020026</v>
      </c>
      <c r="I135" s="12" t="s">
        <v>724</v>
      </c>
      <c r="J135" s="12"/>
      <c r="K135" s="12" t="s">
        <v>710</v>
      </c>
      <c r="L135" s="12"/>
      <c r="M135" s="13"/>
      <c r="N135" s="10">
        <v>3503</v>
      </c>
      <c r="O135" s="10"/>
      <c r="P135" s="8"/>
      <c r="Q135" s="6"/>
      <c r="R135" s="6"/>
      <c r="S135" t="b">
        <v>0</v>
      </c>
      <c r="T135" s="6"/>
      <c r="U135" s="6">
        <v>74025</v>
      </c>
      <c r="V135" s="6"/>
      <c r="W135" s="6"/>
      <c r="X135" s="6" t="str">
        <f t="shared" si="0"/>
        <v/>
      </c>
      <c r="Y135" s="4" t="s">
        <v>725</v>
      </c>
    </row>
    <row r="136" spans="1:25">
      <c r="A136" s="12">
        <v>100020026</v>
      </c>
      <c r="B136" s="12">
        <v>2</v>
      </c>
      <c r="C136" s="12" t="s">
        <v>655</v>
      </c>
      <c r="D136" s="12"/>
      <c r="E136" s="12"/>
      <c r="F136" s="12"/>
      <c r="G136" s="12"/>
      <c r="H136" s="12">
        <v>100020027</v>
      </c>
      <c r="I136" s="12" t="s">
        <v>726</v>
      </c>
      <c r="J136" s="12"/>
      <c r="K136" s="12" t="s">
        <v>727</v>
      </c>
      <c r="L136" s="12"/>
      <c r="M136" s="13"/>
      <c r="N136" s="10">
        <v>3553</v>
      </c>
      <c r="O136" s="10"/>
      <c r="P136" s="8"/>
      <c r="Q136" s="6"/>
      <c r="R136" s="6"/>
      <c r="S136" t="b">
        <v>0</v>
      </c>
      <c r="T136" s="6"/>
      <c r="U136" s="6">
        <v>74026</v>
      </c>
      <c r="V136" s="6"/>
      <c r="W136" s="6"/>
      <c r="X136" s="6" t="str">
        <f t="shared" si="0"/>
        <v/>
      </c>
      <c r="Y136" s="4" t="s">
        <v>728</v>
      </c>
    </row>
    <row r="137" spans="1:25">
      <c r="A137" s="12">
        <v>100020027</v>
      </c>
      <c r="B137" s="12">
        <v>2</v>
      </c>
      <c r="C137" s="12" t="s">
        <v>655</v>
      </c>
      <c r="D137" s="12"/>
      <c r="E137" s="12"/>
      <c r="F137" s="12"/>
      <c r="G137" s="12"/>
      <c r="H137" s="12">
        <v>100020028</v>
      </c>
      <c r="I137" s="12" t="s">
        <v>729</v>
      </c>
      <c r="K137" s="12" t="s">
        <v>730</v>
      </c>
      <c r="L137" s="12"/>
      <c r="M137" s="13"/>
      <c r="N137" s="10">
        <v>3402</v>
      </c>
      <c r="O137" s="10"/>
      <c r="P137" s="8"/>
      <c r="Q137" s="6"/>
      <c r="R137" s="6"/>
      <c r="S137" t="b">
        <v>0</v>
      </c>
      <c r="T137" s="6"/>
      <c r="U137" s="6">
        <v>74027</v>
      </c>
      <c r="V137" s="6"/>
      <c r="W137" s="6"/>
      <c r="X137" s="6" t="str">
        <f t="shared" si="0"/>
        <v/>
      </c>
      <c r="Y137" s="4" t="s">
        <v>731</v>
      </c>
    </row>
    <row r="138" spans="1:25">
      <c r="A138" s="12">
        <v>100020028</v>
      </c>
      <c r="B138" s="12">
        <v>2</v>
      </c>
      <c r="C138" s="12" t="s">
        <v>655</v>
      </c>
      <c r="D138" s="12"/>
      <c r="E138" s="12"/>
      <c r="F138" s="12"/>
      <c r="G138" s="12"/>
      <c r="H138" s="12">
        <v>100020029</v>
      </c>
      <c r="I138" s="12" t="s">
        <v>732</v>
      </c>
      <c r="J138" s="12"/>
      <c r="K138" s="12" t="s">
        <v>733</v>
      </c>
      <c r="L138" s="12"/>
      <c r="M138" s="13"/>
      <c r="N138" s="10">
        <v>3302</v>
      </c>
      <c r="O138" s="10"/>
      <c r="P138" s="8"/>
      <c r="Q138" s="6"/>
      <c r="R138" s="6"/>
      <c r="S138" t="b">
        <v>0</v>
      </c>
      <c r="T138" s="6"/>
      <c r="U138" s="6">
        <v>74028</v>
      </c>
      <c r="V138" s="6"/>
      <c r="W138" s="6"/>
      <c r="X138" s="6" t="str">
        <f t="shared" si="0"/>
        <v/>
      </c>
      <c r="Y138" s="4" t="s">
        <v>734</v>
      </c>
    </row>
    <row r="139" spans="1:25">
      <c r="A139" s="12">
        <v>100020029</v>
      </c>
      <c r="B139" s="12">
        <v>2</v>
      </c>
      <c r="C139" s="12" t="s">
        <v>655</v>
      </c>
      <c r="D139" s="12"/>
      <c r="E139" s="12"/>
      <c r="F139" s="12"/>
      <c r="G139" s="12"/>
      <c r="H139" s="12">
        <v>100020030</v>
      </c>
      <c r="I139" s="12" t="s">
        <v>735</v>
      </c>
      <c r="J139" s="12"/>
      <c r="K139" s="12" t="s">
        <v>736</v>
      </c>
      <c r="L139" s="12"/>
      <c r="M139" s="13"/>
      <c r="N139" s="10">
        <v>3302</v>
      </c>
      <c r="O139" s="10"/>
      <c r="P139" s="8"/>
      <c r="Q139" s="6"/>
      <c r="R139" s="6"/>
      <c r="S139" t="b">
        <v>0</v>
      </c>
      <c r="T139" s="6"/>
      <c r="U139" s="6">
        <v>74029</v>
      </c>
      <c r="V139" s="6"/>
      <c r="W139" s="6"/>
      <c r="X139" s="6" t="str">
        <f t="shared" si="0"/>
        <v/>
      </c>
      <c r="Y139" s="4" t="s">
        <v>737</v>
      </c>
    </row>
    <row r="140" spans="1:25">
      <c r="A140" s="12">
        <v>100020030</v>
      </c>
      <c r="B140" s="12">
        <v>2</v>
      </c>
      <c r="C140" s="12" t="s">
        <v>655</v>
      </c>
      <c r="D140" s="12"/>
      <c r="E140" s="12"/>
      <c r="F140" s="12"/>
      <c r="G140" s="12"/>
      <c r="H140" s="12">
        <v>100020031</v>
      </c>
      <c r="I140" s="12" t="s">
        <v>738</v>
      </c>
      <c r="K140" s="12" t="s">
        <v>733</v>
      </c>
      <c r="L140" s="12"/>
      <c r="M140" s="13"/>
      <c r="N140" s="10">
        <v>3202</v>
      </c>
      <c r="O140" s="10"/>
      <c r="P140" s="8"/>
      <c r="Q140" s="6"/>
      <c r="R140" s="6"/>
      <c r="S140" t="b">
        <v>0</v>
      </c>
      <c r="T140" s="6"/>
      <c r="U140" s="6">
        <v>74030</v>
      </c>
      <c r="V140" s="6"/>
      <c r="W140" s="6"/>
      <c r="X140" s="6" t="str">
        <f t="shared" si="0"/>
        <v/>
      </c>
      <c r="Y140" s="4" t="s">
        <v>739</v>
      </c>
    </row>
    <row r="141" spans="1:25">
      <c r="A141" s="12">
        <v>100020031</v>
      </c>
      <c r="B141" s="12">
        <v>2</v>
      </c>
      <c r="C141" s="12" t="s">
        <v>655</v>
      </c>
      <c r="D141" s="12"/>
      <c r="E141" s="12"/>
      <c r="F141" s="12"/>
      <c r="G141" s="12"/>
      <c r="H141" s="12">
        <v>100020032</v>
      </c>
      <c r="I141" s="12" t="s">
        <v>740</v>
      </c>
      <c r="J141" s="12"/>
      <c r="K141" s="12" t="s">
        <v>733</v>
      </c>
      <c r="L141" s="12"/>
      <c r="M141" s="13"/>
      <c r="N141" s="10">
        <v>3554</v>
      </c>
      <c r="O141" s="10"/>
      <c r="P141" s="8"/>
      <c r="Q141" s="6"/>
      <c r="R141" s="6"/>
      <c r="S141" t="b">
        <v>0</v>
      </c>
      <c r="T141" s="6"/>
      <c r="U141" s="6">
        <v>74031</v>
      </c>
      <c r="V141" s="6"/>
      <c r="W141" s="6"/>
      <c r="X141" s="6" t="str">
        <f t="shared" si="0"/>
        <v/>
      </c>
      <c r="Y141" s="4" t="s">
        <v>741</v>
      </c>
    </row>
    <row r="142" spans="1:25">
      <c r="A142" s="12">
        <v>100020032</v>
      </c>
      <c r="B142" s="12">
        <v>2</v>
      </c>
      <c r="C142" s="12" t="s">
        <v>655</v>
      </c>
      <c r="D142" s="12"/>
      <c r="E142" s="12"/>
      <c r="F142" s="12"/>
      <c r="G142" s="12"/>
      <c r="H142" s="12">
        <v>100020033</v>
      </c>
      <c r="I142" s="12" t="s">
        <v>742</v>
      </c>
      <c r="J142" s="12"/>
      <c r="K142" s="12" t="s">
        <v>733</v>
      </c>
      <c r="L142" s="12"/>
      <c r="M142" s="13"/>
      <c r="N142" s="10">
        <v>3551</v>
      </c>
      <c r="O142" s="10"/>
      <c r="P142" s="8"/>
      <c r="Q142" s="6"/>
      <c r="R142" s="6"/>
      <c r="S142" t="b">
        <v>0</v>
      </c>
      <c r="T142" s="6"/>
      <c r="U142" s="6">
        <v>74032</v>
      </c>
      <c r="V142" s="6"/>
      <c r="W142" s="6"/>
      <c r="X142" s="6" t="str">
        <f t="shared" si="0"/>
        <v/>
      </c>
      <c r="Y142" s="4" t="s">
        <v>743</v>
      </c>
    </row>
    <row r="143" spans="1:25">
      <c r="A143" s="12">
        <v>100020033</v>
      </c>
      <c r="B143" s="12">
        <v>2</v>
      </c>
      <c r="C143" s="12" t="s">
        <v>655</v>
      </c>
      <c r="D143" s="12"/>
      <c r="E143" s="12"/>
      <c r="F143" s="12"/>
      <c r="G143" s="12"/>
      <c r="H143" s="12">
        <v>100020034</v>
      </c>
      <c r="I143" s="12" t="s">
        <v>720</v>
      </c>
      <c r="J143" s="12">
        <v>5004</v>
      </c>
      <c r="K143" s="12" t="s">
        <v>733</v>
      </c>
      <c r="L143" s="12"/>
      <c r="M143" s="13"/>
      <c r="N143" s="10">
        <v>3552</v>
      </c>
      <c r="O143" s="10"/>
      <c r="P143" s="8"/>
      <c r="Q143" s="6"/>
      <c r="R143" s="6"/>
      <c r="S143" t="b">
        <v>0</v>
      </c>
      <c r="T143" s="6"/>
      <c r="U143" s="6">
        <v>74033</v>
      </c>
      <c r="V143" s="6"/>
      <c r="W143" s="6"/>
      <c r="X143" s="6" t="str">
        <f t="shared" si="0"/>
        <v/>
      </c>
      <c r="Y143" s="4" t="s">
        <v>744</v>
      </c>
    </row>
    <row r="144" spans="1:25">
      <c r="A144" s="12">
        <v>100020034</v>
      </c>
      <c r="B144" s="12">
        <v>2</v>
      </c>
      <c r="C144" s="12" t="s">
        <v>655</v>
      </c>
      <c r="D144" s="12"/>
      <c r="E144" s="12"/>
      <c r="F144" s="12"/>
      <c r="G144" s="12"/>
      <c r="H144" s="12">
        <v>100020035</v>
      </c>
      <c r="I144" s="12" t="s">
        <v>726</v>
      </c>
      <c r="J144" s="12"/>
      <c r="K144" s="12" t="s">
        <v>745</v>
      </c>
      <c r="L144" s="12"/>
      <c r="M144" s="13"/>
      <c r="N144" s="10">
        <v>3553</v>
      </c>
      <c r="O144" s="10"/>
      <c r="P144" s="8"/>
      <c r="Q144" s="6"/>
      <c r="R144" s="6"/>
      <c r="S144" t="b">
        <v>0</v>
      </c>
      <c r="T144" s="6"/>
      <c r="U144" s="6">
        <v>74034</v>
      </c>
      <c r="V144" s="6"/>
      <c r="W144" s="6"/>
      <c r="X144" s="6" t="str">
        <f t="shared" ref="X144:X170" si="1">IF(N144="",85001,"")</f>
        <v/>
      </c>
      <c r="Y144" s="4" t="s">
        <v>746</v>
      </c>
    </row>
    <row r="145" spans="1:25">
      <c r="A145" s="12">
        <v>100020035</v>
      </c>
      <c r="B145" s="12">
        <v>2</v>
      </c>
      <c r="C145" s="12" t="s">
        <v>655</v>
      </c>
      <c r="D145" s="12"/>
      <c r="E145" s="12"/>
      <c r="F145" s="12"/>
      <c r="G145" s="12"/>
      <c r="H145" s="12">
        <v>100020036</v>
      </c>
      <c r="I145" s="12" t="s">
        <v>747</v>
      </c>
      <c r="J145" s="12"/>
      <c r="K145" s="12" t="s">
        <v>748</v>
      </c>
      <c r="L145" s="12"/>
      <c r="M145" s="13"/>
      <c r="N145" s="10">
        <v>3202</v>
      </c>
      <c r="O145" s="10"/>
      <c r="P145" s="8"/>
      <c r="Q145" s="6"/>
      <c r="R145" s="6"/>
      <c r="S145" t="b">
        <v>0</v>
      </c>
      <c r="T145" s="6"/>
      <c r="U145" s="6">
        <v>74035</v>
      </c>
      <c r="V145" s="6"/>
      <c r="W145" s="6"/>
      <c r="X145" s="6" t="str">
        <f t="shared" si="1"/>
        <v/>
      </c>
      <c r="Y145" s="4" t="s">
        <v>749</v>
      </c>
    </row>
    <row r="146" spans="1:25">
      <c r="A146" s="12">
        <v>100020036</v>
      </c>
      <c r="B146" s="12">
        <v>2</v>
      </c>
      <c r="C146" s="12" t="s">
        <v>655</v>
      </c>
      <c r="D146" s="12"/>
      <c r="E146" s="12"/>
      <c r="F146" s="12"/>
      <c r="G146" s="12"/>
      <c r="H146" s="12">
        <v>100020037</v>
      </c>
      <c r="I146" s="12" t="s">
        <v>750</v>
      </c>
      <c r="J146" s="12"/>
      <c r="K146" s="12" t="s">
        <v>751</v>
      </c>
      <c r="L146" s="12"/>
      <c r="M146" s="13"/>
      <c r="N146" s="10">
        <v>11046</v>
      </c>
      <c r="O146" s="10"/>
      <c r="P146" s="8"/>
      <c r="Q146" s="6"/>
      <c r="R146" s="6"/>
      <c r="S146" t="b">
        <v>0</v>
      </c>
      <c r="T146" s="6"/>
      <c r="U146" s="6">
        <v>74036</v>
      </c>
      <c r="V146" s="6"/>
      <c r="W146" s="6"/>
      <c r="X146" s="6" t="str">
        <f t="shared" si="1"/>
        <v/>
      </c>
      <c r="Y146" s="4" t="s">
        <v>752</v>
      </c>
    </row>
    <row r="147" spans="1:25">
      <c r="A147" s="12">
        <v>100020037</v>
      </c>
      <c r="B147" s="12">
        <v>2</v>
      </c>
      <c r="C147" s="12" t="s">
        <v>655</v>
      </c>
      <c r="D147" s="12"/>
      <c r="E147" s="12"/>
      <c r="F147" s="12"/>
      <c r="G147" s="12"/>
      <c r="H147" s="12">
        <v>100020038</v>
      </c>
      <c r="I147" s="12" t="s">
        <v>753</v>
      </c>
      <c r="J147" s="12"/>
      <c r="K147" s="12" t="s">
        <v>754</v>
      </c>
      <c r="L147" s="12"/>
      <c r="M147" s="13"/>
      <c r="N147" s="10">
        <v>11047</v>
      </c>
      <c r="O147" s="10"/>
      <c r="P147" s="8"/>
      <c r="Q147" s="6"/>
      <c r="R147" s="6"/>
      <c r="S147" t="b">
        <v>0</v>
      </c>
      <c r="T147" s="6"/>
      <c r="U147" s="6">
        <v>74037</v>
      </c>
      <c r="V147" s="6"/>
      <c r="W147" s="6"/>
      <c r="X147" s="6" t="str">
        <f t="shared" si="1"/>
        <v/>
      </c>
      <c r="Y147" s="4" t="s">
        <v>755</v>
      </c>
    </row>
    <row r="148" spans="1:25">
      <c r="A148" s="12">
        <v>100020038</v>
      </c>
      <c r="B148" s="12">
        <v>2</v>
      </c>
      <c r="C148" s="12" t="s">
        <v>655</v>
      </c>
      <c r="D148" s="12"/>
      <c r="E148" s="12"/>
      <c r="F148" s="12"/>
      <c r="G148" s="12"/>
      <c r="H148" s="12">
        <v>100020039</v>
      </c>
      <c r="I148" s="12" t="s">
        <v>756</v>
      </c>
      <c r="J148" s="12"/>
      <c r="K148" s="12" t="s">
        <v>757</v>
      </c>
      <c r="L148" s="12"/>
      <c r="M148" s="13"/>
      <c r="N148" s="10">
        <v>3113</v>
      </c>
      <c r="O148" s="10"/>
      <c r="P148" s="8"/>
      <c r="Q148" s="6"/>
      <c r="R148" s="6"/>
      <c r="S148" t="b">
        <v>0</v>
      </c>
      <c r="T148" s="6"/>
      <c r="U148" s="6">
        <v>74038</v>
      </c>
      <c r="V148" s="6"/>
      <c r="W148" s="6"/>
      <c r="X148" s="6" t="str">
        <f t="shared" si="1"/>
        <v/>
      </c>
      <c r="Y148" s="4" t="s">
        <v>758</v>
      </c>
    </row>
    <row r="149" spans="1:25">
      <c r="A149" s="12">
        <v>100020039</v>
      </c>
      <c r="B149" s="12">
        <v>2</v>
      </c>
      <c r="C149" s="12" t="s">
        <v>655</v>
      </c>
      <c r="D149" s="12"/>
      <c r="E149" s="12"/>
      <c r="F149" s="12"/>
      <c r="G149" s="12"/>
      <c r="H149" s="12">
        <v>100020040</v>
      </c>
      <c r="I149" s="12" t="s">
        <v>759</v>
      </c>
      <c r="J149" s="12"/>
      <c r="K149" s="12" t="s">
        <v>760</v>
      </c>
      <c r="L149" s="12"/>
      <c r="M149" s="13"/>
      <c r="N149" s="10">
        <v>3111</v>
      </c>
      <c r="O149" s="10"/>
      <c r="P149" s="8"/>
      <c r="Q149" s="6"/>
      <c r="R149" s="6"/>
      <c r="S149" t="b">
        <v>0</v>
      </c>
      <c r="T149" s="6"/>
      <c r="U149" s="6">
        <v>74039</v>
      </c>
      <c r="V149" s="6"/>
      <c r="W149" s="6"/>
      <c r="X149" s="6" t="str">
        <f t="shared" si="1"/>
        <v/>
      </c>
      <c r="Y149" s="4" t="s">
        <v>761</v>
      </c>
    </row>
    <row r="150" spans="1:25">
      <c r="A150" s="12">
        <v>100020040</v>
      </c>
      <c r="B150" s="12">
        <v>2</v>
      </c>
      <c r="C150" s="12" t="s">
        <v>655</v>
      </c>
      <c r="D150" s="12"/>
      <c r="E150" s="12"/>
      <c r="F150" s="12"/>
      <c r="G150" s="12"/>
      <c r="H150" s="12">
        <v>100020041</v>
      </c>
      <c r="I150" s="12" t="s">
        <v>762</v>
      </c>
      <c r="J150" s="12"/>
      <c r="K150" s="12" t="s">
        <v>763</v>
      </c>
      <c r="L150" s="12"/>
      <c r="M150" s="13"/>
      <c r="N150" s="10">
        <v>11042</v>
      </c>
      <c r="O150" s="10"/>
      <c r="P150" s="8"/>
      <c r="Q150" s="6"/>
      <c r="R150" s="6"/>
      <c r="S150" t="b">
        <v>0</v>
      </c>
      <c r="T150" s="6"/>
      <c r="U150" s="6">
        <v>74040</v>
      </c>
      <c r="V150" s="6"/>
      <c r="W150" s="6"/>
      <c r="X150" s="6" t="str">
        <f t="shared" si="1"/>
        <v/>
      </c>
      <c r="Y150" s="4" t="s">
        <v>764</v>
      </c>
    </row>
    <row r="151" spans="1:25">
      <c r="A151" s="12">
        <v>100020041</v>
      </c>
      <c r="B151" s="12">
        <v>2</v>
      </c>
      <c r="C151" s="12" t="s">
        <v>655</v>
      </c>
      <c r="D151" s="12"/>
      <c r="E151" s="12"/>
      <c r="F151" s="12"/>
      <c r="G151" s="12"/>
      <c r="H151" s="12">
        <v>100020042</v>
      </c>
      <c r="I151" s="12" t="s">
        <v>765</v>
      </c>
      <c r="J151" s="12"/>
      <c r="K151" s="12" t="s">
        <v>766</v>
      </c>
      <c r="L151" s="12"/>
      <c r="M151" s="13"/>
      <c r="N151" s="10">
        <v>3202</v>
      </c>
      <c r="O151" s="10"/>
      <c r="P151" s="8"/>
      <c r="Q151" s="6"/>
      <c r="R151" s="6"/>
      <c r="S151" t="b">
        <v>0</v>
      </c>
      <c r="T151" s="6"/>
      <c r="U151" s="6">
        <v>74041</v>
      </c>
      <c r="V151" s="6"/>
      <c r="W151" s="6"/>
      <c r="X151" s="6" t="str">
        <f t="shared" si="1"/>
        <v/>
      </c>
      <c r="Y151" s="4" t="s">
        <v>767</v>
      </c>
    </row>
    <row r="152" spans="1:25">
      <c r="A152" s="12">
        <v>100020042</v>
      </c>
      <c r="B152" s="12">
        <v>2</v>
      </c>
      <c r="C152" s="12" t="s">
        <v>655</v>
      </c>
      <c r="D152" s="12"/>
      <c r="E152" s="12"/>
      <c r="F152" s="12"/>
      <c r="G152" s="12"/>
      <c r="H152" s="12">
        <v>100020043</v>
      </c>
      <c r="I152" s="12" t="s">
        <v>768</v>
      </c>
      <c r="J152" s="12"/>
      <c r="K152" s="12" t="s">
        <v>769</v>
      </c>
      <c r="L152" s="12"/>
      <c r="M152" s="13"/>
      <c r="N152" s="10">
        <v>3302</v>
      </c>
      <c r="O152" s="10"/>
      <c r="P152" s="8"/>
      <c r="Q152" s="6"/>
      <c r="R152" s="6"/>
      <c r="S152" t="b">
        <v>0</v>
      </c>
      <c r="T152" s="6"/>
      <c r="U152" s="6">
        <v>74042</v>
      </c>
      <c r="V152" s="6"/>
      <c r="W152" s="6"/>
      <c r="X152" s="6" t="str">
        <f t="shared" si="1"/>
        <v/>
      </c>
      <c r="Y152" s="4" t="s">
        <v>770</v>
      </c>
    </row>
    <row r="153" spans="1:25">
      <c r="A153" s="12">
        <v>100020043</v>
      </c>
      <c r="B153" s="12">
        <v>2</v>
      </c>
      <c r="C153" s="12" t="s">
        <v>655</v>
      </c>
      <c r="D153" s="12"/>
      <c r="E153" s="12"/>
      <c r="F153" s="12"/>
      <c r="G153" s="12"/>
      <c r="H153" s="12">
        <v>100020044</v>
      </c>
      <c r="I153" s="12" t="s">
        <v>738</v>
      </c>
      <c r="J153" s="12"/>
      <c r="K153" s="12" t="s">
        <v>771</v>
      </c>
      <c r="L153" s="12"/>
      <c r="M153" s="13"/>
      <c r="N153" s="10">
        <v>3202</v>
      </c>
      <c r="O153" s="10"/>
      <c r="P153" s="8"/>
      <c r="Q153" s="6"/>
      <c r="R153" s="6"/>
      <c r="S153" t="b">
        <v>0</v>
      </c>
      <c r="T153" s="6"/>
      <c r="U153" s="6">
        <v>74043</v>
      </c>
      <c r="V153" s="6"/>
      <c r="W153" s="6"/>
      <c r="X153" s="6" t="str">
        <f t="shared" si="1"/>
        <v/>
      </c>
      <c r="Y153" s="4" t="s">
        <v>772</v>
      </c>
    </row>
    <row r="154" spans="1:25">
      <c r="A154" s="12">
        <v>100020044</v>
      </c>
      <c r="B154" s="12">
        <v>2</v>
      </c>
      <c r="C154" s="12" t="s">
        <v>655</v>
      </c>
      <c r="D154" s="12"/>
      <c r="E154" s="12"/>
      <c r="F154" s="12"/>
      <c r="G154" s="12"/>
      <c r="H154" s="12">
        <v>100020045</v>
      </c>
      <c r="I154" s="12" t="s">
        <v>773</v>
      </c>
      <c r="J154" s="12"/>
      <c r="K154" s="12" t="s">
        <v>774</v>
      </c>
      <c r="L154" s="12"/>
      <c r="M154" s="13"/>
      <c r="N154" s="10">
        <v>11042</v>
      </c>
      <c r="O154" s="10"/>
      <c r="P154" s="8"/>
      <c r="Q154" s="6"/>
      <c r="R154" s="6"/>
      <c r="S154" t="b">
        <v>0</v>
      </c>
      <c r="T154" s="6"/>
      <c r="U154" s="6">
        <v>74044</v>
      </c>
      <c r="V154" s="6"/>
      <c r="W154" s="6"/>
      <c r="X154" s="6" t="str">
        <f t="shared" si="1"/>
        <v/>
      </c>
      <c r="Y154" s="4" t="s">
        <v>767</v>
      </c>
    </row>
    <row r="155" spans="1:25">
      <c r="A155" s="12">
        <v>100020045</v>
      </c>
      <c r="B155" s="12">
        <v>2</v>
      </c>
      <c r="C155" s="12" t="s">
        <v>655</v>
      </c>
      <c r="D155" s="12"/>
      <c r="E155" s="12"/>
      <c r="F155" s="12"/>
      <c r="G155" s="12"/>
      <c r="H155" s="12">
        <v>100020046</v>
      </c>
      <c r="I155" s="12" t="s">
        <v>768</v>
      </c>
      <c r="J155" s="12"/>
      <c r="K155" s="12" t="s">
        <v>771</v>
      </c>
      <c r="L155" s="12"/>
      <c r="M155" s="13"/>
      <c r="N155" s="10">
        <v>3302</v>
      </c>
      <c r="O155" s="10"/>
      <c r="P155" s="8"/>
      <c r="Q155" s="6"/>
      <c r="R155" s="6"/>
      <c r="S155" t="b">
        <v>0</v>
      </c>
      <c r="T155" s="6"/>
      <c r="U155" s="6">
        <v>74045</v>
      </c>
      <c r="V155" s="6"/>
      <c r="W155" s="6"/>
      <c r="X155" s="6" t="str">
        <f t="shared" si="1"/>
        <v/>
      </c>
      <c r="Y155" s="4" t="s">
        <v>775</v>
      </c>
    </row>
    <row r="156" spans="1:25">
      <c r="A156" s="12">
        <v>100020046</v>
      </c>
      <c r="B156" s="12">
        <v>2</v>
      </c>
      <c r="C156" s="12" t="s">
        <v>655</v>
      </c>
      <c r="D156" s="12"/>
      <c r="E156" s="12"/>
      <c r="F156" s="12"/>
      <c r="G156" s="12"/>
      <c r="H156" s="12">
        <v>100020047</v>
      </c>
      <c r="I156" s="12" t="s">
        <v>776</v>
      </c>
      <c r="J156" s="12"/>
      <c r="K156" s="12" t="s">
        <v>777</v>
      </c>
      <c r="L156" s="12"/>
      <c r="M156" s="13"/>
      <c r="N156" s="10">
        <v>3018</v>
      </c>
      <c r="O156" s="10"/>
      <c r="P156" s="8"/>
      <c r="Q156" s="6"/>
      <c r="R156" s="6"/>
      <c r="S156" t="b">
        <v>0</v>
      </c>
      <c r="T156" s="6"/>
      <c r="U156" s="6">
        <v>74046</v>
      </c>
      <c r="V156" s="6"/>
      <c r="W156" s="6"/>
      <c r="X156" s="6" t="str">
        <f t="shared" si="1"/>
        <v/>
      </c>
      <c r="Y156" s="4" t="s">
        <v>778</v>
      </c>
    </row>
    <row r="157" spans="1:25">
      <c r="A157" s="12">
        <v>100020047</v>
      </c>
      <c r="B157" s="12">
        <v>2</v>
      </c>
      <c r="C157" s="12" t="s">
        <v>655</v>
      </c>
      <c r="D157" s="12"/>
      <c r="E157" s="12"/>
      <c r="F157" s="12"/>
      <c r="G157" s="12"/>
      <c r="H157" s="12">
        <v>100020048</v>
      </c>
      <c r="I157" s="12" t="s">
        <v>779</v>
      </c>
      <c r="J157" s="12"/>
      <c r="K157" s="12" t="s">
        <v>774</v>
      </c>
      <c r="L157" s="12"/>
      <c r="M157" s="13"/>
      <c r="N157" s="10">
        <v>3019</v>
      </c>
      <c r="O157" s="10"/>
      <c r="P157" s="8"/>
      <c r="Q157" s="6"/>
      <c r="R157" s="6"/>
      <c r="S157" t="b">
        <v>0</v>
      </c>
      <c r="T157" s="6"/>
      <c r="U157" s="6">
        <v>74047</v>
      </c>
      <c r="V157" s="6"/>
      <c r="W157" s="6"/>
      <c r="X157" s="6" t="str">
        <f t="shared" si="1"/>
        <v/>
      </c>
      <c r="Y157" s="4" t="s">
        <v>780</v>
      </c>
    </row>
    <row r="158" spans="1:25">
      <c r="A158" s="12">
        <v>100020048</v>
      </c>
      <c r="B158" s="12">
        <v>2</v>
      </c>
      <c r="C158" s="12" t="s">
        <v>655</v>
      </c>
      <c r="D158" s="12"/>
      <c r="E158" s="12"/>
      <c r="F158" s="12"/>
      <c r="G158" s="12"/>
      <c r="H158" s="12">
        <v>100020049</v>
      </c>
      <c r="I158" s="12" t="s">
        <v>781</v>
      </c>
      <c r="J158" s="12"/>
      <c r="K158" s="12" t="s">
        <v>769</v>
      </c>
      <c r="L158" s="12"/>
      <c r="M158" s="13"/>
      <c r="N158" s="10">
        <v>11042</v>
      </c>
      <c r="O158" s="10"/>
      <c r="P158" s="8"/>
      <c r="Q158" s="6"/>
      <c r="R158" s="6"/>
      <c r="S158" t="b">
        <v>0</v>
      </c>
      <c r="T158" s="6"/>
      <c r="U158" s="6">
        <v>74048</v>
      </c>
      <c r="V158" s="6"/>
      <c r="W158" s="6"/>
      <c r="X158" s="6" t="str">
        <f t="shared" si="1"/>
        <v/>
      </c>
      <c r="Y158" s="4" t="s">
        <v>782</v>
      </c>
    </row>
    <row r="159" spans="1:25">
      <c r="A159" s="12">
        <v>100020049</v>
      </c>
      <c r="B159" s="12">
        <v>2</v>
      </c>
      <c r="C159" s="12" t="s">
        <v>655</v>
      </c>
      <c r="D159" s="12"/>
      <c r="E159" s="12"/>
      <c r="F159" s="12"/>
      <c r="G159" s="12"/>
      <c r="H159" s="12">
        <v>100020050</v>
      </c>
      <c r="I159" s="12" t="s">
        <v>747</v>
      </c>
      <c r="J159" s="12"/>
      <c r="K159" s="12" t="s">
        <v>771</v>
      </c>
      <c r="L159" s="12"/>
      <c r="M159" s="13"/>
      <c r="N159" s="10">
        <v>3202</v>
      </c>
      <c r="O159" s="10"/>
      <c r="P159" s="8"/>
      <c r="Q159" s="6"/>
      <c r="R159" s="6"/>
      <c r="S159" t="b">
        <v>0</v>
      </c>
      <c r="T159" s="6"/>
      <c r="U159" s="6">
        <v>74049</v>
      </c>
      <c r="V159" s="6"/>
      <c r="W159" s="6"/>
      <c r="X159" s="6" t="str">
        <f t="shared" si="1"/>
        <v/>
      </c>
      <c r="Y159" s="4" t="s">
        <v>783</v>
      </c>
    </row>
    <row r="160" spans="1:25">
      <c r="A160" s="12">
        <v>100020050</v>
      </c>
      <c r="B160" s="12">
        <v>2</v>
      </c>
      <c r="C160" s="12" t="s">
        <v>655</v>
      </c>
      <c r="D160" s="12"/>
      <c r="E160" s="12"/>
      <c r="F160" s="12"/>
      <c r="G160" s="12"/>
      <c r="H160" s="12">
        <v>100020051</v>
      </c>
      <c r="I160" s="12" t="s">
        <v>784</v>
      </c>
      <c r="J160" s="12"/>
      <c r="K160" s="12" t="s">
        <v>774</v>
      </c>
      <c r="L160" s="12"/>
      <c r="M160" s="13"/>
      <c r="N160" s="10">
        <v>11042</v>
      </c>
      <c r="O160" s="10"/>
      <c r="P160" s="8"/>
      <c r="Q160" s="6"/>
      <c r="R160" s="6"/>
      <c r="S160" t="b">
        <v>0</v>
      </c>
      <c r="T160" s="6"/>
      <c r="U160" s="6">
        <v>74050</v>
      </c>
      <c r="V160" s="6"/>
      <c r="W160" s="6"/>
      <c r="X160" s="6"/>
      <c r="Y160" s="4" t="s">
        <v>785</v>
      </c>
    </row>
    <row r="161" spans="1:25">
      <c r="A161" s="12">
        <v>100020051</v>
      </c>
      <c r="B161" s="12">
        <v>2</v>
      </c>
      <c r="C161" s="12" t="s">
        <v>655</v>
      </c>
      <c r="D161" s="12"/>
      <c r="E161" s="12"/>
      <c r="F161" s="12"/>
      <c r="G161" s="12"/>
      <c r="H161" s="12">
        <v>100020052</v>
      </c>
      <c r="I161" s="12" t="s">
        <v>786</v>
      </c>
      <c r="J161" s="12"/>
      <c r="K161" s="12" t="s">
        <v>771</v>
      </c>
      <c r="L161" s="12"/>
      <c r="M161" s="13"/>
      <c r="N161" s="10">
        <v>3302</v>
      </c>
      <c r="O161" s="10"/>
      <c r="P161" s="8"/>
      <c r="Q161" s="6"/>
      <c r="R161" s="6"/>
      <c r="S161" t="b">
        <v>0</v>
      </c>
      <c r="T161" s="6"/>
      <c r="U161" s="6">
        <v>74051</v>
      </c>
      <c r="V161" s="6"/>
      <c r="W161" s="6"/>
      <c r="X161" s="6"/>
      <c r="Y161" s="4" t="s">
        <v>780</v>
      </c>
    </row>
    <row r="162" spans="1:25">
      <c r="A162" s="12">
        <v>100020052</v>
      </c>
      <c r="B162" s="12">
        <v>2</v>
      </c>
      <c r="C162" s="12" t="s">
        <v>655</v>
      </c>
      <c r="D162" s="12"/>
      <c r="E162" s="12"/>
      <c r="F162" s="12"/>
      <c r="G162" s="12"/>
      <c r="H162" s="12">
        <v>100020053</v>
      </c>
      <c r="I162" s="12" t="s">
        <v>781</v>
      </c>
      <c r="J162" s="12"/>
      <c r="K162" s="12" t="s">
        <v>769</v>
      </c>
      <c r="L162" s="12"/>
      <c r="M162" s="13"/>
      <c r="N162" s="10">
        <v>11042</v>
      </c>
      <c r="O162" s="10"/>
      <c r="P162" s="8"/>
      <c r="Q162" s="6"/>
      <c r="R162" s="6"/>
      <c r="S162" t="b">
        <v>0</v>
      </c>
      <c r="T162" s="6"/>
      <c r="U162" s="6">
        <v>74052</v>
      </c>
      <c r="V162" s="6"/>
      <c r="W162" s="6"/>
      <c r="X162" s="6"/>
      <c r="Y162" s="4" t="s">
        <v>787</v>
      </c>
    </row>
    <row r="163" spans="1:25">
      <c r="A163" s="12">
        <v>100020053</v>
      </c>
      <c r="B163" s="12">
        <v>2</v>
      </c>
      <c r="C163" s="12" t="s">
        <v>655</v>
      </c>
      <c r="D163" s="12"/>
      <c r="E163" s="12"/>
      <c r="F163" s="12"/>
      <c r="G163" s="12"/>
      <c r="H163" s="12">
        <v>100020054</v>
      </c>
      <c r="I163" s="12" t="s">
        <v>788</v>
      </c>
      <c r="J163" s="12"/>
      <c r="K163" s="12" t="s">
        <v>771</v>
      </c>
      <c r="L163" s="12"/>
      <c r="M163" s="13"/>
      <c r="N163" s="10">
        <v>3202</v>
      </c>
      <c r="O163" s="10"/>
      <c r="P163" s="8"/>
      <c r="Q163" s="6"/>
      <c r="R163" s="6"/>
      <c r="S163" t="b">
        <v>0</v>
      </c>
      <c r="T163" s="6"/>
      <c r="U163" s="6">
        <v>74053</v>
      </c>
      <c r="V163" s="6"/>
      <c r="W163" s="6"/>
      <c r="X163" s="6"/>
      <c r="Y163" s="4" t="s">
        <v>789</v>
      </c>
    </row>
    <row r="164" spans="1:25">
      <c r="A164" s="12">
        <v>100020054</v>
      </c>
      <c r="B164" s="12">
        <v>2</v>
      </c>
      <c r="C164" s="12" t="s">
        <v>655</v>
      </c>
      <c r="D164" s="12"/>
      <c r="E164" s="12"/>
      <c r="F164" s="12"/>
      <c r="G164" s="12"/>
      <c r="H164" s="12">
        <v>100020055</v>
      </c>
      <c r="I164" s="12" t="s">
        <v>790</v>
      </c>
      <c r="J164" s="12"/>
      <c r="K164" s="12" t="s">
        <v>774</v>
      </c>
      <c r="L164" s="12"/>
      <c r="M164" s="13"/>
      <c r="N164" s="10">
        <v>11042</v>
      </c>
      <c r="O164" s="10"/>
      <c r="P164" s="8"/>
      <c r="Q164" s="6"/>
      <c r="R164" s="6"/>
      <c r="S164" t="b">
        <v>0</v>
      </c>
      <c r="T164" s="6"/>
      <c r="U164" s="6">
        <v>74054</v>
      </c>
      <c r="V164" s="6"/>
      <c r="W164" s="6"/>
      <c r="X164" s="6"/>
      <c r="Y164" s="4" t="s">
        <v>791</v>
      </c>
    </row>
    <row r="165" spans="1:25">
      <c r="A165" s="12">
        <v>100020055</v>
      </c>
      <c r="B165" s="12">
        <v>2</v>
      </c>
      <c r="C165" s="12" t="s">
        <v>655</v>
      </c>
      <c r="D165" s="12"/>
      <c r="E165" s="12"/>
      <c r="F165" s="12"/>
      <c r="G165" s="12"/>
      <c r="H165" s="12">
        <v>100020056</v>
      </c>
      <c r="I165" s="12" t="s">
        <v>792</v>
      </c>
      <c r="J165" s="12"/>
      <c r="K165" s="12" t="s">
        <v>793</v>
      </c>
      <c r="L165" s="12"/>
      <c r="M165" s="13"/>
      <c r="N165" s="10">
        <v>3302</v>
      </c>
      <c r="O165" s="10"/>
      <c r="P165" s="8"/>
      <c r="Q165" s="6"/>
      <c r="R165" s="6"/>
      <c r="S165" t="b">
        <v>0</v>
      </c>
      <c r="T165" s="6"/>
      <c r="U165" s="6">
        <v>74055</v>
      </c>
      <c r="V165" s="6"/>
      <c r="W165" s="6"/>
      <c r="X165" s="6"/>
      <c r="Y165" s="4" t="s">
        <v>794</v>
      </c>
    </row>
    <row r="166" spans="1:25">
      <c r="A166" s="12">
        <v>100020056</v>
      </c>
      <c r="B166" s="12">
        <v>2</v>
      </c>
      <c r="C166" s="12" t="s">
        <v>655</v>
      </c>
      <c r="D166" s="12"/>
      <c r="E166" s="12"/>
      <c r="F166" s="12"/>
      <c r="G166" s="12"/>
      <c r="H166" s="12">
        <v>100020057</v>
      </c>
      <c r="I166" s="12" t="s">
        <v>683</v>
      </c>
      <c r="J166" s="12"/>
      <c r="K166" s="12" t="s">
        <v>795</v>
      </c>
      <c r="L166" s="12"/>
      <c r="M166" s="13"/>
      <c r="N166" s="10">
        <v>3501</v>
      </c>
      <c r="O166" s="10"/>
      <c r="P166" s="8"/>
      <c r="Q166" s="6"/>
      <c r="R166" s="6"/>
      <c r="S166" t="b">
        <v>0</v>
      </c>
      <c r="T166" s="6"/>
      <c r="U166" s="6">
        <v>74056</v>
      </c>
      <c r="V166" s="6"/>
      <c r="W166" s="6"/>
      <c r="X166" s="6"/>
      <c r="Y166" s="4" t="s">
        <v>796</v>
      </c>
    </row>
    <row r="167" spans="1:25">
      <c r="A167" s="12">
        <v>100020057</v>
      </c>
      <c r="B167" s="12">
        <v>2</v>
      </c>
      <c r="C167" s="12" t="s">
        <v>655</v>
      </c>
      <c r="D167" s="12"/>
      <c r="E167" s="12"/>
      <c r="F167" s="12"/>
      <c r="G167" s="12"/>
      <c r="H167" s="12">
        <v>100020058</v>
      </c>
      <c r="I167" s="12" t="s">
        <v>686</v>
      </c>
      <c r="J167" s="12"/>
      <c r="K167" s="12" t="s">
        <v>797</v>
      </c>
      <c r="L167" s="12"/>
      <c r="M167" s="13"/>
      <c r="N167" s="10">
        <v>3551</v>
      </c>
      <c r="O167" s="10"/>
      <c r="P167" s="8"/>
      <c r="Q167" s="6"/>
      <c r="R167" s="6"/>
      <c r="S167" t="b">
        <v>0</v>
      </c>
      <c r="T167" s="6"/>
      <c r="U167" s="6">
        <v>74057</v>
      </c>
      <c r="V167" s="6"/>
      <c r="W167" s="6"/>
      <c r="X167" s="6"/>
      <c r="Y167" s="4" t="s">
        <v>798</v>
      </c>
    </row>
    <row r="168" spans="1:25">
      <c r="A168" s="12">
        <v>100020058</v>
      </c>
      <c r="B168" s="12">
        <v>2</v>
      </c>
      <c r="C168" s="12" t="s">
        <v>655</v>
      </c>
      <c r="D168" s="12"/>
      <c r="E168" s="12"/>
      <c r="F168" s="12"/>
      <c r="G168" s="12"/>
      <c r="H168" s="12">
        <v>100020059</v>
      </c>
      <c r="I168" s="12" t="s">
        <v>718</v>
      </c>
      <c r="J168" s="12"/>
      <c r="K168" s="12" t="s">
        <v>799</v>
      </c>
      <c r="L168" s="12"/>
      <c r="M168" s="13"/>
      <c r="N168" s="10">
        <v>3502</v>
      </c>
      <c r="O168" s="10"/>
      <c r="P168" s="8"/>
      <c r="Q168" s="6"/>
      <c r="R168" s="6"/>
      <c r="S168" t="b">
        <v>0</v>
      </c>
      <c r="T168" s="6"/>
      <c r="U168" s="6">
        <v>74058</v>
      </c>
      <c r="V168" s="6"/>
      <c r="W168" s="6"/>
      <c r="X168" s="6"/>
      <c r="Y168" s="4" t="s">
        <v>800</v>
      </c>
    </row>
    <row r="169" spans="1:25">
      <c r="A169" s="12">
        <v>100020059</v>
      </c>
      <c r="B169" s="12">
        <v>2</v>
      </c>
      <c r="C169" s="12" t="s">
        <v>655</v>
      </c>
      <c r="D169" s="12"/>
      <c r="E169" s="12"/>
      <c r="F169" s="12"/>
      <c r="G169" s="12"/>
      <c r="H169" s="12">
        <v>100020060</v>
      </c>
      <c r="I169" s="12" t="s">
        <v>801</v>
      </c>
      <c r="J169" s="12"/>
      <c r="K169" s="12" t="s">
        <v>797</v>
      </c>
      <c r="L169" s="12"/>
      <c r="M169" s="13"/>
      <c r="N169" s="10">
        <v>3552</v>
      </c>
      <c r="O169" s="10"/>
      <c r="P169" s="8"/>
      <c r="Q169" s="6"/>
      <c r="R169" s="6"/>
      <c r="S169" t="b">
        <v>0</v>
      </c>
      <c r="T169" s="6"/>
      <c r="U169" s="6">
        <v>74059</v>
      </c>
      <c r="V169" s="6"/>
      <c r="W169" s="6"/>
      <c r="X169" s="6"/>
      <c r="Y169" s="4" t="s">
        <v>802</v>
      </c>
    </row>
    <row r="170" spans="1:25">
      <c r="A170" s="12">
        <v>100020060</v>
      </c>
      <c r="B170" s="12">
        <v>2</v>
      </c>
      <c r="C170" s="12" t="s">
        <v>655</v>
      </c>
      <c r="D170" s="12"/>
      <c r="E170" s="12"/>
      <c r="F170" s="12"/>
      <c r="G170" s="12"/>
      <c r="H170" s="12">
        <v>100020061</v>
      </c>
      <c r="I170" s="12" t="s">
        <v>724</v>
      </c>
      <c r="J170" s="12"/>
      <c r="K170" s="12" t="s">
        <v>795</v>
      </c>
      <c r="L170" s="12"/>
      <c r="M170" s="13"/>
      <c r="N170" s="10">
        <v>3503</v>
      </c>
      <c r="O170" s="10"/>
      <c r="P170" s="8"/>
      <c r="Q170" s="6"/>
      <c r="R170" s="6"/>
      <c r="S170" t="b">
        <v>0</v>
      </c>
      <c r="T170" s="6"/>
      <c r="U170" s="6">
        <v>74060</v>
      </c>
      <c r="V170" s="6"/>
      <c r="W170" s="6"/>
      <c r="X170" s="6"/>
      <c r="Y170" s="4" t="s">
        <v>803</v>
      </c>
    </row>
    <row r="171" spans="1:25">
      <c r="A171" s="12">
        <v>100020061</v>
      </c>
      <c r="B171" s="12">
        <v>2</v>
      </c>
      <c r="C171" s="12" t="s">
        <v>655</v>
      </c>
      <c r="D171" s="12"/>
      <c r="E171" s="12"/>
      <c r="F171" s="12"/>
      <c r="G171" s="12"/>
      <c r="H171" s="12">
        <v>100020062</v>
      </c>
      <c r="I171" s="12" t="s">
        <v>804</v>
      </c>
      <c r="J171" s="12"/>
      <c r="K171" s="12" t="s">
        <v>805</v>
      </c>
      <c r="L171" s="12"/>
      <c r="M171" s="13"/>
      <c r="N171" s="10">
        <v>3553</v>
      </c>
      <c r="O171" s="10"/>
      <c r="P171" s="8"/>
      <c r="Q171" s="6"/>
      <c r="R171" s="6"/>
      <c r="S171" t="b">
        <v>0</v>
      </c>
      <c r="T171" s="6"/>
      <c r="U171" s="6">
        <v>74061</v>
      </c>
      <c r="V171" s="6"/>
      <c r="W171" s="6"/>
      <c r="X171" s="6"/>
      <c r="Y171" s="4" t="s">
        <v>749</v>
      </c>
    </row>
    <row r="172" spans="1:25">
      <c r="A172" s="12">
        <v>100020062</v>
      </c>
      <c r="B172" s="12">
        <v>2</v>
      </c>
      <c r="C172" s="12" t="s">
        <v>655</v>
      </c>
      <c r="D172" s="12"/>
      <c r="E172" s="12"/>
      <c r="F172" s="12"/>
      <c r="G172" s="12"/>
      <c r="H172" s="12">
        <v>100020063</v>
      </c>
      <c r="I172" s="12" t="s">
        <v>750</v>
      </c>
      <c r="J172" s="12"/>
      <c r="K172" s="12" t="s">
        <v>806</v>
      </c>
      <c r="L172" s="12"/>
      <c r="M172" s="13"/>
      <c r="N172" s="10">
        <v>11046</v>
      </c>
      <c r="O172" s="10"/>
      <c r="P172" s="8"/>
      <c r="Q172" s="6"/>
      <c r="R172" s="6"/>
      <c r="S172" t="b">
        <v>0</v>
      </c>
      <c r="T172" s="6"/>
      <c r="U172" s="6">
        <v>74062</v>
      </c>
      <c r="V172" s="6"/>
      <c r="W172" s="6"/>
      <c r="X172" s="6"/>
      <c r="Y172" s="4" t="s">
        <v>752</v>
      </c>
    </row>
    <row r="173" spans="1:25">
      <c r="A173" s="12">
        <v>100020063</v>
      </c>
      <c r="B173" s="12">
        <v>2</v>
      </c>
      <c r="C173" s="12" t="s">
        <v>655</v>
      </c>
      <c r="D173" s="12"/>
      <c r="E173" s="12"/>
      <c r="F173" s="12"/>
      <c r="G173" s="12"/>
      <c r="H173" s="12">
        <v>100020064</v>
      </c>
      <c r="I173" s="12" t="s">
        <v>753</v>
      </c>
      <c r="J173" s="12"/>
      <c r="K173" s="12" t="s">
        <v>807</v>
      </c>
      <c r="L173" s="12"/>
      <c r="M173" s="13"/>
      <c r="N173" s="10">
        <v>11047</v>
      </c>
      <c r="O173" s="10"/>
      <c r="P173" s="8"/>
      <c r="Q173" s="6"/>
      <c r="R173" s="6"/>
      <c r="S173" t="b">
        <v>0</v>
      </c>
      <c r="T173" s="6"/>
      <c r="U173" s="6">
        <v>74063</v>
      </c>
      <c r="V173" s="6"/>
      <c r="W173" s="6"/>
      <c r="X173" s="6"/>
      <c r="Y173" s="4" t="s">
        <v>808</v>
      </c>
    </row>
    <row r="174" spans="1:25">
      <c r="A174" s="12">
        <v>100020064</v>
      </c>
      <c r="B174" s="12">
        <v>2</v>
      </c>
      <c r="C174" s="12" t="s">
        <v>655</v>
      </c>
      <c r="D174" s="12"/>
      <c r="E174" s="12"/>
      <c r="F174" s="12"/>
      <c r="G174" s="12"/>
      <c r="H174" s="12">
        <v>100020065</v>
      </c>
      <c r="I174" s="12" t="s">
        <v>809</v>
      </c>
      <c r="J174" s="12"/>
      <c r="K174" s="12" t="s">
        <v>810</v>
      </c>
      <c r="L174" s="12"/>
      <c r="M174" s="13"/>
      <c r="N174" s="10">
        <v>3403</v>
      </c>
      <c r="O174" s="10"/>
      <c r="P174" s="8"/>
      <c r="Q174" s="6"/>
      <c r="R174" s="6"/>
      <c r="S174" t="b">
        <v>0</v>
      </c>
      <c r="T174" s="6"/>
      <c r="U174" s="6">
        <v>74064</v>
      </c>
      <c r="V174" s="6"/>
      <c r="W174" s="6"/>
      <c r="X174" s="6"/>
      <c r="Y174" s="4" t="s">
        <v>811</v>
      </c>
    </row>
    <row r="175" spans="1:25">
      <c r="A175" s="12">
        <v>100020065</v>
      </c>
      <c r="B175" s="12">
        <v>2</v>
      </c>
      <c r="C175" s="12" t="s">
        <v>655</v>
      </c>
      <c r="D175" s="12"/>
      <c r="E175" s="12"/>
      <c r="F175" s="12"/>
      <c r="G175" s="12"/>
      <c r="H175" s="12">
        <v>100020066</v>
      </c>
      <c r="I175" s="12" t="s">
        <v>812</v>
      </c>
      <c r="J175" s="12"/>
      <c r="K175" s="12" t="s">
        <v>813</v>
      </c>
      <c r="L175" s="12"/>
      <c r="M175" s="13"/>
      <c r="N175" s="10">
        <v>11007</v>
      </c>
      <c r="O175" s="10"/>
      <c r="P175" s="8"/>
      <c r="Q175" s="6"/>
      <c r="R175" s="6"/>
      <c r="S175" t="b">
        <v>0</v>
      </c>
      <c r="T175" s="6"/>
      <c r="U175" s="6">
        <v>74065</v>
      </c>
      <c r="V175" s="6"/>
      <c r="W175" s="6"/>
      <c r="X175" s="6"/>
      <c r="Y175" s="4" t="s">
        <v>814</v>
      </c>
    </row>
    <row r="176" spans="1:25">
      <c r="A176" s="12">
        <v>100020066</v>
      </c>
      <c r="B176" s="12">
        <v>2</v>
      </c>
      <c r="C176" s="12" t="s">
        <v>655</v>
      </c>
      <c r="D176" s="12"/>
      <c r="E176" s="12"/>
      <c r="F176" s="12"/>
      <c r="G176" s="12"/>
      <c r="H176" s="12">
        <v>100020067</v>
      </c>
      <c r="I176" s="12" t="s">
        <v>815</v>
      </c>
      <c r="J176" s="12"/>
      <c r="K176" s="12" t="s">
        <v>816</v>
      </c>
      <c r="L176" s="12"/>
      <c r="M176" s="13"/>
      <c r="N176" s="10">
        <v>3203</v>
      </c>
      <c r="O176" s="10"/>
      <c r="P176" s="8"/>
      <c r="Q176" s="6"/>
      <c r="R176" s="6"/>
      <c r="S176" t="b">
        <v>0</v>
      </c>
      <c r="T176" s="6"/>
      <c r="U176" s="6">
        <v>74066</v>
      </c>
      <c r="V176" s="6"/>
      <c r="W176" s="6"/>
      <c r="X176" s="6"/>
      <c r="Y176" s="4" t="s">
        <v>817</v>
      </c>
    </row>
    <row r="177" spans="1:25">
      <c r="A177" s="12">
        <v>100020067</v>
      </c>
      <c r="B177" s="12">
        <v>2</v>
      </c>
      <c r="C177" s="12" t="s">
        <v>655</v>
      </c>
      <c r="D177" s="12"/>
      <c r="E177" s="12"/>
      <c r="F177" s="12"/>
      <c r="G177" s="12"/>
      <c r="H177" s="12">
        <v>100020068</v>
      </c>
      <c r="I177" s="12" t="s">
        <v>818</v>
      </c>
      <c r="J177" s="12"/>
      <c r="K177" s="12" t="s">
        <v>813</v>
      </c>
      <c r="L177" s="12"/>
      <c r="M177" s="13"/>
      <c r="N177" s="10">
        <v>3303</v>
      </c>
      <c r="O177" s="10"/>
      <c r="P177" s="8"/>
      <c r="Q177" s="6"/>
      <c r="R177" s="6"/>
      <c r="S177" t="b">
        <v>0</v>
      </c>
      <c r="T177" s="6"/>
      <c r="U177" s="6">
        <v>74067</v>
      </c>
      <c r="V177" s="6"/>
      <c r="W177" s="6"/>
      <c r="X177" s="6"/>
      <c r="Y177" s="4" t="s">
        <v>819</v>
      </c>
    </row>
    <row r="178" spans="1:25">
      <c r="A178" s="12">
        <v>100020068</v>
      </c>
      <c r="B178" s="12">
        <v>2</v>
      </c>
      <c r="C178" s="12" t="s">
        <v>655</v>
      </c>
      <c r="D178" s="12"/>
      <c r="E178" s="12"/>
      <c r="F178" s="12"/>
      <c r="G178" s="12"/>
      <c r="H178" s="12">
        <v>100020069</v>
      </c>
      <c r="I178" s="12" t="s">
        <v>820</v>
      </c>
      <c r="J178" s="12"/>
      <c r="K178" s="12" t="s">
        <v>810</v>
      </c>
      <c r="L178" s="12"/>
      <c r="M178" s="13"/>
      <c r="N178" s="10">
        <v>3203</v>
      </c>
      <c r="O178" s="10"/>
      <c r="P178" s="8"/>
      <c r="Q178" s="6"/>
      <c r="R178" s="6"/>
      <c r="S178" t="b">
        <v>0</v>
      </c>
      <c r="T178" s="6"/>
      <c r="U178" s="6">
        <v>74068</v>
      </c>
      <c r="V178" s="6"/>
      <c r="W178" s="6"/>
      <c r="X178" s="6"/>
      <c r="Y178" s="4" t="s">
        <v>821</v>
      </c>
    </row>
    <row r="179" spans="1:25">
      <c r="A179" s="12">
        <v>100020069</v>
      </c>
      <c r="B179" s="12">
        <v>2</v>
      </c>
      <c r="C179" s="12" t="s">
        <v>655</v>
      </c>
      <c r="D179" s="12"/>
      <c r="E179" s="12"/>
      <c r="F179" s="12"/>
      <c r="G179" s="12"/>
      <c r="H179" s="12">
        <v>100020070</v>
      </c>
      <c r="I179" s="12" t="s">
        <v>822</v>
      </c>
      <c r="J179" s="12"/>
      <c r="K179" s="12" t="s">
        <v>823</v>
      </c>
      <c r="L179" s="12"/>
      <c r="M179" s="13"/>
      <c r="N179" s="10">
        <v>11007</v>
      </c>
      <c r="O179" s="10"/>
      <c r="P179" s="8"/>
      <c r="Q179" s="6"/>
      <c r="R179" s="6"/>
      <c r="S179" t="b">
        <v>0</v>
      </c>
      <c r="T179" s="6"/>
      <c r="U179" s="6">
        <v>74069</v>
      </c>
      <c r="V179" s="6"/>
      <c r="W179" s="6"/>
      <c r="X179" s="6"/>
      <c r="Y179" s="4" t="s">
        <v>824</v>
      </c>
    </row>
    <row r="180" spans="1:25">
      <c r="A180" s="12">
        <v>100020070</v>
      </c>
      <c r="B180" s="12">
        <v>2</v>
      </c>
      <c r="C180" s="12" t="s">
        <v>655</v>
      </c>
      <c r="D180" s="12"/>
      <c r="E180" s="12"/>
      <c r="F180" s="12"/>
      <c r="G180" s="12"/>
      <c r="H180" s="12">
        <v>100020071</v>
      </c>
      <c r="I180" s="12" t="s">
        <v>692</v>
      </c>
      <c r="J180" s="12"/>
      <c r="K180" s="12" t="s">
        <v>825</v>
      </c>
      <c r="L180" s="12"/>
      <c r="M180" s="13"/>
      <c r="N180" s="10">
        <v>3017</v>
      </c>
      <c r="O180" s="10"/>
      <c r="P180" s="8"/>
      <c r="Q180" s="6"/>
      <c r="R180" s="6"/>
      <c r="S180" t="b">
        <v>0</v>
      </c>
      <c r="T180" s="6"/>
      <c r="U180" s="6">
        <v>74070</v>
      </c>
      <c r="V180" s="6"/>
      <c r="W180" s="6"/>
      <c r="X180" s="6"/>
      <c r="Y180" s="4" t="s">
        <v>697</v>
      </c>
    </row>
    <row r="181" spans="1:25">
      <c r="A181" s="12">
        <v>100020071</v>
      </c>
      <c r="B181" s="12">
        <v>2</v>
      </c>
      <c r="C181" s="12" t="s">
        <v>655</v>
      </c>
      <c r="D181" s="12"/>
      <c r="E181" s="12"/>
      <c r="F181" s="12"/>
      <c r="G181" s="12"/>
      <c r="H181" s="12">
        <v>100020072</v>
      </c>
      <c r="I181" s="12" t="s">
        <v>695</v>
      </c>
      <c r="J181" s="12"/>
      <c r="K181" s="12" t="s">
        <v>826</v>
      </c>
      <c r="L181" s="12"/>
      <c r="M181" s="13"/>
      <c r="N181" s="10">
        <v>3121</v>
      </c>
      <c r="O181" s="10"/>
      <c r="P181" s="8"/>
      <c r="Q181" s="6"/>
      <c r="R181" s="6"/>
      <c r="S181" t="b">
        <v>0</v>
      </c>
      <c r="T181" s="6"/>
      <c r="U181" s="6">
        <v>74071</v>
      </c>
      <c r="V181" s="6"/>
      <c r="W181" s="6"/>
      <c r="X181" s="6"/>
      <c r="Y181" s="4" t="s">
        <v>827</v>
      </c>
    </row>
    <row r="182" spans="1:25">
      <c r="A182" s="12">
        <v>100020072</v>
      </c>
      <c r="B182" s="12">
        <v>2</v>
      </c>
      <c r="C182" s="12" t="s">
        <v>655</v>
      </c>
      <c r="D182" s="12"/>
      <c r="E182" s="12"/>
      <c r="F182" s="12"/>
      <c r="G182" s="12"/>
      <c r="H182" s="12">
        <v>100020073</v>
      </c>
      <c r="I182" s="12" t="s">
        <v>828</v>
      </c>
      <c r="J182" s="12"/>
      <c r="K182" s="12" t="s">
        <v>810</v>
      </c>
      <c r="L182" s="12"/>
      <c r="M182" s="13"/>
      <c r="N182" s="10">
        <v>3303</v>
      </c>
      <c r="O182" s="10"/>
      <c r="P182" s="8"/>
      <c r="Q182" s="6"/>
      <c r="R182" s="6"/>
      <c r="S182" t="b">
        <v>0</v>
      </c>
      <c r="T182" s="6"/>
      <c r="U182" s="6">
        <v>74072</v>
      </c>
      <c r="V182" s="6"/>
      <c r="W182" s="6"/>
      <c r="X182" s="6"/>
      <c r="Y182" s="4" t="s">
        <v>829</v>
      </c>
    </row>
    <row r="183" spans="1:25">
      <c r="A183" s="12">
        <v>100020073</v>
      </c>
      <c r="B183" s="12">
        <v>2</v>
      </c>
      <c r="C183" s="12" t="s">
        <v>655</v>
      </c>
      <c r="D183" s="12"/>
      <c r="E183" s="12"/>
      <c r="F183" s="12"/>
      <c r="G183" s="12"/>
      <c r="H183" s="12">
        <v>100020074</v>
      </c>
      <c r="I183" s="12" t="s">
        <v>830</v>
      </c>
      <c r="J183" s="12"/>
      <c r="K183" s="12" t="s">
        <v>813</v>
      </c>
      <c r="L183" s="12"/>
      <c r="M183" s="13"/>
      <c r="N183" s="10">
        <v>11007</v>
      </c>
      <c r="O183" s="10"/>
      <c r="P183" s="8"/>
      <c r="Q183" s="6"/>
      <c r="R183" s="6"/>
      <c r="S183" t="b">
        <v>0</v>
      </c>
      <c r="T183" s="6"/>
      <c r="U183" s="6">
        <v>74073</v>
      </c>
      <c r="V183" s="6"/>
      <c r="W183" s="6"/>
      <c r="X183" s="6"/>
      <c r="Y183" s="4" t="s">
        <v>831</v>
      </c>
    </row>
    <row r="184" spans="1:25">
      <c r="A184" s="12">
        <v>100020074</v>
      </c>
      <c r="B184" s="12">
        <v>2</v>
      </c>
      <c r="C184" s="12" t="s">
        <v>655</v>
      </c>
      <c r="D184" s="12"/>
      <c r="E184" s="12"/>
      <c r="F184" s="12"/>
      <c r="G184" s="12"/>
      <c r="H184" s="12">
        <v>100020075</v>
      </c>
      <c r="I184" s="12" t="s">
        <v>832</v>
      </c>
      <c r="J184" s="12"/>
      <c r="K184" s="12" t="s">
        <v>833</v>
      </c>
      <c r="L184" s="12"/>
      <c r="M184" s="13"/>
      <c r="N184" s="10">
        <v>3203</v>
      </c>
      <c r="O184" s="10"/>
      <c r="P184" s="8"/>
      <c r="Q184" s="6"/>
      <c r="R184" s="6"/>
      <c r="S184" t="b">
        <v>0</v>
      </c>
      <c r="T184" s="6"/>
      <c r="U184" s="6">
        <v>74074</v>
      </c>
      <c r="V184" s="6"/>
      <c r="W184" s="6"/>
      <c r="X184" s="6"/>
      <c r="Y184" s="4" t="s">
        <v>834</v>
      </c>
    </row>
    <row r="185" spans="1:25">
      <c r="A185" s="12">
        <v>100020075</v>
      </c>
      <c r="B185" s="12">
        <v>2</v>
      </c>
      <c r="C185" s="12" t="s">
        <v>655</v>
      </c>
      <c r="D185" s="12"/>
      <c r="E185" s="12"/>
      <c r="F185" s="12"/>
      <c r="G185" s="12"/>
      <c r="H185" s="12">
        <v>100020076</v>
      </c>
      <c r="I185" s="12" t="s">
        <v>835</v>
      </c>
      <c r="J185" s="12"/>
      <c r="K185" s="12" t="s">
        <v>836</v>
      </c>
      <c r="L185" s="12"/>
      <c r="M185" s="13"/>
      <c r="N185" s="10">
        <v>11007</v>
      </c>
      <c r="O185" s="10"/>
      <c r="P185" s="8"/>
      <c r="Q185" s="6"/>
      <c r="R185" s="6"/>
      <c r="S185" t="b">
        <v>0</v>
      </c>
      <c r="T185" s="6"/>
      <c r="U185" s="6">
        <v>74075</v>
      </c>
      <c r="V185" s="6"/>
      <c r="W185" s="6"/>
      <c r="X185" s="6"/>
      <c r="Y185" s="4" t="s">
        <v>837</v>
      </c>
    </row>
    <row r="186" spans="1:25">
      <c r="A186" s="12">
        <v>100020076</v>
      </c>
      <c r="B186" s="12">
        <v>2</v>
      </c>
      <c r="C186" s="12" t="s">
        <v>655</v>
      </c>
      <c r="D186" s="12"/>
      <c r="E186" s="12"/>
      <c r="F186" s="12"/>
      <c r="G186" s="12"/>
      <c r="H186" s="12">
        <v>100020077</v>
      </c>
      <c r="I186" s="12" t="s">
        <v>838</v>
      </c>
      <c r="J186" s="12"/>
      <c r="K186" s="12" t="s">
        <v>810</v>
      </c>
      <c r="L186" s="12"/>
      <c r="M186" s="13"/>
      <c r="N186" s="10">
        <v>3303</v>
      </c>
      <c r="O186" s="10"/>
      <c r="P186" s="8"/>
      <c r="Q186" s="6"/>
      <c r="R186" s="6"/>
      <c r="S186" t="b">
        <v>0</v>
      </c>
      <c r="T186" s="6"/>
      <c r="U186" s="6">
        <v>74076</v>
      </c>
      <c r="V186" s="6"/>
      <c r="W186" s="6"/>
      <c r="X186" s="6"/>
      <c r="Y186" s="4" t="s">
        <v>839</v>
      </c>
    </row>
    <row r="187" spans="1:25">
      <c r="A187" s="12">
        <v>100020077</v>
      </c>
      <c r="B187" s="12">
        <v>2</v>
      </c>
      <c r="C187" s="12" t="s">
        <v>655</v>
      </c>
      <c r="D187" s="12"/>
      <c r="E187" s="12"/>
      <c r="F187" s="12"/>
      <c r="G187" s="12"/>
      <c r="H187" s="12">
        <v>100020078</v>
      </c>
      <c r="I187" s="12" t="s">
        <v>840</v>
      </c>
      <c r="J187" s="12"/>
      <c r="K187" s="12" t="s">
        <v>813</v>
      </c>
      <c r="L187" s="12"/>
      <c r="M187" s="13"/>
      <c r="N187" s="10">
        <v>11007</v>
      </c>
      <c r="O187" s="10"/>
      <c r="P187" s="8"/>
      <c r="Q187" s="6"/>
      <c r="R187" s="6"/>
      <c r="S187" t="b">
        <v>0</v>
      </c>
      <c r="T187" s="6"/>
      <c r="U187" s="6">
        <v>74077</v>
      </c>
      <c r="V187" s="6"/>
      <c r="W187" s="6"/>
      <c r="X187" s="6"/>
      <c r="Y187" s="4" t="s">
        <v>841</v>
      </c>
    </row>
    <row r="188" spans="1:25">
      <c r="A188" s="12">
        <v>100020078</v>
      </c>
      <c r="B188" s="12">
        <v>2</v>
      </c>
      <c r="C188" s="12" t="s">
        <v>655</v>
      </c>
      <c r="D188" s="12"/>
      <c r="E188" s="12"/>
      <c r="F188" s="12"/>
      <c r="G188" s="12"/>
      <c r="H188" s="12">
        <v>100020079</v>
      </c>
      <c r="I188" s="12" t="s">
        <v>842</v>
      </c>
      <c r="J188" s="12"/>
      <c r="K188" s="12" t="s">
        <v>833</v>
      </c>
      <c r="L188" s="12"/>
      <c r="M188" s="13"/>
      <c r="N188" s="10">
        <v>3203</v>
      </c>
      <c r="O188" s="10"/>
      <c r="P188" s="8"/>
      <c r="Q188" s="6"/>
      <c r="R188" s="6"/>
      <c r="S188" t="b">
        <v>0</v>
      </c>
      <c r="T188" s="6"/>
      <c r="U188" s="6">
        <v>74078</v>
      </c>
      <c r="V188" s="6"/>
      <c r="W188" s="6"/>
      <c r="X188" s="6"/>
      <c r="Y188" s="4" t="s">
        <v>843</v>
      </c>
    </row>
    <row r="189" spans="1:25">
      <c r="A189" s="12">
        <v>100020079</v>
      </c>
      <c r="B189" s="12">
        <v>2</v>
      </c>
      <c r="C189" s="12" t="s">
        <v>655</v>
      </c>
      <c r="D189" s="12"/>
      <c r="E189" s="12"/>
      <c r="F189" s="12"/>
      <c r="G189" s="12"/>
      <c r="H189" s="12">
        <v>100020080</v>
      </c>
      <c r="I189" s="12" t="s">
        <v>844</v>
      </c>
      <c r="J189" s="12"/>
      <c r="K189" s="12" t="s">
        <v>836</v>
      </c>
      <c r="L189" s="12"/>
      <c r="M189" s="13"/>
      <c r="N189" s="10">
        <v>11007</v>
      </c>
      <c r="O189" s="10"/>
      <c r="P189" s="8"/>
      <c r="Q189" s="6"/>
      <c r="R189" s="6"/>
      <c r="S189" t="b">
        <v>0</v>
      </c>
      <c r="T189" s="6"/>
      <c r="U189" s="6">
        <v>74079</v>
      </c>
      <c r="V189" s="6"/>
      <c r="W189" s="6"/>
      <c r="X189" s="6"/>
      <c r="Y189" s="4" t="s">
        <v>845</v>
      </c>
    </row>
    <row r="190" spans="1:25">
      <c r="A190" s="12">
        <v>100020080</v>
      </c>
      <c r="B190" s="12">
        <v>2</v>
      </c>
      <c r="C190" s="12" t="s">
        <v>655</v>
      </c>
      <c r="D190" s="12"/>
      <c r="E190" s="12"/>
      <c r="F190" s="12"/>
      <c r="G190" s="12"/>
      <c r="H190" s="12">
        <v>100020081</v>
      </c>
      <c r="I190" s="12" t="s">
        <v>846</v>
      </c>
      <c r="J190" s="12"/>
      <c r="K190" s="12" t="s">
        <v>847</v>
      </c>
      <c r="L190" s="12"/>
      <c r="M190" s="13"/>
      <c r="N190" s="10">
        <v>3303</v>
      </c>
      <c r="O190" s="10"/>
      <c r="P190" s="8"/>
      <c r="Q190" s="6"/>
      <c r="R190" s="6"/>
      <c r="S190" t="b">
        <v>0</v>
      </c>
      <c r="T190" s="6"/>
      <c r="U190" s="6">
        <v>74080</v>
      </c>
      <c r="V190" s="6"/>
      <c r="W190" s="6"/>
      <c r="X190" s="6"/>
      <c r="Y190" s="4" t="s">
        <v>848</v>
      </c>
    </row>
    <row r="191" spans="1:25">
      <c r="A191" s="12">
        <v>100020081</v>
      </c>
      <c r="B191" s="12">
        <v>2</v>
      </c>
      <c r="C191" s="12" t="s">
        <v>655</v>
      </c>
      <c r="D191" s="12"/>
      <c r="E191" s="12"/>
      <c r="F191" s="12"/>
      <c r="G191" s="12"/>
      <c r="H191" s="12">
        <v>100020082</v>
      </c>
      <c r="I191" s="12" t="s">
        <v>849</v>
      </c>
      <c r="J191" s="12"/>
      <c r="K191" s="12" t="s">
        <v>850</v>
      </c>
      <c r="L191" s="12"/>
      <c r="M191" s="13"/>
      <c r="N191" s="10">
        <v>11041</v>
      </c>
      <c r="O191" s="10"/>
      <c r="P191" s="8"/>
      <c r="Q191" s="6"/>
      <c r="R191" s="6"/>
      <c r="S191" t="b">
        <v>0</v>
      </c>
      <c r="T191" s="6"/>
      <c r="U191" s="6">
        <v>74081</v>
      </c>
      <c r="V191" s="6"/>
      <c r="W191" s="6"/>
      <c r="X191" s="6"/>
      <c r="Y191" s="4" t="s">
        <v>851</v>
      </c>
    </row>
    <row r="192" spans="1:25">
      <c r="A192" s="12">
        <v>100020082</v>
      </c>
      <c r="B192" s="12">
        <v>2</v>
      </c>
      <c r="C192" s="12" t="s">
        <v>655</v>
      </c>
      <c r="D192" s="12"/>
      <c r="E192" s="12"/>
      <c r="F192" s="12"/>
      <c r="G192" s="12"/>
      <c r="H192" s="12">
        <v>100020083</v>
      </c>
      <c r="I192" s="12" t="s">
        <v>852</v>
      </c>
      <c r="J192" s="12"/>
      <c r="K192" s="12" t="s">
        <v>853</v>
      </c>
      <c r="L192" s="12"/>
      <c r="M192" s="13"/>
      <c r="N192" s="10">
        <v>11047</v>
      </c>
      <c r="O192" s="10"/>
      <c r="P192" s="8"/>
      <c r="Q192" s="6"/>
      <c r="R192" s="6"/>
      <c r="S192" t="b">
        <v>0</v>
      </c>
      <c r="T192" s="6"/>
      <c r="U192" s="6">
        <v>74082</v>
      </c>
      <c r="V192" s="6"/>
      <c r="W192" s="6"/>
      <c r="X192" s="6"/>
      <c r="Y192" s="4" t="s">
        <v>854</v>
      </c>
    </row>
    <row r="193" spans="1:25">
      <c r="A193" s="12">
        <v>100020083</v>
      </c>
      <c r="B193" s="12">
        <v>2</v>
      </c>
      <c r="C193" s="12" t="s">
        <v>655</v>
      </c>
      <c r="D193" s="12"/>
      <c r="E193" s="12"/>
      <c r="F193" s="12"/>
      <c r="G193" s="12"/>
      <c r="H193" s="12">
        <v>100020084</v>
      </c>
      <c r="I193" s="12" t="s">
        <v>855</v>
      </c>
      <c r="J193" s="12"/>
      <c r="K193" s="12" t="s">
        <v>856</v>
      </c>
      <c r="L193" s="12"/>
      <c r="M193" s="13"/>
      <c r="N193" s="10">
        <v>3404</v>
      </c>
      <c r="O193" s="10"/>
      <c r="P193" s="8"/>
      <c r="Q193" s="6"/>
      <c r="R193" s="6"/>
      <c r="S193" t="b">
        <v>0</v>
      </c>
      <c r="T193" s="6"/>
      <c r="U193" s="6">
        <v>74083</v>
      </c>
      <c r="V193" s="6"/>
      <c r="W193" s="6"/>
      <c r="X193" s="6"/>
      <c r="Y193" s="4" t="s">
        <v>857</v>
      </c>
    </row>
    <row r="194" spans="1:25">
      <c r="A194" s="12">
        <v>100020084</v>
      </c>
      <c r="B194" s="12">
        <v>2</v>
      </c>
      <c r="C194" s="12" t="s">
        <v>655</v>
      </c>
      <c r="D194" s="12"/>
      <c r="E194" s="12"/>
      <c r="F194" s="12"/>
      <c r="G194" s="12"/>
      <c r="H194" s="12">
        <v>100020085</v>
      </c>
      <c r="I194" s="12" t="s">
        <v>858</v>
      </c>
      <c r="J194" s="12"/>
      <c r="K194" s="12" t="s">
        <v>859</v>
      </c>
      <c r="L194" s="12"/>
      <c r="M194" s="13"/>
      <c r="N194" s="10">
        <v>11027</v>
      </c>
      <c r="O194" s="10"/>
      <c r="P194" s="8"/>
      <c r="Q194" s="6"/>
      <c r="R194" s="6"/>
      <c r="S194" t="b">
        <v>0</v>
      </c>
      <c r="T194" s="6"/>
      <c r="U194" s="6">
        <v>74084</v>
      </c>
      <c r="V194" s="6"/>
      <c r="W194" s="6"/>
      <c r="X194" s="6"/>
      <c r="Y194" s="4" t="s">
        <v>860</v>
      </c>
    </row>
    <row r="195" spans="1:25">
      <c r="A195" s="12">
        <v>100020085</v>
      </c>
      <c r="B195" s="12">
        <v>2</v>
      </c>
      <c r="C195" s="12" t="s">
        <v>655</v>
      </c>
      <c r="D195" s="12"/>
      <c r="E195" s="12"/>
      <c r="F195" s="12"/>
      <c r="G195" s="12"/>
      <c r="H195" s="12">
        <v>100020086</v>
      </c>
      <c r="I195" s="12" t="s">
        <v>861</v>
      </c>
      <c r="J195" s="12"/>
      <c r="K195" s="12" t="s">
        <v>862</v>
      </c>
      <c r="L195" s="12"/>
      <c r="M195" s="13"/>
      <c r="N195" s="10">
        <v>3204</v>
      </c>
      <c r="O195" s="10"/>
      <c r="P195" s="8"/>
      <c r="Q195" s="6"/>
      <c r="R195" s="6"/>
      <c r="S195" t="b">
        <v>0</v>
      </c>
      <c r="T195" s="6"/>
      <c r="U195" s="6">
        <v>74085</v>
      </c>
      <c r="V195" s="6"/>
      <c r="W195" s="6"/>
      <c r="X195" s="6"/>
      <c r="Y195" s="4" t="s">
        <v>863</v>
      </c>
    </row>
    <row r="196" spans="1:25">
      <c r="A196" s="12">
        <v>100020086</v>
      </c>
      <c r="B196" s="12">
        <v>2</v>
      </c>
      <c r="C196" s="12" t="s">
        <v>655</v>
      </c>
      <c r="D196" s="12"/>
      <c r="E196" s="12"/>
      <c r="F196" s="12"/>
      <c r="G196" s="12"/>
      <c r="H196" s="12">
        <v>100020087</v>
      </c>
      <c r="I196" s="12" t="s">
        <v>864</v>
      </c>
      <c r="J196" s="12"/>
      <c r="K196" s="12" t="s">
        <v>865</v>
      </c>
      <c r="L196" s="12"/>
      <c r="M196" s="13"/>
      <c r="N196" s="10">
        <v>3304</v>
      </c>
      <c r="O196" s="10"/>
      <c r="P196" s="8"/>
      <c r="Q196" s="6"/>
      <c r="R196" s="6"/>
      <c r="S196" t="b">
        <v>0</v>
      </c>
      <c r="T196" s="6"/>
      <c r="U196" s="6">
        <v>74086</v>
      </c>
      <c r="V196" s="6"/>
      <c r="W196" s="6"/>
      <c r="X196" s="6"/>
      <c r="Y196" s="4" t="s">
        <v>866</v>
      </c>
    </row>
    <row r="197" spans="1:25">
      <c r="A197" s="12">
        <v>100020087</v>
      </c>
      <c r="B197" s="12">
        <v>2</v>
      </c>
      <c r="C197" s="12" t="s">
        <v>655</v>
      </c>
      <c r="D197" s="12"/>
      <c r="E197" s="12"/>
      <c r="F197" s="12"/>
      <c r="G197" s="12"/>
      <c r="H197" s="12">
        <v>100020088</v>
      </c>
      <c r="I197" s="12" t="s">
        <v>867</v>
      </c>
      <c r="J197" s="12"/>
      <c r="K197" s="12" t="s">
        <v>856</v>
      </c>
      <c r="L197" s="12"/>
      <c r="M197" s="13"/>
      <c r="N197" s="10">
        <v>3204</v>
      </c>
      <c r="O197" s="10"/>
      <c r="P197" s="8"/>
      <c r="Q197" s="6"/>
      <c r="R197" s="6"/>
      <c r="S197" t="b">
        <v>0</v>
      </c>
      <c r="T197" s="6"/>
      <c r="U197" s="6">
        <v>74087</v>
      </c>
      <c r="V197" s="6"/>
      <c r="W197" s="6"/>
      <c r="X197" s="6"/>
      <c r="Y197" s="4" t="s">
        <v>868</v>
      </c>
    </row>
    <row r="198" spans="1:25">
      <c r="A198" s="12">
        <v>100020088</v>
      </c>
      <c r="B198" s="12">
        <v>2</v>
      </c>
      <c r="C198" s="12" t="s">
        <v>655</v>
      </c>
      <c r="D198" s="12"/>
      <c r="E198" s="12"/>
      <c r="F198" s="12"/>
      <c r="G198" s="12"/>
      <c r="H198" s="12">
        <v>100020089</v>
      </c>
      <c r="I198" s="12" t="s">
        <v>869</v>
      </c>
      <c r="J198" s="12"/>
      <c r="K198" s="12" t="s">
        <v>870</v>
      </c>
      <c r="L198" s="12"/>
      <c r="M198" s="13"/>
      <c r="N198" s="10">
        <v>11027</v>
      </c>
      <c r="O198" s="10"/>
      <c r="P198" s="8"/>
      <c r="Q198" s="6"/>
      <c r="R198" s="6"/>
      <c r="S198" t="b">
        <v>0</v>
      </c>
      <c r="T198" s="6"/>
      <c r="U198" s="6">
        <v>74088</v>
      </c>
      <c r="V198" s="6"/>
      <c r="W198" s="6"/>
      <c r="X198" s="6"/>
      <c r="Y198" s="4" t="s">
        <v>775</v>
      </c>
    </row>
    <row r="199" spans="1:25">
      <c r="A199" s="12">
        <v>100020089</v>
      </c>
      <c r="B199" s="12">
        <v>2</v>
      </c>
      <c r="C199" s="12" t="s">
        <v>655</v>
      </c>
      <c r="D199" s="12"/>
      <c r="E199" s="12"/>
      <c r="F199" s="12"/>
      <c r="G199" s="12"/>
      <c r="H199" s="12">
        <v>100020090</v>
      </c>
      <c r="I199" s="12" t="s">
        <v>776</v>
      </c>
      <c r="J199" s="12"/>
      <c r="K199" s="12" t="s">
        <v>870</v>
      </c>
      <c r="L199" s="12"/>
      <c r="M199" s="13"/>
      <c r="N199" s="10">
        <v>3018</v>
      </c>
      <c r="O199" s="10"/>
      <c r="P199" s="8"/>
      <c r="Q199" s="6"/>
      <c r="R199" s="6"/>
      <c r="S199" t="b">
        <v>0</v>
      </c>
      <c r="T199" s="6"/>
      <c r="U199" s="6">
        <v>74089</v>
      </c>
      <c r="V199" s="6"/>
      <c r="W199" s="6"/>
      <c r="X199" s="6"/>
      <c r="Y199" s="4" t="s">
        <v>778</v>
      </c>
    </row>
    <row r="200" spans="1:25">
      <c r="A200" s="12">
        <v>100020090</v>
      </c>
      <c r="B200" s="12">
        <v>2</v>
      </c>
      <c r="C200" s="12" t="s">
        <v>655</v>
      </c>
      <c r="D200" s="12"/>
      <c r="E200" s="12"/>
      <c r="F200" s="12"/>
      <c r="G200" s="12"/>
      <c r="H200" s="12">
        <v>100020091</v>
      </c>
      <c r="I200" s="12" t="s">
        <v>779</v>
      </c>
      <c r="J200" s="12"/>
      <c r="K200" s="12" t="s">
        <v>871</v>
      </c>
      <c r="L200" s="12"/>
      <c r="M200" s="13"/>
      <c r="N200" s="10">
        <v>3019</v>
      </c>
      <c r="O200" s="10"/>
      <c r="P200" s="8"/>
      <c r="Q200" s="6"/>
      <c r="R200" s="6"/>
      <c r="S200" t="b">
        <v>0</v>
      </c>
      <c r="T200" s="6"/>
      <c r="U200" s="6">
        <v>74090</v>
      </c>
      <c r="V200" s="6"/>
      <c r="W200" s="6"/>
      <c r="X200" s="6"/>
      <c r="Y200" s="4" t="s">
        <v>872</v>
      </c>
    </row>
    <row r="201" spans="1:25">
      <c r="A201" s="12">
        <v>100020091</v>
      </c>
      <c r="B201" s="12">
        <v>2</v>
      </c>
      <c r="C201" s="12" t="s">
        <v>655</v>
      </c>
      <c r="D201" s="12"/>
      <c r="E201" s="12"/>
      <c r="F201" s="12"/>
      <c r="G201" s="12"/>
      <c r="H201" s="12">
        <v>100020092</v>
      </c>
      <c r="I201" s="12" t="s">
        <v>873</v>
      </c>
      <c r="J201" s="12"/>
      <c r="K201" s="12" t="s">
        <v>856</v>
      </c>
      <c r="L201" s="12"/>
      <c r="M201" s="13"/>
      <c r="N201" s="10">
        <v>3304</v>
      </c>
      <c r="O201" s="10"/>
      <c r="P201" s="8"/>
      <c r="Q201" s="6"/>
      <c r="R201" s="6"/>
      <c r="S201" t="b">
        <v>0</v>
      </c>
      <c r="T201" s="6"/>
      <c r="U201" s="6">
        <v>74091</v>
      </c>
      <c r="V201" s="6"/>
      <c r="W201" s="6"/>
      <c r="X201" s="6"/>
      <c r="Y201" s="4" t="s">
        <v>874</v>
      </c>
    </row>
    <row r="202" spans="1:25">
      <c r="A202" s="12">
        <v>100020092</v>
      </c>
      <c r="B202" s="12">
        <v>2</v>
      </c>
      <c r="C202" s="12" t="s">
        <v>655</v>
      </c>
      <c r="D202" s="12"/>
      <c r="E202" s="12"/>
      <c r="F202" s="12"/>
      <c r="G202" s="12"/>
      <c r="H202" s="12">
        <v>100020093</v>
      </c>
      <c r="I202" s="12" t="s">
        <v>875</v>
      </c>
      <c r="J202" s="12"/>
      <c r="K202" s="12" t="s">
        <v>865</v>
      </c>
      <c r="L202" s="12"/>
      <c r="M202" s="13"/>
      <c r="N202" s="10">
        <v>11027</v>
      </c>
      <c r="O202" s="10"/>
      <c r="P202" s="8"/>
      <c r="Q202" s="6"/>
      <c r="R202" s="6"/>
      <c r="S202" t="b">
        <v>0</v>
      </c>
      <c r="T202" s="6"/>
      <c r="U202" s="6">
        <v>74092</v>
      </c>
      <c r="V202" s="6"/>
      <c r="W202" s="6"/>
      <c r="X202" s="6"/>
      <c r="Y202" s="4" t="s">
        <v>876</v>
      </c>
    </row>
    <row r="203" spans="1:25">
      <c r="A203" s="12">
        <v>100020093</v>
      </c>
      <c r="B203" s="12">
        <v>2</v>
      </c>
      <c r="C203" s="12" t="s">
        <v>655</v>
      </c>
      <c r="D203" s="12"/>
      <c r="E203" s="12"/>
      <c r="F203" s="12"/>
      <c r="G203" s="12"/>
      <c r="H203" s="12">
        <v>100020094</v>
      </c>
      <c r="I203" s="12" t="s">
        <v>877</v>
      </c>
      <c r="J203" s="12"/>
      <c r="K203" s="12" t="s">
        <v>878</v>
      </c>
      <c r="L203" s="12"/>
      <c r="M203" s="13"/>
      <c r="N203" s="10">
        <v>3204</v>
      </c>
      <c r="O203" s="10"/>
      <c r="P203" s="8"/>
      <c r="Q203" s="6"/>
      <c r="R203" s="6"/>
      <c r="S203" t="b">
        <v>0</v>
      </c>
      <c r="T203" s="6"/>
      <c r="U203" s="6">
        <v>74093</v>
      </c>
      <c r="V203" s="6"/>
      <c r="W203" s="6"/>
      <c r="X203" s="6"/>
      <c r="Y203" s="4" t="s">
        <v>879</v>
      </c>
    </row>
    <row r="204" spans="1:25">
      <c r="A204" s="12">
        <v>100020094</v>
      </c>
      <c r="B204" s="12">
        <v>2</v>
      </c>
      <c r="C204" s="12" t="s">
        <v>655</v>
      </c>
      <c r="D204" s="12"/>
      <c r="E204" s="12"/>
      <c r="F204" s="12"/>
      <c r="G204" s="12"/>
      <c r="H204" s="12">
        <v>100020095</v>
      </c>
      <c r="I204" s="12" t="s">
        <v>880</v>
      </c>
      <c r="J204" s="12"/>
      <c r="K204" s="12" t="s">
        <v>881</v>
      </c>
      <c r="L204" s="12"/>
      <c r="M204" s="13"/>
      <c r="N204" s="10">
        <v>11027</v>
      </c>
      <c r="O204" s="10"/>
      <c r="P204" s="8"/>
      <c r="Q204" s="6"/>
      <c r="R204" s="6"/>
      <c r="S204" t="b">
        <v>0</v>
      </c>
      <c r="T204" s="6"/>
      <c r="U204" s="6">
        <v>74094</v>
      </c>
      <c r="V204" s="6"/>
      <c r="W204" s="6"/>
      <c r="X204" s="6"/>
      <c r="Y204" s="4" t="s">
        <v>882</v>
      </c>
    </row>
    <row r="205" spans="1:25">
      <c r="A205" s="12">
        <v>100020095</v>
      </c>
      <c r="B205" s="12">
        <v>2</v>
      </c>
      <c r="C205" s="12" t="s">
        <v>655</v>
      </c>
      <c r="D205" s="12"/>
      <c r="E205" s="12"/>
      <c r="F205" s="12"/>
      <c r="G205" s="12"/>
      <c r="H205" s="12">
        <v>100020096</v>
      </c>
      <c r="I205" s="12" t="s">
        <v>883</v>
      </c>
      <c r="J205" s="12"/>
      <c r="K205" s="12" t="s">
        <v>856</v>
      </c>
      <c r="L205" s="12"/>
      <c r="M205" s="13"/>
      <c r="N205" s="10">
        <v>3304</v>
      </c>
      <c r="O205" s="10"/>
      <c r="P205" s="8"/>
      <c r="Q205" s="6"/>
      <c r="R205" s="6"/>
      <c r="S205" t="b">
        <v>0</v>
      </c>
      <c r="T205" s="6"/>
      <c r="U205" s="6">
        <v>74095</v>
      </c>
      <c r="V205" s="6"/>
      <c r="W205" s="6"/>
      <c r="X205" s="6"/>
      <c r="Y205" s="4" t="s">
        <v>884</v>
      </c>
    </row>
    <row r="206" spans="1:25">
      <c r="A206" s="12">
        <v>100020096</v>
      </c>
      <c r="B206" s="12">
        <v>2</v>
      </c>
      <c r="C206" s="12" t="s">
        <v>655</v>
      </c>
      <c r="D206" s="12"/>
      <c r="E206" s="12"/>
      <c r="F206" s="12"/>
      <c r="G206" s="12"/>
      <c r="H206" s="12">
        <v>100020097</v>
      </c>
      <c r="I206" s="12" t="s">
        <v>885</v>
      </c>
      <c r="J206" s="12"/>
      <c r="K206" s="12" t="s">
        <v>865</v>
      </c>
      <c r="L206" s="12"/>
      <c r="M206" s="13"/>
      <c r="N206" s="10">
        <v>11027</v>
      </c>
      <c r="O206" s="10"/>
      <c r="P206" s="8"/>
      <c r="Q206" s="6"/>
      <c r="R206" s="6"/>
      <c r="S206" t="b">
        <v>0</v>
      </c>
      <c r="T206" s="6"/>
      <c r="U206" s="6">
        <v>74096</v>
      </c>
      <c r="V206" s="6"/>
      <c r="W206" s="6"/>
      <c r="X206" s="6"/>
      <c r="Y206" s="4" t="s">
        <v>886</v>
      </c>
    </row>
    <row r="207" spans="1:25">
      <c r="A207" s="12">
        <v>100020097</v>
      </c>
      <c r="B207" s="12">
        <v>2</v>
      </c>
      <c r="C207" s="12" t="s">
        <v>655</v>
      </c>
      <c r="D207" s="12"/>
      <c r="E207" s="12"/>
      <c r="F207" s="12"/>
      <c r="G207" s="12"/>
      <c r="H207" s="12">
        <v>100020098</v>
      </c>
      <c r="I207" s="12" t="s">
        <v>887</v>
      </c>
      <c r="J207" s="12"/>
      <c r="K207" s="12" t="s">
        <v>878</v>
      </c>
      <c r="L207" s="12"/>
      <c r="M207" s="13"/>
      <c r="N207" s="10">
        <v>3204</v>
      </c>
      <c r="O207" s="10"/>
      <c r="P207" s="8"/>
      <c r="Q207" s="6"/>
      <c r="R207" s="6"/>
      <c r="S207" t="b">
        <v>0</v>
      </c>
      <c r="T207" s="6"/>
      <c r="U207" s="6">
        <v>74097</v>
      </c>
      <c r="V207" s="6"/>
      <c r="W207" s="6"/>
      <c r="X207" s="6"/>
      <c r="Y207" s="4" t="s">
        <v>888</v>
      </c>
    </row>
    <row r="208" spans="1:25">
      <c r="A208" s="12">
        <v>100020098</v>
      </c>
      <c r="B208" s="12">
        <v>2</v>
      </c>
      <c r="C208" s="12" t="s">
        <v>655</v>
      </c>
      <c r="D208" s="12"/>
      <c r="E208" s="12"/>
      <c r="F208" s="12"/>
      <c r="G208" s="12"/>
      <c r="H208" s="12">
        <v>100020099</v>
      </c>
      <c r="I208" s="12" t="s">
        <v>889</v>
      </c>
      <c r="J208" s="12"/>
      <c r="K208" s="12" t="s">
        <v>890</v>
      </c>
      <c r="L208" s="12"/>
      <c r="M208" s="13"/>
      <c r="N208" s="10">
        <v>11027</v>
      </c>
      <c r="O208" s="10"/>
      <c r="P208" s="8"/>
      <c r="Q208" s="6"/>
      <c r="R208" s="6"/>
      <c r="S208" t="b">
        <v>0</v>
      </c>
      <c r="T208" s="6"/>
      <c r="U208" s="6">
        <v>74098</v>
      </c>
      <c r="V208" s="6"/>
      <c r="W208" s="6"/>
      <c r="X208" s="6"/>
      <c r="Y208" s="4" t="s">
        <v>891</v>
      </c>
    </row>
    <row r="209" spans="1:25">
      <c r="A209" s="12">
        <v>100020099</v>
      </c>
      <c r="B209" s="12">
        <v>2</v>
      </c>
      <c r="C209" s="12" t="s">
        <v>655</v>
      </c>
      <c r="D209" s="12"/>
      <c r="E209" s="12"/>
      <c r="F209" s="12"/>
      <c r="G209" s="12"/>
      <c r="H209" s="12">
        <v>100020100</v>
      </c>
      <c r="I209" s="12" t="s">
        <v>892</v>
      </c>
      <c r="J209" s="12"/>
      <c r="K209" s="12" t="s">
        <v>893</v>
      </c>
      <c r="L209" s="12"/>
      <c r="M209" s="13"/>
      <c r="N209" s="10">
        <v>3304</v>
      </c>
      <c r="O209" s="10"/>
      <c r="P209" s="8"/>
      <c r="Q209" s="6"/>
      <c r="R209" s="6"/>
      <c r="S209" t="b">
        <v>0</v>
      </c>
      <c r="T209" s="6"/>
      <c r="U209" s="6">
        <v>74099</v>
      </c>
      <c r="V209" s="6"/>
      <c r="W209" s="6"/>
      <c r="X209" s="6"/>
      <c r="Y209" s="4" t="s">
        <v>894</v>
      </c>
    </row>
    <row r="210" spans="1:25">
      <c r="A210" s="12">
        <v>100020100</v>
      </c>
      <c r="B210" s="12">
        <v>2</v>
      </c>
      <c r="C210" s="12" t="s">
        <v>655</v>
      </c>
      <c r="D210" s="12"/>
      <c r="E210" s="12"/>
      <c r="F210" s="12"/>
      <c r="G210" s="12"/>
      <c r="H210" s="12">
        <v>100020101</v>
      </c>
      <c r="I210" s="12" t="s">
        <v>895</v>
      </c>
      <c r="J210" s="12"/>
      <c r="K210" s="12" t="s">
        <v>896</v>
      </c>
      <c r="L210" s="12"/>
      <c r="M210" s="13"/>
      <c r="N210" s="10">
        <v>11046</v>
      </c>
      <c r="O210" s="10"/>
      <c r="P210" s="8"/>
      <c r="Q210" s="6"/>
      <c r="R210" s="6"/>
      <c r="S210" t="b">
        <v>0</v>
      </c>
      <c r="T210" s="6"/>
      <c r="U210" s="6">
        <v>74100</v>
      </c>
      <c r="V210" s="6"/>
      <c r="W210" s="6"/>
      <c r="X210" s="6"/>
      <c r="Y210" s="4" t="s">
        <v>897</v>
      </c>
    </row>
    <row r="211" spans="1:25">
      <c r="A211" s="12">
        <v>100020101</v>
      </c>
      <c r="B211" s="12">
        <v>2</v>
      </c>
      <c r="C211" s="12" t="s">
        <v>655</v>
      </c>
      <c r="D211" s="12"/>
      <c r="E211" s="12"/>
      <c r="F211" s="12"/>
      <c r="G211" s="12"/>
      <c r="H211" s="12">
        <v>100020102</v>
      </c>
      <c r="I211" s="12" t="s">
        <v>898</v>
      </c>
      <c r="J211" s="12"/>
      <c r="K211" s="12" t="s">
        <v>899</v>
      </c>
      <c r="L211" s="12"/>
      <c r="M211" s="13"/>
      <c r="N211" s="10">
        <v>11047</v>
      </c>
      <c r="O211" s="10"/>
      <c r="P211" s="8"/>
      <c r="Q211" s="6"/>
      <c r="R211" s="6"/>
      <c r="S211" t="b">
        <v>0</v>
      </c>
      <c r="T211" s="6"/>
      <c r="U211" s="6">
        <v>74101</v>
      </c>
      <c r="V211" s="6"/>
      <c r="W211" s="6"/>
      <c r="X211" s="6"/>
      <c r="Y211" s="4" t="s">
        <v>900</v>
      </c>
    </row>
    <row r="212" spans="1:25">
      <c r="A212" s="12">
        <v>100020102</v>
      </c>
      <c r="B212" s="12">
        <v>2</v>
      </c>
      <c r="C212" s="12" t="s">
        <v>655</v>
      </c>
      <c r="D212" s="12"/>
      <c r="E212" s="12"/>
      <c r="F212" s="12"/>
      <c r="G212" s="12"/>
      <c r="H212" s="12">
        <v>100020103</v>
      </c>
      <c r="I212" s="12" t="s">
        <v>901</v>
      </c>
      <c r="J212" s="12"/>
      <c r="K212" s="12" t="s">
        <v>902</v>
      </c>
      <c r="L212" s="12"/>
      <c r="M212" s="13"/>
      <c r="N212" s="10">
        <v>3408</v>
      </c>
      <c r="O212" s="10"/>
      <c r="P212" s="8"/>
      <c r="Q212" s="6"/>
      <c r="R212" s="6"/>
      <c r="S212" t="b">
        <v>0</v>
      </c>
      <c r="T212" s="6"/>
      <c r="U212" s="6">
        <v>74102</v>
      </c>
      <c r="V212" s="6"/>
      <c r="W212" s="6"/>
      <c r="X212" s="6"/>
      <c r="Y212" s="4" t="s">
        <v>903</v>
      </c>
    </row>
    <row r="213" spans="1:25">
      <c r="A213" s="12">
        <v>100020103</v>
      </c>
      <c r="B213" s="12">
        <v>2</v>
      </c>
      <c r="C213" s="12" t="s">
        <v>655</v>
      </c>
      <c r="D213" s="12"/>
      <c r="E213" s="12"/>
      <c r="F213" s="12"/>
      <c r="G213" s="12"/>
      <c r="H213" s="12">
        <v>100020104</v>
      </c>
      <c r="I213" s="12" t="s">
        <v>904</v>
      </c>
      <c r="J213" s="12"/>
      <c r="K213" s="12" t="s">
        <v>905</v>
      </c>
      <c r="L213" s="12"/>
      <c r="M213" s="13"/>
      <c r="N213" s="10">
        <v>11043</v>
      </c>
      <c r="O213" s="10"/>
      <c r="P213" s="8"/>
      <c r="Q213" s="6"/>
      <c r="R213" s="6"/>
      <c r="S213" t="b">
        <v>0</v>
      </c>
      <c r="T213" s="6"/>
      <c r="U213" s="6">
        <v>74103</v>
      </c>
      <c r="V213" s="6"/>
      <c r="W213" s="6"/>
      <c r="X213" s="6"/>
      <c r="Y213" s="4" t="s">
        <v>906</v>
      </c>
    </row>
    <row r="214" spans="1:25">
      <c r="A214" s="12">
        <v>100020104</v>
      </c>
      <c r="B214" s="12">
        <v>2</v>
      </c>
      <c r="C214" s="12" t="s">
        <v>655</v>
      </c>
      <c r="D214" s="12"/>
      <c r="E214" s="12"/>
      <c r="F214" s="12"/>
      <c r="G214" s="12"/>
      <c r="H214" s="12">
        <v>100020105</v>
      </c>
      <c r="I214" s="12" t="s">
        <v>907</v>
      </c>
      <c r="J214" s="12"/>
      <c r="K214" s="12" t="s">
        <v>908</v>
      </c>
      <c r="L214" s="12"/>
      <c r="M214" s="13"/>
      <c r="N214" s="10">
        <v>3208</v>
      </c>
      <c r="O214" s="10"/>
      <c r="P214" s="8"/>
      <c r="Q214" s="6"/>
      <c r="R214" s="6"/>
      <c r="S214" t="b">
        <v>0</v>
      </c>
      <c r="T214" s="6"/>
      <c r="U214" s="6">
        <v>74104</v>
      </c>
      <c r="V214" s="6"/>
      <c r="W214" s="6"/>
      <c r="X214" s="6"/>
      <c r="Y214" s="4" t="s">
        <v>909</v>
      </c>
    </row>
    <row r="215" spans="1:25">
      <c r="A215" s="12">
        <v>100020105</v>
      </c>
      <c r="B215" s="12">
        <v>2</v>
      </c>
      <c r="C215" s="12" t="s">
        <v>655</v>
      </c>
      <c r="D215" s="12"/>
      <c r="E215" s="12"/>
      <c r="F215" s="12"/>
      <c r="G215" s="12"/>
      <c r="H215" s="12">
        <v>100020106</v>
      </c>
      <c r="I215" s="12" t="s">
        <v>910</v>
      </c>
      <c r="J215" s="12"/>
      <c r="K215" s="12" t="s">
        <v>902</v>
      </c>
      <c r="L215" s="12"/>
      <c r="M215" s="13"/>
      <c r="N215" s="10">
        <v>3305</v>
      </c>
      <c r="O215" s="10"/>
      <c r="P215" s="8"/>
      <c r="Q215" s="6"/>
      <c r="R215" s="6"/>
      <c r="S215" t="b">
        <v>0</v>
      </c>
      <c r="T215" s="6"/>
      <c r="U215" s="6">
        <v>74105</v>
      </c>
      <c r="V215" s="6"/>
      <c r="W215" s="6"/>
      <c r="X215" s="6"/>
      <c r="Y215" s="4" t="s">
        <v>911</v>
      </c>
    </row>
    <row r="216" spans="1:25">
      <c r="A216" s="12">
        <v>100020106</v>
      </c>
      <c r="B216" s="12">
        <v>2</v>
      </c>
      <c r="C216" s="12" t="s">
        <v>655</v>
      </c>
      <c r="D216" s="12"/>
      <c r="E216" s="12"/>
      <c r="F216" s="12"/>
      <c r="G216" s="12"/>
      <c r="H216" s="12">
        <v>100020107</v>
      </c>
      <c r="I216" s="12" t="s">
        <v>912</v>
      </c>
      <c r="J216" s="12"/>
      <c r="K216" s="12" t="s">
        <v>905</v>
      </c>
      <c r="L216" s="12"/>
      <c r="M216" s="13"/>
      <c r="N216" s="10">
        <v>11043</v>
      </c>
      <c r="O216" s="10"/>
      <c r="P216" s="8"/>
      <c r="Q216" s="6"/>
      <c r="R216" s="6"/>
      <c r="S216" t="b">
        <v>0</v>
      </c>
      <c r="T216" s="6"/>
      <c r="U216" s="6">
        <v>74106</v>
      </c>
      <c r="V216" s="6"/>
      <c r="W216" s="6"/>
      <c r="X216" s="6"/>
      <c r="Y216" s="4" t="s">
        <v>913</v>
      </c>
    </row>
    <row r="217" spans="1:25">
      <c r="A217" s="12">
        <v>100020107</v>
      </c>
      <c r="B217" s="12">
        <v>2</v>
      </c>
      <c r="C217" s="12" t="s">
        <v>655</v>
      </c>
      <c r="D217" s="12"/>
      <c r="E217" s="12"/>
      <c r="F217" s="12"/>
      <c r="G217" s="12"/>
      <c r="H217" s="12">
        <v>100020108</v>
      </c>
      <c r="I217" s="12" t="s">
        <v>914</v>
      </c>
      <c r="J217" s="12"/>
      <c r="K217" s="12" t="s">
        <v>915</v>
      </c>
      <c r="L217" s="12"/>
      <c r="M217" s="13"/>
      <c r="N217" s="10">
        <v>3208</v>
      </c>
      <c r="O217" s="10"/>
      <c r="P217" s="8"/>
      <c r="Q217" s="6"/>
      <c r="R217" s="6"/>
      <c r="S217" t="b">
        <v>0</v>
      </c>
      <c r="T217" s="6"/>
      <c r="U217" s="6">
        <v>74107</v>
      </c>
      <c r="V217" s="6"/>
      <c r="W217" s="6"/>
      <c r="X217" s="6"/>
      <c r="Y217" s="4" t="s">
        <v>909</v>
      </c>
    </row>
    <row r="218" spans="1:25">
      <c r="A218" s="12">
        <v>100020108</v>
      </c>
      <c r="B218" s="12">
        <v>2</v>
      </c>
      <c r="C218" s="12" t="s">
        <v>655</v>
      </c>
      <c r="D218" s="12"/>
      <c r="E218" s="12"/>
      <c r="F218" s="12"/>
      <c r="G218" s="12"/>
      <c r="H218" s="12">
        <v>100020109</v>
      </c>
      <c r="I218" s="12" t="s">
        <v>910</v>
      </c>
      <c r="J218" s="12"/>
      <c r="K218" s="12" t="s">
        <v>902</v>
      </c>
      <c r="L218" s="12"/>
      <c r="M218" s="13"/>
      <c r="N218" s="10">
        <v>3305</v>
      </c>
      <c r="O218" s="10"/>
      <c r="P218" s="8"/>
      <c r="Q218" s="6"/>
      <c r="R218" s="6"/>
      <c r="S218" t="b">
        <v>0</v>
      </c>
      <c r="T218" s="6"/>
      <c r="U218" s="6">
        <v>74108</v>
      </c>
      <c r="V218" s="6"/>
      <c r="W218" s="6"/>
      <c r="X218" s="6"/>
      <c r="Y218" s="4" t="s">
        <v>916</v>
      </c>
    </row>
    <row r="219" spans="1:25">
      <c r="A219" s="12">
        <v>100020109</v>
      </c>
      <c r="B219" s="12">
        <v>2</v>
      </c>
      <c r="C219" s="12" t="s">
        <v>655</v>
      </c>
      <c r="D219" s="12"/>
      <c r="E219" s="12"/>
      <c r="F219" s="12"/>
      <c r="G219" s="12"/>
      <c r="H219" s="12">
        <v>100020110</v>
      </c>
      <c r="I219" s="12" t="s">
        <v>917</v>
      </c>
      <c r="J219" s="12"/>
      <c r="K219" s="12" t="s">
        <v>905</v>
      </c>
      <c r="L219" s="12"/>
      <c r="M219" s="13"/>
      <c r="N219" s="10">
        <v>11043</v>
      </c>
      <c r="O219" s="10"/>
      <c r="P219" s="8"/>
      <c r="Q219" s="6"/>
      <c r="R219" s="6"/>
      <c r="S219" t="b">
        <v>0</v>
      </c>
      <c r="T219" s="6"/>
      <c r="U219" s="6">
        <v>74109</v>
      </c>
      <c r="V219" s="6"/>
      <c r="W219" s="6"/>
      <c r="X219" s="6"/>
      <c r="Y219" s="4" t="s">
        <v>918</v>
      </c>
    </row>
    <row r="220" spans="1:25">
      <c r="A220" s="12">
        <v>100020110</v>
      </c>
      <c r="B220" s="12">
        <v>2</v>
      </c>
      <c r="C220" s="12" t="s">
        <v>655</v>
      </c>
      <c r="D220" s="12"/>
      <c r="E220" s="12"/>
      <c r="F220" s="12"/>
      <c r="G220" s="12"/>
      <c r="H220" s="12">
        <v>100020111</v>
      </c>
      <c r="I220" s="12" t="s">
        <v>919</v>
      </c>
      <c r="J220" s="12"/>
      <c r="K220" s="12" t="s">
        <v>920</v>
      </c>
      <c r="L220" s="12"/>
      <c r="M220" s="13"/>
      <c r="N220" s="10">
        <v>3208</v>
      </c>
      <c r="O220" s="10"/>
      <c r="P220" s="8"/>
      <c r="Q220" s="6"/>
      <c r="R220" s="6"/>
      <c r="S220" t="b">
        <v>0</v>
      </c>
      <c r="T220" s="6"/>
      <c r="U220" s="6">
        <v>74110</v>
      </c>
      <c r="V220" s="6"/>
      <c r="W220" s="6"/>
      <c r="X220" s="6"/>
      <c r="Y220" s="4" t="s">
        <v>921</v>
      </c>
    </row>
    <row r="221" spans="1:25">
      <c r="A221" s="12">
        <v>100020111</v>
      </c>
      <c r="B221" s="12">
        <v>2</v>
      </c>
      <c r="C221" s="12" t="s">
        <v>655</v>
      </c>
      <c r="D221" s="12"/>
      <c r="E221" s="12"/>
      <c r="F221" s="12"/>
      <c r="G221" s="12"/>
      <c r="H221" s="12">
        <v>100020112</v>
      </c>
      <c r="I221" s="12" t="s">
        <v>922</v>
      </c>
      <c r="J221" s="12"/>
      <c r="K221" s="12" t="s">
        <v>902</v>
      </c>
      <c r="L221" s="12"/>
      <c r="M221" s="13"/>
      <c r="N221" s="10">
        <v>3305</v>
      </c>
      <c r="O221" s="10"/>
      <c r="P221" s="8"/>
      <c r="Q221" s="6"/>
      <c r="R221" s="6"/>
      <c r="S221" t="b">
        <v>0</v>
      </c>
      <c r="T221" s="6"/>
      <c r="U221" s="6">
        <v>74111</v>
      </c>
      <c r="V221" s="6"/>
      <c r="W221" s="6"/>
      <c r="X221" s="6"/>
      <c r="Y221" s="4" t="s">
        <v>923</v>
      </c>
    </row>
    <row r="222" spans="1:25">
      <c r="A222" s="12">
        <v>100020112</v>
      </c>
      <c r="B222" s="12">
        <v>2</v>
      </c>
      <c r="C222" s="12" t="s">
        <v>655</v>
      </c>
      <c r="D222" s="12"/>
      <c r="E222" s="12"/>
      <c r="F222" s="12"/>
      <c r="G222" s="12"/>
      <c r="H222" s="12">
        <v>100020113</v>
      </c>
      <c r="I222" s="12" t="s">
        <v>924</v>
      </c>
      <c r="J222" s="12"/>
      <c r="K222" s="12" t="s">
        <v>905</v>
      </c>
      <c r="L222" s="12"/>
      <c r="M222" s="13"/>
      <c r="N222" s="10">
        <v>11043</v>
      </c>
      <c r="O222" s="10"/>
      <c r="P222" s="8"/>
      <c r="Q222" s="6"/>
      <c r="R222" s="6"/>
      <c r="S222" t="b">
        <v>0</v>
      </c>
      <c r="T222" s="6"/>
      <c r="U222" s="6">
        <v>74112</v>
      </c>
      <c r="V222" s="6"/>
      <c r="W222" s="6"/>
      <c r="X222" s="6"/>
      <c r="Y222" s="4" t="s">
        <v>925</v>
      </c>
    </row>
    <row r="223" spans="1:25">
      <c r="A223" s="12">
        <v>100020113</v>
      </c>
      <c r="B223" s="12">
        <v>2</v>
      </c>
      <c r="C223" s="12" t="s">
        <v>655</v>
      </c>
      <c r="D223" s="12"/>
      <c r="E223" s="12"/>
      <c r="F223" s="12"/>
      <c r="G223" s="12"/>
      <c r="H223" s="12">
        <v>100020114</v>
      </c>
      <c r="I223" s="12" t="s">
        <v>926</v>
      </c>
      <c r="J223" s="12"/>
      <c r="K223" s="12" t="s">
        <v>902</v>
      </c>
      <c r="L223" s="12"/>
      <c r="M223" s="13"/>
      <c r="N223" s="10">
        <v>3208</v>
      </c>
      <c r="O223" s="10"/>
      <c r="P223" s="8"/>
      <c r="Q223" s="6"/>
      <c r="R223" s="6"/>
      <c r="S223" t="b">
        <v>0</v>
      </c>
      <c r="T223" s="6"/>
      <c r="U223" s="6">
        <v>74113</v>
      </c>
      <c r="V223" s="6"/>
      <c r="W223" s="6"/>
      <c r="X223" s="6"/>
      <c r="Y223" s="4" t="s">
        <v>927</v>
      </c>
    </row>
    <row r="224" spans="1:25">
      <c r="A224" s="12">
        <v>100020114</v>
      </c>
      <c r="B224" s="12">
        <v>2</v>
      </c>
      <c r="C224" s="12" t="s">
        <v>655</v>
      </c>
      <c r="D224" s="12"/>
      <c r="E224" s="12"/>
      <c r="F224" s="12"/>
      <c r="G224" s="12"/>
      <c r="H224" s="12">
        <v>100020115</v>
      </c>
      <c r="I224" s="12" t="s">
        <v>928</v>
      </c>
      <c r="J224" s="12"/>
      <c r="K224" s="12" t="s">
        <v>905</v>
      </c>
      <c r="L224" s="12"/>
      <c r="M224" s="13"/>
      <c r="N224" s="10">
        <v>11043</v>
      </c>
      <c r="O224" s="10"/>
      <c r="P224" s="8"/>
      <c r="Q224" s="6"/>
      <c r="R224" s="6"/>
      <c r="S224" t="b">
        <v>0</v>
      </c>
      <c r="T224" s="6"/>
      <c r="U224" s="6">
        <v>74114</v>
      </c>
      <c r="V224" s="6"/>
      <c r="W224" s="6"/>
      <c r="X224" s="6"/>
      <c r="Y224" s="4" t="s">
        <v>929</v>
      </c>
    </row>
    <row r="225" spans="1:25">
      <c r="A225" s="12">
        <v>100020115</v>
      </c>
      <c r="B225" s="12">
        <v>2</v>
      </c>
      <c r="C225" s="12" t="s">
        <v>655</v>
      </c>
      <c r="D225" s="12"/>
      <c r="E225" s="12"/>
      <c r="F225" s="12"/>
      <c r="G225" s="12"/>
      <c r="H225" s="12">
        <v>100020116</v>
      </c>
      <c r="I225" s="12" t="s">
        <v>930</v>
      </c>
      <c r="J225" s="12"/>
      <c r="K225" s="12" t="s">
        <v>902</v>
      </c>
      <c r="L225" s="12"/>
      <c r="M225" s="13"/>
      <c r="N225" s="10">
        <v>3208</v>
      </c>
      <c r="O225" s="10"/>
      <c r="P225" s="8"/>
      <c r="Q225" s="6"/>
      <c r="R225" s="6"/>
      <c r="S225" t="b">
        <v>0</v>
      </c>
      <c r="T225" s="6"/>
      <c r="U225" s="6">
        <v>74115</v>
      </c>
      <c r="V225" s="6"/>
      <c r="W225" s="6"/>
      <c r="X225" s="6"/>
      <c r="Y225" s="4" t="s">
        <v>931</v>
      </c>
    </row>
    <row r="226" spans="1:25">
      <c r="A226" s="12">
        <v>100020116</v>
      </c>
      <c r="B226" s="12">
        <v>2</v>
      </c>
      <c r="C226" s="12" t="s">
        <v>655</v>
      </c>
      <c r="D226" s="12"/>
      <c r="E226" s="12"/>
      <c r="F226" s="12"/>
      <c r="G226" s="12"/>
      <c r="H226" s="12">
        <v>100020117</v>
      </c>
      <c r="I226" s="12" t="s">
        <v>932</v>
      </c>
      <c r="J226" s="12"/>
      <c r="K226" s="12" t="s">
        <v>905</v>
      </c>
      <c r="L226" s="12"/>
      <c r="M226" s="13"/>
      <c r="N226" s="10">
        <v>11043</v>
      </c>
      <c r="O226" s="10"/>
      <c r="P226" s="8"/>
      <c r="Q226" s="6"/>
      <c r="R226" s="6"/>
      <c r="S226" t="b">
        <v>0</v>
      </c>
      <c r="T226" s="6"/>
      <c r="U226" s="6">
        <v>74116</v>
      </c>
      <c r="V226" s="6"/>
      <c r="W226" s="6"/>
      <c r="X226" s="6"/>
      <c r="Y226" s="4" t="s">
        <v>933</v>
      </c>
    </row>
    <row r="227" spans="1:25">
      <c r="A227" s="12">
        <v>100020117</v>
      </c>
      <c r="B227" s="12">
        <v>2</v>
      </c>
      <c r="C227" s="12" t="s">
        <v>655</v>
      </c>
      <c r="D227" s="12"/>
      <c r="E227" s="12"/>
      <c r="F227" s="12"/>
      <c r="G227" s="12"/>
      <c r="H227" s="12">
        <v>100020118</v>
      </c>
      <c r="I227" s="12" t="s">
        <v>934</v>
      </c>
      <c r="J227" s="12"/>
      <c r="K227" s="12" t="s">
        <v>935</v>
      </c>
      <c r="L227" s="12"/>
      <c r="M227" s="13"/>
      <c r="N227" s="10">
        <v>3208</v>
      </c>
      <c r="O227" s="10"/>
      <c r="P227" s="8"/>
      <c r="Q227" s="6"/>
      <c r="R227" s="6"/>
      <c r="S227" t="b">
        <v>0</v>
      </c>
      <c r="T227" s="6"/>
      <c r="U227" s="6">
        <v>74117</v>
      </c>
      <c r="V227" s="6"/>
      <c r="W227" s="6"/>
      <c r="X227" s="6"/>
      <c r="Y227" s="4" t="s">
        <v>936</v>
      </c>
    </row>
    <row r="228" spans="1:25">
      <c r="A228" s="12">
        <v>100020118</v>
      </c>
      <c r="B228" s="12">
        <v>2</v>
      </c>
      <c r="C228" s="12" t="s">
        <v>655</v>
      </c>
      <c r="D228" s="12"/>
      <c r="E228" s="12"/>
      <c r="F228" s="12"/>
      <c r="G228" s="12"/>
      <c r="H228" s="12">
        <v>100020119</v>
      </c>
      <c r="I228" s="12" t="s">
        <v>937</v>
      </c>
      <c r="J228" s="12"/>
      <c r="K228" s="12" t="s">
        <v>902</v>
      </c>
      <c r="L228" s="12"/>
      <c r="M228" s="13"/>
      <c r="N228" s="10">
        <v>3305</v>
      </c>
      <c r="O228" s="10"/>
      <c r="P228" s="8"/>
      <c r="Q228" s="6"/>
      <c r="R228" s="6"/>
      <c r="S228" t="b">
        <v>0</v>
      </c>
      <c r="T228" s="6"/>
      <c r="U228" s="6">
        <v>74118</v>
      </c>
      <c r="V228" s="6"/>
      <c r="W228" s="6"/>
      <c r="X228" s="6"/>
      <c r="Y228" s="4" t="s">
        <v>938</v>
      </c>
    </row>
    <row r="229" spans="1:25">
      <c r="A229" s="12">
        <v>100020119</v>
      </c>
      <c r="B229" s="12">
        <v>2</v>
      </c>
      <c r="C229" s="12" t="s">
        <v>655</v>
      </c>
      <c r="D229" s="12"/>
      <c r="E229" s="12"/>
      <c r="F229" s="12"/>
      <c r="G229" s="12"/>
      <c r="H229" s="12">
        <v>100020120</v>
      </c>
      <c r="I229" s="12" t="s">
        <v>939</v>
      </c>
      <c r="J229" s="12"/>
      <c r="K229" s="12" t="s">
        <v>905</v>
      </c>
      <c r="L229" s="12"/>
      <c r="M229" s="13"/>
      <c r="N229" s="10">
        <v>11043</v>
      </c>
      <c r="O229" s="10"/>
      <c r="P229" s="8"/>
      <c r="Q229" s="6"/>
      <c r="R229" s="6"/>
      <c r="S229" t="b">
        <v>0</v>
      </c>
      <c r="T229" s="6"/>
      <c r="U229" s="6">
        <v>74119</v>
      </c>
      <c r="V229" s="6"/>
      <c r="W229" s="6"/>
      <c r="X229" s="6"/>
      <c r="Y229" s="4" t="s">
        <v>940</v>
      </c>
    </row>
    <row r="230" spans="1:25">
      <c r="A230" s="12">
        <v>100020120</v>
      </c>
      <c r="B230" s="12">
        <v>2</v>
      </c>
      <c r="C230" s="12" t="s">
        <v>655</v>
      </c>
      <c r="D230" s="12"/>
      <c r="E230" s="12"/>
      <c r="F230" s="12"/>
      <c r="G230" s="12"/>
      <c r="H230" s="12">
        <v>100020121</v>
      </c>
      <c r="I230" s="12" t="s">
        <v>941</v>
      </c>
      <c r="J230" s="12"/>
      <c r="K230" s="12" t="s">
        <v>902</v>
      </c>
      <c r="L230" s="12"/>
      <c r="M230" s="13"/>
      <c r="N230" s="10">
        <v>3208</v>
      </c>
      <c r="O230" s="10"/>
      <c r="P230" s="8"/>
      <c r="Q230" s="6"/>
      <c r="R230" s="6"/>
      <c r="S230" t="b">
        <v>0</v>
      </c>
      <c r="T230" s="6"/>
      <c r="U230" s="6">
        <v>74120</v>
      </c>
      <c r="V230" s="6"/>
      <c r="W230" s="6"/>
      <c r="X230" s="6"/>
      <c r="Y230" s="4" t="s">
        <v>927</v>
      </c>
    </row>
    <row r="231" spans="1:25">
      <c r="A231" s="12">
        <v>100020121</v>
      </c>
      <c r="B231" s="12">
        <v>2</v>
      </c>
      <c r="C231" s="12" t="s">
        <v>655</v>
      </c>
      <c r="D231" s="12"/>
      <c r="E231" s="12"/>
      <c r="F231" s="12"/>
      <c r="G231" s="12"/>
      <c r="H231" s="12">
        <v>100020122</v>
      </c>
      <c r="I231" s="12" t="s">
        <v>928</v>
      </c>
      <c r="J231" s="12"/>
      <c r="K231" s="12" t="s">
        <v>905</v>
      </c>
      <c r="L231" s="12"/>
      <c r="M231" s="13"/>
      <c r="N231" s="10">
        <v>11043</v>
      </c>
      <c r="O231" s="10"/>
      <c r="P231" s="8"/>
      <c r="Q231" s="6"/>
      <c r="R231" s="6"/>
      <c r="S231" t="b">
        <v>0</v>
      </c>
      <c r="T231" s="6"/>
      <c r="U231" s="6">
        <v>74121</v>
      </c>
      <c r="V231" s="6"/>
      <c r="W231" s="6"/>
      <c r="X231" s="6"/>
      <c r="Y231" s="4" t="s">
        <v>942</v>
      </c>
    </row>
    <row r="232" spans="1:25">
      <c r="A232" s="12">
        <v>100020122</v>
      </c>
      <c r="B232" s="12">
        <v>2</v>
      </c>
      <c r="C232" s="12" t="s">
        <v>655</v>
      </c>
      <c r="D232" s="12"/>
      <c r="E232" s="12"/>
      <c r="F232" s="12"/>
      <c r="G232" s="12"/>
      <c r="H232" s="12">
        <v>100020123</v>
      </c>
      <c r="I232" s="12" t="s">
        <v>943</v>
      </c>
      <c r="J232" s="12"/>
      <c r="K232" s="12" t="s">
        <v>902</v>
      </c>
      <c r="L232" s="12"/>
      <c r="M232" s="13"/>
      <c r="N232" s="10">
        <v>3208</v>
      </c>
      <c r="O232" s="10"/>
      <c r="P232" s="8"/>
      <c r="Q232" s="6"/>
      <c r="R232" s="6"/>
      <c r="S232" t="b">
        <v>0</v>
      </c>
      <c r="T232" s="6"/>
      <c r="U232" s="6">
        <v>74122</v>
      </c>
      <c r="V232" s="6"/>
      <c r="W232" s="6"/>
      <c r="X232" s="6"/>
      <c r="Y232" s="4" t="s">
        <v>944</v>
      </c>
    </row>
    <row r="233" spans="1:25">
      <c r="A233" s="12">
        <v>100020123</v>
      </c>
      <c r="B233" s="12">
        <v>2</v>
      </c>
      <c r="C233" s="12" t="s">
        <v>655</v>
      </c>
      <c r="D233" s="12"/>
      <c r="E233" s="12"/>
      <c r="F233" s="12"/>
      <c r="G233" s="12"/>
      <c r="H233" s="12">
        <v>100020124</v>
      </c>
      <c r="I233" s="12" t="s">
        <v>945</v>
      </c>
      <c r="J233" s="12"/>
      <c r="K233" s="12" t="s">
        <v>905</v>
      </c>
      <c r="L233" s="12"/>
      <c r="M233" s="13"/>
      <c r="N233" s="10">
        <v>11043</v>
      </c>
      <c r="O233" s="10"/>
      <c r="P233" s="8"/>
      <c r="Q233" s="6"/>
      <c r="R233" s="6"/>
      <c r="S233" t="b">
        <v>0</v>
      </c>
      <c r="T233" s="6"/>
      <c r="U233" s="6">
        <v>74123</v>
      </c>
      <c r="V233" s="6"/>
      <c r="W233" s="6"/>
      <c r="X233" s="6"/>
      <c r="Y233" s="4" t="s">
        <v>946</v>
      </c>
    </row>
    <row r="234" spans="1:25">
      <c r="A234" s="12">
        <v>100020124</v>
      </c>
      <c r="B234" s="12">
        <v>2</v>
      </c>
      <c r="C234" s="12" t="s">
        <v>655</v>
      </c>
      <c r="D234" s="12"/>
      <c r="E234" s="12"/>
      <c r="F234" s="12"/>
      <c r="G234" s="12"/>
      <c r="H234" s="12">
        <v>100020125</v>
      </c>
      <c r="I234" s="12" t="s">
        <v>947</v>
      </c>
      <c r="J234" s="12"/>
      <c r="K234" s="12" t="s">
        <v>948</v>
      </c>
      <c r="L234" s="12"/>
      <c r="M234" s="13"/>
      <c r="N234" s="10">
        <v>3208</v>
      </c>
      <c r="O234" s="10"/>
      <c r="P234" s="8"/>
      <c r="Q234" s="6"/>
      <c r="R234" s="6"/>
      <c r="S234" t="b">
        <v>0</v>
      </c>
      <c r="T234" s="6"/>
      <c r="U234" s="6">
        <v>74124</v>
      </c>
      <c r="V234" s="6"/>
      <c r="W234" s="6"/>
      <c r="X234" s="6"/>
      <c r="Y234" s="4" t="s">
        <v>949</v>
      </c>
    </row>
    <row r="235" spans="1:25">
      <c r="A235" s="12">
        <v>100020125</v>
      </c>
      <c r="B235" s="12">
        <v>2</v>
      </c>
      <c r="C235" s="12" t="s">
        <v>655</v>
      </c>
      <c r="D235" s="12"/>
      <c r="E235" s="12"/>
      <c r="F235" s="12"/>
      <c r="G235" s="12"/>
      <c r="H235" s="12">
        <v>100020126</v>
      </c>
      <c r="I235" s="12" t="s">
        <v>950</v>
      </c>
      <c r="J235" s="12"/>
      <c r="K235" s="12" t="s">
        <v>902</v>
      </c>
      <c r="L235" s="12"/>
      <c r="M235" s="13"/>
      <c r="N235" s="10">
        <v>3305</v>
      </c>
      <c r="O235" s="10"/>
      <c r="P235" s="8"/>
      <c r="Q235" s="6"/>
      <c r="R235" s="6"/>
      <c r="S235" t="b">
        <v>0</v>
      </c>
      <c r="T235" s="6"/>
      <c r="U235" s="6">
        <v>74125</v>
      </c>
      <c r="V235" s="6"/>
      <c r="W235" s="6"/>
      <c r="X235" s="6"/>
      <c r="Y235" s="4" t="s">
        <v>951</v>
      </c>
    </row>
    <row r="236" spans="1:25">
      <c r="A236" s="12">
        <v>100020126</v>
      </c>
      <c r="B236" s="12">
        <v>2</v>
      </c>
      <c r="C236" s="12" t="s">
        <v>655</v>
      </c>
      <c r="D236" s="12"/>
      <c r="E236" s="12"/>
      <c r="F236" s="12"/>
      <c r="G236" s="12"/>
      <c r="H236" s="12">
        <v>100020127</v>
      </c>
      <c r="I236" s="12" t="s">
        <v>952</v>
      </c>
      <c r="J236" s="12"/>
      <c r="K236" s="12" t="s">
        <v>953</v>
      </c>
      <c r="L236" s="12"/>
      <c r="M236" s="13"/>
      <c r="N236" s="10">
        <v>3407</v>
      </c>
      <c r="O236" s="10"/>
      <c r="P236" s="8"/>
      <c r="Q236" s="6"/>
      <c r="R236" s="6"/>
      <c r="S236" t="b">
        <v>0</v>
      </c>
      <c r="T236" s="6"/>
      <c r="U236" s="6">
        <v>74126</v>
      </c>
      <c r="V236" s="6"/>
      <c r="W236" s="6"/>
      <c r="X236" s="6"/>
      <c r="Y236" s="4" t="s">
        <v>954</v>
      </c>
    </row>
    <row r="237" spans="1:25">
      <c r="A237" s="12">
        <v>100020127</v>
      </c>
      <c r="B237" s="12">
        <v>2</v>
      </c>
      <c r="C237" s="12" t="s">
        <v>655</v>
      </c>
      <c r="D237" s="12"/>
      <c r="E237" s="12"/>
      <c r="F237" s="12"/>
      <c r="G237" s="12"/>
      <c r="H237" s="12">
        <v>100020128</v>
      </c>
      <c r="I237" s="12" t="s">
        <v>955</v>
      </c>
      <c r="J237" s="12"/>
      <c r="K237" s="12" t="s">
        <v>956</v>
      </c>
      <c r="L237" s="12"/>
      <c r="M237" s="13"/>
      <c r="N237" s="10">
        <v>11028</v>
      </c>
      <c r="O237" s="10"/>
      <c r="P237" s="8"/>
      <c r="Q237" s="6"/>
      <c r="R237" s="6"/>
      <c r="S237" t="b">
        <v>0</v>
      </c>
      <c r="T237" s="6"/>
      <c r="U237" s="6">
        <v>74127</v>
      </c>
      <c r="V237" s="6"/>
      <c r="W237" s="6"/>
      <c r="X237" s="6"/>
      <c r="Y237" s="4" t="s">
        <v>957</v>
      </c>
    </row>
    <row r="238" spans="1:25">
      <c r="A238" s="12">
        <v>100020128</v>
      </c>
      <c r="B238" s="12">
        <v>2</v>
      </c>
      <c r="C238" s="12" t="s">
        <v>655</v>
      </c>
      <c r="D238" s="12"/>
      <c r="E238" s="12"/>
      <c r="F238" s="12"/>
      <c r="G238" s="12"/>
      <c r="H238" s="12">
        <v>100020129</v>
      </c>
      <c r="I238" s="12" t="s">
        <v>958</v>
      </c>
      <c r="J238" s="12"/>
      <c r="K238" s="12" t="s">
        <v>959</v>
      </c>
      <c r="L238" s="12"/>
      <c r="M238" s="13"/>
      <c r="N238" s="10">
        <v>3207</v>
      </c>
      <c r="O238" s="10"/>
      <c r="P238" s="8"/>
      <c r="Q238" s="6"/>
      <c r="R238" s="6"/>
      <c r="S238" t="b">
        <v>0</v>
      </c>
      <c r="T238" s="6"/>
      <c r="U238" s="6">
        <v>74128</v>
      </c>
      <c r="V238" s="6"/>
      <c r="W238" s="6"/>
      <c r="X238" s="6"/>
      <c r="Y238" s="4" t="s">
        <v>960</v>
      </c>
    </row>
    <row r="239" spans="1:25">
      <c r="A239" s="12">
        <v>100020129</v>
      </c>
      <c r="B239" s="12">
        <v>2</v>
      </c>
      <c r="C239" s="12" t="s">
        <v>655</v>
      </c>
      <c r="D239" s="12"/>
      <c r="E239" s="12"/>
      <c r="F239" s="12"/>
      <c r="G239" s="12"/>
      <c r="H239" s="12">
        <v>100020130</v>
      </c>
      <c r="I239" s="12" t="s">
        <v>961</v>
      </c>
      <c r="J239" s="12"/>
      <c r="K239" s="12" t="s">
        <v>953</v>
      </c>
      <c r="L239" s="12"/>
      <c r="M239" s="13"/>
      <c r="N239" s="10">
        <v>3306</v>
      </c>
      <c r="O239" s="10"/>
      <c r="P239" s="8"/>
      <c r="Q239" s="6"/>
      <c r="R239" s="6"/>
      <c r="S239" t="b">
        <v>0</v>
      </c>
      <c r="T239" s="6"/>
      <c r="U239" s="6">
        <v>74129</v>
      </c>
      <c r="V239" s="6"/>
      <c r="W239" s="6"/>
      <c r="X239" s="6"/>
      <c r="Y239" s="4" t="s">
        <v>962</v>
      </c>
    </row>
    <row r="240" spans="1:25">
      <c r="A240" s="12">
        <v>100020130</v>
      </c>
      <c r="B240" s="12">
        <v>2</v>
      </c>
      <c r="C240" s="12" t="s">
        <v>655</v>
      </c>
      <c r="D240" s="12"/>
      <c r="E240" s="12"/>
      <c r="F240" s="12"/>
      <c r="G240" s="12"/>
      <c r="H240" s="12">
        <v>100020131</v>
      </c>
      <c r="I240" s="12" t="s">
        <v>963</v>
      </c>
      <c r="J240" s="12"/>
      <c r="K240" s="12" t="s">
        <v>956</v>
      </c>
      <c r="L240" s="12"/>
      <c r="M240" s="13"/>
      <c r="N240" s="10">
        <v>11028</v>
      </c>
      <c r="O240" s="10"/>
      <c r="P240" s="8"/>
      <c r="Q240" s="6"/>
      <c r="R240" s="6"/>
      <c r="S240" t="b">
        <v>0</v>
      </c>
      <c r="T240" s="6"/>
      <c r="U240" s="6">
        <v>74130</v>
      </c>
      <c r="V240" s="6"/>
      <c r="W240" s="6"/>
      <c r="X240" s="6"/>
      <c r="Y240" s="4" t="s">
        <v>964</v>
      </c>
    </row>
    <row r="241" spans="1:25">
      <c r="A241" s="12">
        <v>100020131</v>
      </c>
      <c r="B241" s="12">
        <v>2</v>
      </c>
      <c r="C241" s="12" t="s">
        <v>655</v>
      </c>
      <c r="D241" s="12"/>
      <c r="E241" s="12"/>
      <c r="F241" s="12"/>
      <c r="G241" s="12"/>
      <c r="H241" s="12">
        <v>100020132</v>
      </c>
      <c r="I241" s="12" t="s">
        <v>965</v>
      </c>
      <c r="J241" s="12"/>
      <c r="K241" s="12" t="s">
        <v>966</v>
      </c>
      <c r="L241" s="12"/>
      <c r="M241" s="13"/>
      <c r="N241" s="10">
        <v>3207</v>
      </c>
      <c r="O241" s="10"/>
      <c r="P241" s="8"/>
      <c r="Q241" s="6"/>
      <c r="R241" s="6"/>
      <c r="S241" t="b">
        <v>0</v>
      </c>
      <c r="T241" s="6"/>
      <c r="U241" s="6">
        <v>74131</v>
      </c>
      <c r="V241" s="6"/>
      <c r="W241" s="6"/>
      <c r="X241" s="6"/>
      <c r="Y241" s="4" t="s">
        <v>960</v>
      </c>
    </row>
    <row r="242" spans="1:25">
      <c r="A242" s="12">
        <v>100020132</v>
      </c>
      <c r="B242" s="12">
        <v>2</v>
      </c>
      <c r="C242" s="12" t="s">
        <v>655</v>
      </c>
      <c r="D242" s="12"/>
      <c r="E242" s="12"/>
      <c r="F242" s="12"/>
      <c r="G242" s="12"/>
      <c r="H242" s="12">
        <v>100020133</v>
      </c>
      <c r="I242" s="12" t="s">
        <v>961</v>
      </c>
      <c r="J242" s="12"/>
      <c r="K242" s="12" t="s">
        <v>953</v>
      </c>
      <c r="L242" s="12"/>
      <c r="M242" s="13"/>
      <c r="N242" s="10">
        <v>3306</v>
      </c>
      <c r="O242" s="10"/>
      <c r="P242" s="8"/>
      <c r="Q242" s="6"/>
      <c r="R242" s="6"/>
      <c r="S242" t="b">
        <v>0</v>
      </c>
      <c r="T242" s="6"/>
      <c r="U242" s="6">
        <v>74132</v>
      </c>
      <c r="V242" s="6"/>
      <c r="W242" s="6"/>
      <c r="X242" s="6"/>
      <c r="Y242" s="4" t="s">
        <v>967</v>
      </c>
    </row>
    <row r="243" spans="1:25">
      <c r="A243" s="12">
        <v>100020133</v>
      </c>
      <c r="B243" s="12">
        <v>2</v>
      </c>
      <c r="C243" s="12" t="s">
        <v>655</v>
      </c>
      <c r="D243" s="12"/>
      <c r="E243" s="12"/>
      <c r="F243" s="12"/>
      <c r="G243" s="12"/>
      <c r="H243" s="12">
        <v>100020134</v>
      </c>
      <c r="I243" s="12" t="s">
        <v>968</v>
      </c>
      <c r="J243" s="12"/>
      <c r="K243" s="12" t="s">
        <v>956</v>
      </c>
      <c r="L243" s="12"/>
      <c r="M243" s="13"/>
      <c r="N243" s="10">
        <v>11028</v>
      </c>
      <c r="O243" s="10"/>
      <c r="P243" s="8"/>
      <c r="Q243" s="6"/>
      <c r="R243" s="6"/>
      <c r="S243" t="b">
        <v>0</v>
      </c>
      <c r="T243" s="6"/>
      <c r="U243" s="6">
        <v>74133</v>
      </c>
      <c r="V243" s="6"/>
      <c r="W243" s="6"/>
      <c r="X243" s="6"/>
      <c r="Y243" s="4" t="s">
        <v>969</v>
      </c>
    </row>
    <row r="244" spans="1:25">
      <c r="A244" s="12">
        <v>100020134</v>
      </c>
      <c r="B244" s="12">
        <v>2</v>
      </c>
      <c r="C244" s="12" t="s">
        <v>655</v>
      </c>
      <c r="D244" s="12"/>
      <c r="E244" s="12"/>
      <c r="F244" s="12"/>
      <c r="G244" s="12"/>
      <c r="H244" s="12">
        <v>100020135</v>
      </c>
      <c r="I244" s="12" t="s">
        <v>970</v>
      </c>
      <c r="J244" s="12"/>
      <c r="K244" s="12" t="s">
        <v>971</v>
      </c>
      <c r="L244" s="12"/>
      <c r="M244" s="13"/>
      <c r="N244" s="10">
        <v>3207</v>
      </c>
      <c r="O244" s="10"/>
      <c r="P244" s="8"/>
      <c r="Q244" s="6"/>
      <c r="R244" s="6"/>
      <c r="S244" t="b">
        <v>0</v>
      </c>
      <c r="T244" s="6"/>
      <c r="U244" s="6">
        <v>74134</v>
      </c>
      <c r="V244" s="6"/>
      <c r="W244" s="6"/>
      <c r="X244" s="6"/>
      <c r="Y244" s="4" t="s">
        <v>972</v>
      </c>
    </row>
    <row r="245" spans="1:25">
      <c r="A245" s="12">
        <v>100020135</v>
      </c>
      <c r="B245" s="12">
        <v>2</v>
      </c>
      <c r="C245" s="12" t="s">
        <v>655</v>
      </c>
      <c r="D245" s="12"/>
      <c r="E245" s="12"/>
      <c r="F245" s="12"/>
      <c r="G245" s="12"/>
      <c r="H245" s="12">
        <v>100020136</v>
      </c>
      <c r="I245" s="12" t="s">
        <v>973</v>
      </c>
      <c r="J245" s="12"/>
      <c r="K245" s="12" t="s">
        <v>953</v>
      </c>
      <c r="L245" s="12"/>
      <c r="M245" s="13"/>
      <c r="N245" s="10">
        <v>3306</v>
      </c>
      <c r="O245" s="10"/>
      <c r="P245" s="8"/>
      <c r="Q245" s="6"/>
      <c r="R245" s="6"/>
      <c r="S245" t="b">
        <v>0</v>
      </c>
      <c r="T245" s="6"/>
      <c r="U245" s="6">
        <v>74135</v>
      </c>
      <c r="V245" s="6"/>
      <c r="W245" s="6"/>
      <c r="X245" s="6"/>
      <c r="Y245" s="4" t="s">
        <v>974</v>
      </c>
    </row>
    <row r="246" spans="1:25">
      <c r="A246" s="12">
        <v>100020136</v>
      </c>
      <c r="B246" s="12">
        <v>2</v>
      </c>
      <c r="C246" s="12" t="s">
        <v>655</v>
      </c>
      <c r="D246" s="12"/>
      <c r="E246" s="12"/>
      <c r="F246" s="12"/>
      <c r="G246" s="12"/>
      <c r="H246" s="12">
        <v>100020137</v>
      </c>
      <c r="I246" s="12" t="s">
        <v>975</v>
      </c>
      <c r="J246" s="12"/>
      <c r="K246" s="12" t="s">
        <v>956</v>
      </c>
      <c r="L246" s="12"/>
      <c r="M246" s="13"/>
      <c r="N246" s="10">
        <v>11028</v>
      </c>
      <c r="O246" s="10"/>
      <c r="P246" s="8"/>
      <c r="Q246" s="6"/>
      <c r="R246" s="6"/>
      <c r="S246" t="b">
        <v>0</v>
      </c>
      <c r="T246" s="6"/>
      <c r="U246" s="6">
        <v>74136</v>
      </c>
      <c r="V246" s="6"/>
      <c r="W246" s="6"/>
      <c r="X246" s="6"/>
      <c r="Y246" s="4" t="s">
        <v>976</v>
      </c>
    </row>
    <row r="247" spans="1:25">
      <c r="A247" s="12">
        <v>100020137</v>
      </c>
      <c r="B247" s="12">
        <v>2</v>
      </c>
      <c r="C247" s="12" t="s">
        <v>655</v>
      </c>
      <c r="D247" s="12"/>
      <c r="E247" s="12"/>
      <c r="F247" s="12"/>
      <c r="G247" s="12"/>
      <c r="H247" s="12">
        <v>100020138</v>
      </c>
      <c r="I247" s="12" t="s">
        <v>977</v>
      </c>
      <c r="J247" s="12"/>
      <c r="K247" s="12" t="s">
        <v>953</v>
      </c>
      <c r="L247" s="12"/>
      <c r="M247" s="13"/>
      <c r="N247" s="10">
        <v>3207</v>
      </c>
      <c r="O247" s="10"/>
      <c r="P247" s="8"/>
      <c r="Q247" s="6"/>
      <c r="R247" s="6"/>
      <c r="S247" t="b">
        <v>0</v>
      </c>
      <c r="T247" s="6"/>
      <c r="U247" s="6">
        <v>74137</v>
      </c>
      <c r="V247" s="6"/>
      <c r="W247" s="6"/>
      <c r="X247" s="6"/>
      <c r="Y247" s="4" t="s">
        <v>978</v>
      </c>
    </row>
    <row r="248" spans="1:25">
      <c r="A248" s="12">
        <v>100020138</v>
      </c>
      <c r="B248" s="12">
        <v>2</v>
      </c>
      <c r="C248" s="12" t="s">
        <v>655</v>
      </c>
      <c r="D248" s="12"/>
      <c r="E248" s="12"/>
      <c r="F248" s="12"/>
      <c r="G248" s="12"/>
      <c r="H248" s="12">
        <v>100020139</v>
      </c>
      <c r="I248" s="12" t="s">
        <v>979</v>
      </c>
      <c r="J248" s="12"/>
      <c r="K248" s="12" t="s">
        <v>956</v>
      </c>
      <c r="L248" s="12"/>
      <c r="M248" s="13"/>
      <c r="N248" s="10">
        <v>11028</v>
      </c>
      <c r="O248" s="10"/>
      <c r="P248" s="8"/>
      <c r="Q248" s="6"/>
      <c r="R248" s="6"/>
      <c r="S248" t="b">
        <v>0</v>
      </c>
      <c r="T248" s="6"/>
      <c r="U248" s="6">
        <v>74138</v>
      </c>
      <c r="V248" s="6"/>
      <c r="W248" s="6"/>
      <c r="X248" s="6"/>
      <c r="Y248" s="4" t="s">
        <v>980</v>
      </c>
    </row>
    <row r="249" spans="1:25">
      <c r="A249" s="12">
        <v>100020139</v>
      </c>
      <c r="B249" s="12">
        <v>2</v>
      </c>
      <c r="C249" s="12" t="s">
        <v>655</v>
      </c>
      <c r="D249" s="12"/>
      <c r="E249" s="12"/>
      <c r="F249" s="12"/>
      <c r="G249" s="12"/>
      <c r="H249" s="12">
        <v>100020140</v>
      </c>
      <c r="I249" s="12" t="s">
        <v>981</v>
      </c>
      <c r="J249" s="12"/>
      <c r="K249" s="12" t="s">
        <v>953</v>
      </c>
      <c r="L249" s="12"/>
      <c r="M249" s="13"/>
      <c r="N249" s="10">
        <v>3207</v>
      </c>
      <c r="O249" s="10"/>
      <c r="P249" s="8"/>
      <c r="Q249" s="6"/>
      <c r="R249" s="6"/>
      <c r="S249" t="b">
        <v>0</v>
      </c>
      <c r="T249" s="6"/>
      <c r="U249" s="6">
        <v>74139</v>
      </c>
      <c r="V249" s="6"/>
      <c r="W249" s="6"/>
      <c r="X249" s="6"/>
      <c r="Y249" s="4" t="s">
        <v>982</v>
      </c>
    </row>
    <row r="250" spans="1:25">
      <c r="A250" s="12">
        <v>100020140</v>
      </c>
      <c r="B250" s="12">
        <v>2</v>
      </c>
      <c r="C250" s="12" t="s">
        <v>655</v>
      </c>
      <c r="D250" s="12"/>
      <c r="E250" s="12"/>
      <c r="F250" s="12"/>
      <c r="G250" s="12"/>
      <c r="H250" s="12">
        <v>100020141</v>
      </c>
      <c r="I250" s="12" t="s">
        <v>983</v>
      </c>
      <c r="J250" s="12"/>
      <c r="K250" s="12" t="s">
        <v>956</v>
      </c>
      <c r="L250" s="12"/>
      <c r="M250" s="13"/>
      <c r="N250" s="10">
        <v>11028</v>
      </c>
      <c r="O250" s="10"/>
      <c r="P250" s="8"/>
      <c r="Q250" s="6"/>
      <c r="R250" s="6"/>
      <c r="S250" t="b">
        <v>0</v>
      </c>
      <c r="T250" s="6"/>
      <c r="U250" s="6">
        <v>74140</v>
      </c>
      <c r="V250" s="6"/>
      <c r="W250" s="6"/>
      <c r="X250" s="6"/>
      <c r="Y250" s="4" t="s">
        <v>984</v>
      </c>
    </row>
    <row r="251" spans="1:25">
      <c r="A251" s="12">
        <v>100020141</v>
      </c>
      <c r="B251" s="12">
        <v>2</v>
      </c>
      <c r="C251" s="12" t="s">
        <v>655</v>
      </c>
      <c r="D251" s="12"/>
      <c r="E251" s="12"/>
      <c r="F251" s="12"/>
      <c r="G251" s="12"/>
      <c r="H251" s="12">
        <v>100020142</v>
      </c>
      <c r="I251" s="12" t="s">
        <v>985</v>
      </c>
      <c r="J251" s="12"/>
      <c r="K251" s="12" t="s">
        <v>986</v>
      </c>
      <c r="L251" s="12"/>
      <c r="M251" s="13"/>
      <c r="N251" s="10">
        <v>3207</v>
      </c>
      <c r="O251" s="10"/>
      <c r="P251" s="8"/>
      <c r="Q251" s="6"/>
      <c r="R251" s="6"/>
      <c r="S251" t="b">
        <v>0</v>
      </c>
      <c r="T251" s="6"/>
      <c r="U251" s="6">
        <v>74141</v>
      </c>
      <c r="V251" s="6"/>
      <c r="W251" s="6"/>
      <c r="X251" s="6"/>
      <c r="Y251" s="4" t="s">
        <v>987</v>
      </c>
    </row>
    <row r="252" spans="1:25">
      <c r="A252" s="12">
        <v>100020142</v>
      </c>
      <c r="B252" s="12">
        <v>2</v>
      </c>
      <c r="C252" s="12" t="s">
        <v>655</v>
      </c>
      <c r="D252" s="12"/>
      <c r="E252" s="12"/>
      <c r="F252" s="12"/>
      <c r="G252" s="12"/>
      <c r="H252" s="12">
        <v>100020143</v>
      </c>
      <c r="I252" s="12" t="s">
        <v>988</v>
      </c>
      <c r="J252" s="12"/>
      <c r="K252" s="12" t="s">
        <v>953</v>
      </c>
      <c r="L252" s="12"/>
      <c r="M252" s="13"/>
      <c r="N252" s="10">
        <v>3306</v>
      </c>
      <c r="O252" s="10"/>
      <c r="P252" s="8"/>
      <c r="Q252" s="6"/>
      <c r="R252" s="6"/>
      <c r="S252" t="b">
        <v>0</v>
      </c>
      <c r="T252" s="6"/>
      <c r="U252" s="6">
        <v>74142</v>
      </c>
      <c r="V252" s="6"/>
      <c r="W252" s="6"/>
      <c r="X252" s="6"/>
      <c r="Y252" s="4" t="s">
        <v>989</v>
      </c>
    </row>
    <row r="253" spans="1:25">
      <c r="A253" s="12">
        <v>100020143</v>
      </c>
      <c r="B253" s="12">
        <v>2</v>
      </c>
      <c r="C253" s="12" t="s">
        <v>655</v>
      </c>
      <c r="D253" s="12"/>
      <c r="E253" s="12"/>
      <c r="F253" s="12"/>
      <c r="G253" s="12"/>
      <c r="H253" s="12">
        <v>100020144</v>
      </c>
      <c r="I253" s="12" t="s">
        <v>990</v>
      </c>
      <c r="J253" s="12"/>
      <c r="K253" s="12" t="s">
        <v>956</v>
      </c>
      <c r="L253" s="12"/>
      <c r="M253" s="13"/>
      <c r="N253" s="10">
        <v>11028</v>
      </c>
      <c r="O253" s="10"/>
      <c r="P253" s="8"/>
      <c r="Q253" s="6"/>
      <c r="R253" s="6"/>
      <c r="S253" t="b">
        <v>0</v>
      </c>
      <c r="T253" s="6"/>
      <c r="U253" s="6">
        <v>74143</v>
      </c>
      <c r="V253" s="6"/>
      <c r="W253" s="6"/>
      <c r="X253" s="6"/>
      <c r="Y253" s="4" t="s">
        <v>991</v>
      </c>
    </row>
    <row r="254" spans="1:25">
      <c r="A254" s="12">
        <v>100020144</v>
      </c>
      <c r="B254" s="12">
        <v>2</v>
      </c>
      <c r="C254" s="12" t="s">
        <v>655</v>
      </c>
      <c r="D254" s="12"/>
      <c r="E254" s="12"/>
      <c r="F254" s="12"/>
      <c r="G254" s="12"/>
      <c r="H254" s="12">
        <v>100020145</v>
      </c>
      <c r="I254" s="12" t="s">
        <v>992</v>
      </c>
      <c r="J254" s="12"/>
      <c r="K254" s="12" t="s">
        <v>953</v>
      </c>
      <c r="L254" s="12"/>
      <c r="M254" s="13"/>
      <c r="N254" s="10">
        <v>3207</v>
      </c>
      <c r="O254" s="10"/>
      <c r="P254" s="8"/>
      <c r="Q254" s="6"/>
      <c r="R254" s="6"/>
      <c r="S254" t="b">
        <v>0</v>
      </c>
      <c r="T254" s="6"/>
      <c r="U254" s="6">
        <v>74144</v>
      </c>
      <c r="V254" s="6"/>
      <c r="W254" s="6"/>
      <c r="X254" s="6"/>
      <c r="Y254" s="4" t="s">
        <v>978</v>
      </c>
    </row>
    <row r="255" spans="1:25">
      <c r="A255" s="12">
        <v>100020145</v>
      </c>
      <c r="B255" s="12">
        <v>2</v>
      </c>
      <c r="C255" s="12" t="s">
        <v>655</v>
      </c>
      <c r="D255" s="12"/>
      <c r="E255" s="12"/>
      <c r="F255" s="12"/>
      <c r="G255" s="12"/>
      <c r="H255" s="12">
        <v>100020146</v>
      </c>
      <c r="I255" s="12" t="s">
        <v>979</v>
      </c>
      <c r="J255" s="12"/>
      <c r="K255" s="12" t="s">
        <v>956</v>
      </c>
      <c r="L255" s="12"/>
      <c r="M255" s="13"/>
      <c r="N255" s="10">
        <v>11028</v>
      </c>
      <c r="O255" s="10"/>
      <c r="P255" s="8"/>
      <c r="Q255" s="6"/>
      <c r="R255" s="6"/>
      <c r="S255" t="b">
        <v>0</v>
      </c>
      <c r="T255" s="6"/>
      <c r="U255" s="6">
        <v>74145</v>
      </c>
      <c r="V255" s="6"/>
      <c r="W255" s="6"/>
      <c r="X255" s="6"/>
      <c r="Y255" s="4" t="s">
        <v>993</v>
      </c>
    </row>
    <row r="256" spans="1:25">
      <c r="A256" s="12">
        <v>100020146</v>
      </c>
      <c r="B256" s="12">
        <v>2</v>
      </c>
      <c r="C256" s="12" t="s">
        <v>655</v>
      </c>
      <c r="D256" s="12"/>
      <c r="E256" s="12"/>
      <c r="F256" s="12"/>
      <c r="G256" s="12"/>
      <c r="H256" s="12">
        <v>100020147</v>
      </c>
      <c r="I256" s="12" t="s">
        <v>994</v>
      </c>
      <c r="J256" s="12"/>
      <c r="K256" s="12" t="s">
        <v>953</v>
      </c>
      <c r="L256" s="12"/>
      <c r="M256" s="13"/>
      <c r="N256" s="10">
        <v>3207</v>
      </c>
      <c r="O256" s="10"/>
      <c r="P256" s="8"/>
      <c r="Q256" s="6"/>
      <c r="R256" s="6"/>
      <c r="S256" t="b">
        <v>0</v>
      </c>
      <c r="T256" s="6"/>
      <c r="U256" s="6">
        <v>74146</v>
      </c>
      <c r="V256" s="6"/>
      <c r="W256" s="6"/>
      <c r="X256" s="6"/>
      <c r="Y256" s="4" t="s">
        <v>995</v>
      </c>
    </row>
    <row r="257" spans="1:25">
      <c r="A257" s="12">
        <v>100020147</v>
      </c>
      <c r="B257" s="12">
        <v>2</v>
      </c>
      <c r="C257" s="12" t="s">
        <v>655</v>
      </c>
      <c r="D257" s="12"/>
      <c r="E257" s="12"/>
      <c r="F257" s="12"/>
      <c r="G257" s="12"/>
      <c r="H257" s="12">
        <v>100020148</v>
      </c>
      <c r="I257" s="12" t="s">
        <v>996</v>
      </c>
      <c r="J257" s="12"/>
      <c r="K257" s="12" t="s">
        <v>956</v>
      </c>
      <c r="L257" s="12"/>
      <c r="M257" s="13"/>
      <c r="N257" s="10">
        <v>11028</v>
      </c>
      <c r="O257" s="10"/>
      <c r="P257" s="8"/>
      <c r="Q257" s="6"/>
      <c r="R257" s="6"/>
      <c r="S257" t="b">
        <v>0</v>
      </c>
      <c r="T257" s="6"/>
      <c r="U257" s="6">
        <v>74147</v>
      </c>
      <c r="V257" s="6"/>
      <c r="W257" s="6"/>
      <c r="X257" s="6"/>
      <c r="Y257" s="4" t="s">
        <v>997</v>
      </c>
    </row>
    <row r="258" spans="1:25">
      <c r="A258" s="12">
        <v>100020148</v>
      </c>
      <c r="B258" s="12">
        <v>2</v>
      </c>
      <c r="C258" s="12" t="s">
        <v>655</v>
      </c>
      <c r="D258" s="12"/>
      <c r="E258" s="12"/>
      <c r="F258" s="12"/>
      <c r="G258" s="12"/>
      <c r="H258" s="12">
        <v>100020149</v>
      </c>
      <c r="I258" s="12" t="s">
        <v>998</v>
      </c>
      <c r="J258" s="12"/>
      <c r="K258" s="12" t="s">
        <v>999</v>
      </c>
      <c r="L258" s="12"/>
      <c r="M258" s="13"/>
      <c r="N258" s="10">
        <v>3207</v>
      </c>
      <c r="O258" s="10"/>
      <c r="P258" s="8"/>
      <c r="Q258" s="6"/>
      <c r="R258" s="6"/>
      <c r="S258" t="b">
        <v>0</v>
      </c>
      <c r="T258" s="6"/>
      <c r="U258" s="6">
        <v>74148</v>
      </c>
      <c r="V258" s="6"/>
      <c r="W258" s="6"/>
      <c r="X258" s="6"/>
      <c r="Y258" s="4" t="s">
        <v>1000</v>
      </c>
    </row>
    <row r="259" spans="1:25">
      <c r="A259" s="12">
        <v>100020149</v>
      </c>
      <c r="B259" s="12">
        <v>2</v>
      </c>
      <c r="C259" s="12" t="s">
        <v>655</v>
      </c>
      <c r="D259" s="12"/>
      <c r="E259" s="12"/>
      <c r="F259" s="12"/>
      <c r="G259" s="12"/>
      <c r="H259" s="12">
        <v>100020150</v>
      </c>
      <c r="I259" s="12" t="s">
        <v>1001</v>
      </c>
      <c r="J259" s="12"/>
      <c r="K259" s="12" t="s">
        <v>953</v>
      </c>
      <c r="L259" s="12"/>
      <c r="M259" s="13"/>
      <c r="N259" s="10">
        <v>3306</v>
      </c>
      <c r="O259" s="10"/>
      <c r="P259" s="8"/>
      <c r="Q259" s="6"/>
      <c r="R259" s="6"/>
      <c r="S259" t="b">
        <v>0</v>
      </c>
      <c r="T259" s="6"/>
      <c r="U259" s="6">
        <v>74149</v>
      </c>
      <c r="V259" s="6"/>
      <c r="W259" s="6"/>
      <c r="X259" s="6"/>
      <c r="Y259" s="4" t="s">
        <v>1002</v>
      </c>
    </row>
    <row r="260" spans="1:25">
      <c r="A260" s="12">
        <v>100020150</v>
      </c>
      <c r="B260" s="12">
        <v>2</v>
      </c>
      <c r="C260" s="12" t="s">
        <v>655</v>
      </c>
      <c r="D260" s="12"/>
      <c r="E260" s="12"/>
      <c r="F260" s="12"/>
      <c r="G260" s="12"/>
      <c r="H260" s="12">
        <v>100020151</v>
      </c>
      <c r="I260" s="12" t="s">
        <v>1003</v>
      </c>
      <c r="J260" s="12"/>
      <c r="K260" s="12" t="s">
        <v>1004</v>
      </c>
      <c r="L260" s="12"/>
      <c r="M260" s="13"/>
      <c r="N260" s="10">
        <v>3406</v>
      </c>
      <c r="O260" s="10"/>
      <c r="P260" s="8"/>
      <c r="Q260" s="6"/>
      <c r="R260" s="6"/>
      <c r="S260" t="b">
        <v>0</v>
      </c>
      <c r="T260" s="6"/>
      <c r="U260" s="6">
        <v>74150</v>
      </c>
      <c r="V260" s="6"/>
      <c r="W260" s="6"/>
      <c r="X260" s="6"/>
      <c r="Y260" s="4" t="s">
        <v>1005</v>
      </c>
    </row>
    <row r="261" spans="1:25">
      <c r="A261" s="12">
        <v>100020151</v>
      </c>
      <c r="B261" s="12">
        <v>2</v>
      </c>
      <c r="C261" s="12" t="s">
        <v>655</v>
      </c>
      <c r="D261" s="12"/>
      <c r="E261" s="12"/>
      <c r="F261" s="12"/>
      <c r="G261" s="12"/>
      <c r="H261" s="12">
        <v>100020152</v>
      </c>
      <c r="I261" s="12" t="s">
        <v>1006</v>
      </c>
      <c r="J261" s="12"/>
      <c r="K261" s="12" t="s">
        <v>1007</v>
      </c>
      <c r="L261" s="12"/>
      <c r="M261" s="13"/>
      <c r="N261" s="10">
        <v>11012</v>
      </c>
      <c r="O261" s="10"/>
      <c r="P261" s="8"/>
      <c r="Q261" s="6"/>
      <c r="R261" s="6"/>
      <c r="S261" t="b">
        <v>0</v>
      </c>
      <c r="T261" s="6"/>
      <c r="U261" s="6">
        <v>74151</v>
      </c>
      <c r="V261" s="6"/>
      <c r="W261" s="6"/>
      <c r="X261" s="6"/>
      <c r="Y261" s="4" t="s">
        <v>1008</v>
      </c>
    </row>
    <row r="262" spans="1:25">
      <c r="A262" s="12">
        <v>100020152</v>
      </c>
      <c r="B262" s="12">
        <v>2</v>
      </c>
      <c r="C262" s="12" t="s">
        <v>655</v>
      </c>
      <c r="D262" s="12"/>
      <c r="E262" s="12"/>
      <c r="F262" s="12"/>
      <c r="G262" s="12"/>
      <c r="H262" s="12">
        <v>100020153</v>
      </c>
      <c r="I262" s="12" t="s">
        <v>1009</v>
      </c>
      <c r="J262" s="12"/>
      <c r="K262" s="12" t="s">
        <v>1010</v>
      </c>
      <c r="L262" s="12"/>
      <c r="M262" s="13"/>
      <c r="N262" s="10">
        <v>3206</v>
      </c>
      <c r="O262" s="10"/>
      <c r="P262" s="8"/>
      <c r="Q262" s="6"/>
      <c r="R262" s="6"/>
      <c r="S262" t="b">
        <v>0</v>
      </c>
      <c r="T262" s="6"/>
      <c r="U262" s="6">
        <v>74152</v>
      </c>
      <c r="V262" s="6"/>
      <c r="W262" s="6"/>
      <c r="X262" s="6"/>
      <c r="Y262" s="4" t="s">
        <v>1011</v>
      </c>
    </row>
    <row r="263" spans="1:25">
      <c r="A263" s="12">
        <v>100020153</v>
      </c>
      <c r="B263" s="12">
        <v>2</v>
      </c>
      <c r="C263" s="12" t="s">
        <v>655</v>
      </c>
      <c r="D263" s="12"/>
      <c r="E263" s="12"/>
      <c r="F263" s="12"/>
      <c r="G263" s="12"/>
      <c r="H263" s="12">
        <v>100020154</v>
      </c>
      <c r="I263" s="12" t="s">
        <v>1012</v>
      </c>
      <c r="J263" s="12"/>
      <c r="K263" s="12" t="s">
        <v>1004</v>
      </c>
      <c r="L263" s="12"/>
      <c r="M263" s="13"/>
      <c r="N263" s="10">
        <v>3307</v>
      </c>
      <c r="O263" s="10"/>
      <c r="P263" s="8"/>
      <c r="Q263" s="6"/>
      <c r="R263" s="6"/>
      <c r="S263" t="b">
        <v>0</v>
      </c>
      <c r="T263" s="6"/>
      <c r="U263" s="6">
        <v>74153</v>
      </c>
      <c r="V263" s="6"/>
      <c r="W263" s="6"/>
      <c r="X263" s="6"/>
      <c r="Y263" s="4" t="s">
        <v>1013</v>
      </c>
    </row>
    <row r="264" spans="1:25">
      <c r="A264" s="12">
        <v>100020154</v>
      </c>
      <c r="B264" s="12">
        <v>2</v>
      </c>
      <c r="C264" s="12" t="s">
        <v>655</v>
      </c>
      <c r="D264" s="12"/>
      <c r="E264" s="12"/>
      <c r="F264" s="12"/>
      <c r="G264" s="12"/>
      <c r="H264" s="12">
        <v>100020155</v>
      </c>
      <c r="I264" s="12" t="s">
        <v>1014</v>
      </c>
      <c r="J264" s="12"/>
      <c r="K264" s="12" t="s">
        <v>1007</v>
      </c>
      <c r="L264" s="12"/>
      <c r="M264" s="13"/>
      <c r="N264" s="10">
        <v>11012</v>
      </c>
      <c r="O264" s="10"/>
      <c r="P264" s="8"/>
      <c r="Q264" s="6"/>
      <c r="R264" s="6"/>
      <c r="S264" t="b">
        <v>0</v>
      </c>
      <c r="T264" s="6"/>
      <c r="U264" s="6">
        <v>74154</v>
      </c>
      <c r="V264" s="6"/>
      <c r="W264" s="6"/>
      <c r="X264" s="6"/>
      <c r="Y264" s="4" t="s">
        <v>1015</v>
      </c>
    </row>
    <row r="265" spans="1:25">
      <c r="A265" s="12">
        <v>100020155</v>
      </c>
      <c r="B265" s="12">
        <v>2</v>
      </c>
      <c r="C265" s="12" t="s">
        <v>655</v>
      </c>
      <c r="D265" s="12"/>
      <c r="E265" s="12"/>
      <c r="F265" s="12"/>
      <c r="G265" s="12"/>
      <c r="H265" s="12">
        <v>100020156</v>
      </c>
      <c r="I265" s="12" t="s">
        <v>1016</v>
      </c>
      <c r="J265" s="12"/>
      <c r="K265" s="12" t="s">
        <v>1017</v>
      </c>
      <c r="L265" s="12"/>
      <c r="M265" s="13"/>
      <c r="N265" s="10">
        <v>3206</v>
      </c>
      <c r="O265" s="10"/>
      <c r="P265" s="8"/>
      <c r="Q265" s="6"/>
      <c r="R265" s="6"/>
      <c r="S265" t="b">
        <v>0</v>
      </c>
      <c r="T265" s="6"/>
      <c r="U265" s="6">
        <v>74155</v>
      </c>
      <c r="V265" s="6"/>
      <c r="W265" s="6"/>
      <c r="X265" s="6"/>
      <c r="Y265" s="4" t="s">
        <v>1011</v>
      </c>
    </row>
    <row r="266" spans="1:25">
      <c r="A266" s="12">
        <v>100020156</v>
      </c>
      <c r="B266" s="12">
        <v>2</v>
      </c>
      <c r="C266" s="12" t="s">
        <v>655</v>
      </c>
      <c r="D266" s="12"/>
      <c r="E266" s="12"/>
      <c r="F266" s="12"/>
      <c r="G266" s="12"/>
      <c r="H266" s="12">
        <v>100020157</v>
      </c>
      <c r="I266" s="12" t="s">
        <v>1012</v>
      </c>
      <c r="J266" s="12"/>
      <c r="K266" s="12" t="s">
        <v>1004</v>
      </c>
      <c r="L266" s="12"/>
      <c r="M266" s="13"/>
      <c r="N266" s="10">
        <v>3307</v>
      </c>
      <c r="O266" s="10"/>
      <c r="P266" s="8"/>
      <c r="Q266" s="6"/>
      <c r="R266" s="6"/>
      <c r="S266" t="b">
        <v>0</v>
      </c>
      <c r="T266" s="6"/>
      <c r="U266" s="6">
        <v>74156</v>
      </c>
      <c r="V266" s="6"/>
      <c r="W266" s="6"/>
      <c r="X266" s="6"/>
      <c r="Y266" s="4" t="s">
        <v>1018</v>
      </c>
    </row>
    <row r="267" spans="1:25">
      <c r="A267" s="12">
        <v>100020157</v>
      </c>
      <c r="B267" s="12">
        <v>2</v>
      </c>
      <c r="C267" s="12" t="s">
        <v>655</v>
      </c>
      <c r="D267" s="12"/>
      <c r="E267" s="12"/>
      <c r="F267" s="12"/>
      <c r="G267" s="12"/>
      <c r="H267" s="12">
        <v>100020158</v>
      </c>
      <c r="I267" s="12" t="s">
        <v>1019</v>
      </c>
      <c r="J267" s="12"/>
      <c r="K267" s="12" t="s">
        <v>1007</v>
      </c>
      <c r="L267" s="12"/>
      <c r="M267" s="13"/>
      <c r="N267" s="10">
        <v>11012</v>
      </c>
      <c r="O267" s="10"/>
      <c r="P267" s="8"/>
      <c r="Q267" s="6"/>
      <c r="R267" s="6"/>
      <c r="S267" t="b">
        <v>0</v>
      </c>
      <c r="T267" s="6"/>
      <c r="U267" s="6">
        <v>74157</v>
      </c>
      <c r="V267" s="6"/>
      <c r="W267" s="6"/>
      <c r="X267" s="6"/>
      <c r="Y267" s="4" t="s">
        <v>1020</v>
      </c>
    </row>
    <row r="268" spans="1:25">
      <c r="A268" s="12">
        <v>100020158</v>
      </c>
      <c r="B268" s="12">
        <v>2</v>
      </c>
      <c r="C268" s="12" t="s">
        <v>655</v>
      </c>
      <c r="D268" s="12"/>
      <c r="E268" s="12"/>
      <c r="F268" s="12"/>
      <c r="G268" s="12"/>
      <c r="H268" s="12">
        <v>100020159</v>
      </c>
      <c r="I268" s="12" t="s">
        <v>1021</v>
      </c>
      <c r="J268" s="12"/>
      <c r="K268" s="12" t="s">
        <v>1022</v>
      </c>
      <c r="L268" s="12"/>
      <c r="M268" s="13"/>
      <c r="N268" s="10">
        <v>3206</v>
      </c>
      <c r="O268" s="10"/>
      <c r="P268" s="8"/>
      <c r="Q268" s="6"/>
      <c r="R268" s="6"/>
      <c r="S268" t="b">
        <v>0</v>
      </c>
      <c r="T268" s="6"/>
      <c r="U268" s="6">
        <v>74158</v>
      </c>
      <c r="V268" s="6"/>
      <c r="W268" s="6"/>
      <c r="X268" s="6"/>
      <c r="Y268" s="4" t="s">
        <v>1023</v>
      </c>
    </row>
    <row r="269" spans="1:25">
      <c r="A269" s="12">
        <v>100020159</v>
      </c>
      <c r="B269" s="12">
        <v>2</v>
      </c>
      <c r="C269" s="12" t="s">
        <v>655</v>
      </c>
      <c r="D269" s="12"/>
      <c r="E269" s="12"/>
      <c r="F269" s="12"/>
      <c r="G269" s="12"/>
      <c r="H269" s="12">
        <v>100020160</v>
      </c>
      <c r="I269" s="12" t="s">
        <v>1024</v>
      </c>
      <c r="J269" s="12"/>
      <c r="K269" s="12" t="s">
        <v>1004</v>
      </c>
      <c r="L269" s="12"/>
      <c r="M269" s="13"/>
      <c r="N269" s="10">
        <v>3307</v>
      </c>
      <c r="O269" s="10"/>
      <c r="P269" s="8"/>
      <c r="Q269" s="6"/>
      <c r="R269" s="6"/>
      <c r="S269" t="b">
        <v>0</v>
      </c>
      <c r="T269" s="6"/>
      <c r="U269" s="6">
        <v>74159</v>
      </c>
      <c r="V269" s="6"/>
      <c r="W269" s="6"/>
      <c r="X269" s="6"/>
      <c r="Y269" s="4" t="s">
        <v>1025</v>
      </c>
    </row>
    <row r="270" spans="1:25">
      <c r="A270" s="12">
        <v>100020160</v>
      </c>
      <c r="B270" s="12">
        <v>2</v>
      </c>
      <c r="C270" s="12" t="s">
        <v>655</v>
      </c>
      <c r="D270" s="12"/>
      <c r="E270" s="12"/>
      <c r="F270" s="12"/>
      <c r="G270" s="12"/>
      <c r="H270" s="12">
        <v>100020161</v>
      </c>
      <c r="I270" s="12" t="s">
        <v>1026</v>
      </c>
      <c r="J270" s="12"/>
      <c r="K270" s="12" t="s">
        <v>1007</v>
      </c>
      <c r="L270" s="12"/>
      <c r="M270" s="13"/>
      <c r="N270" s="10">
        <v>11012</v>
      </c>
      <c r="O270" s="10"/>
      <c r="P270" s="8"/>
      <c r="Q270" s="6"/>
      <c r="R270" s="6"/>
      <c r="S270" t="b">
        <v>0</v>
      </c>
      <c r="T270" s="6"/>
      <c r="U270" s="6">
        <v>74160</v>
      </c>
      <c r="V270" s="6"/>
      <c r="W270" s="6"/>
      <c r="X270" s="6"/>
      <c r="Y270" s="4" t="s">
        <v>1027</v>
      </c>
    </row>
    <row r="271" spans="1:25">
      <c r="A271" s="12">
        <v>100020161</v>
      </c>
      <c r="B271" s="12">
        <v>2</v>
      </c>
      <c r="C271" s="12" t="s">
        <v>655</v>
      </c>
      <c r="D271" s="12"/>
      <c r="E271" s="12"/>
      <c r="F271" s="12"/>
      <c r="G271" s="12"/>
      <c r="H271" s="12">
        <v>100020162</v>
      </c>
      <c r="I271" s="12" t="s">
        <v>1028</v>
      </c>
      <c r="J271" s="12"/>
      <c r="K271" s="12" t="s">
        <v>1004</v>
      </c>
      <c r="L271" s="12"/>
      <c r="M271" s="13"/>
      <c r="N271" s="10">
        <v>3206</v>
      </c>
      <c r="O271" s="10"/>
      <c r="P271" s="8"/>
      <c r="Q271" s="6"/>
      <c r="R271" s="6"/>
      <c r="S271" t="b">
        <v>0</v>
      </c>
      <c r="T271" s="6"/>
      <c r="U271" s="6">
        <v>74161</v>
      </c>
      <c r="V271" s="6"/>
      <c r="W271" s="6"/>
      <c r="X271" s="6"/>
      <c r="Y271" s="4" t="s">
        <v>1029</v>
      </c>
    </row>
    <row r="272" spans="1:25">
      <c r="A272" s="12">
        <v>100020162</v>
      </c>
      <c r="B272" s="12">
        <v>2</v>
      </c>
      <c r="C272" s="12" t="s">
        <v>655</v>
      </c>
      <c r="D272" s="12"/>
      <c r="E272" s="12"/>
      <c r="F272" s="12"/>
      <c r="G272" s="12"/>
      <c r="H272" s="12">
        <v>100020163</v>
      </c>
      <c r="I272" s="12" t="s">
        <v>1030</v>
      </c>
      <c r="J272" s="12"/>
      <c r="K272" s="12" t="s">
        <v>1007</v>
      </c>
      <c r="L272" s="12"/>
      <c r="M272" s="13"/>
      <c r="N272" s="10">
        <v>11012</v>
      </c>
      <c r="O272" s="10"/>
      <c r="P272" s="8"/>
      <c r="Q272" s="6"/>
      <c r="R272" s="6"/>
      <c r="S272" t="b">
        <v>0</v>
      </c>
      <c r="T272" s="6"/>
      <c r="U272" s="6">
        <v>74162</v>
      </c>
      <c r="V272" s="6"/>
      <c r="W272" s="6"/>
      <c r="X272" s="6"/>
      <c r="Y272" s="4" t="s">
        <v>1031</v>
      </c>
    </row>
    <row r="273" spans="1:25">
      <c r="A273" s="12">
        <v>100020163</v>
      </c>
      <c r="B273" s="12">
        <v>2</v>
      </c>
      <c r="C273" s="12" t="s">
        <v>655</v>
      </c>
      <c r="D273" s="12"/>
      <c r="E273" s="12"/>
      <c r="F273" s="12"/>
      <c r="G273" s="12"/>
      <c r="H273" s="12">
        <v>100020164</v>
      </c>
      <c r="I273" s="12" t="s">
        <v>1032</v>
      </c>
      <c r="J273" s="12"/>
      <c r="K273" s="12" t="s">
        <v>1004</v>
      </c>
      <c r="L273" s="12"/>
      <c r="M273" s="13"/>
      <c r="N273" s="10">
        <v>3206</v>
      </c>
      <c r="O273" s="10"/>
      <c r="P273" s="8"/>
      <c r="Q273" s="6"/>
      <c r="R273" s="6"/>
      <c r="S273" t="b">
        <v>0</v>
      </c>
      <c r="T273" s="6"/>
      <c r="U273" s="6">
        <v>74163</v>
      </c>
      <c r="V273" s="6"/>
      <c r="W273" s="6"/>
      <c r="X273" s="6"/>
      <c r="Y273" s="4" t="s">
        <v>1033</v>
      </c>
    </row>
    <row r="274" spans="1:25">
      <c r="A274" s="12">
        <v>100020164</v>
      </c>
      <c r="B274" s="12">
        <v>2</v>
      </c>
      <c r="C274" s="12" t="s">
        <v>655</v>
      </c>
      <c r="D274" s="12"/>
      <c r="E274" s="12"/>
      <c r="F274" s="12"/>
      <c r="G274" s="12"/>
      <c r="H274" s="12">
        <v>100020165</v>
      </c>
      <c r="I274" s="12" t="s">
        <v>1034</v>
      </c>
      <c r="J274" s="12"/>
      <c r="K274" s="12" t="s">
        <v>1007</v>
      </c>
      <c r="L274" s="12"/>
      <c r="M274" s="13"/>
      <c r="N274" s="10">
        <v>11012</v>
      </c>
      <c r="O274" s="10"/>
      <c r="P274" s="8"/>
      <c r="Q274" s="6"/>
      <c r="R274" s="6"/>
      <c r="S274" t="b">
        <v>0</v>
      </c>
      <c r="T274" s="6"/>
      <c r="U274" s="6">
        <v>74164</v>
      </c>
      <c r="V274" s="6"/>
      <c r="W274" s="6"/>
      <c r="X274" s="6"/>
      <c r="Y274" s="4" t="s">
        <v>1035</v>
      </c>
    </row>
    <row r="275" spans="1:25">
      <c r="A275" s="12">
        <v>100020165</v>
      </c>
      <c r="B275" s="12">
        <v>2</v>
      </c>
      <c r="C275" s="12" t="s">
        <v>655</v>
      </c>
      <c r="D275" s="12"/>
      <c r="E275" s="12"/>
      <c r="F275" s="12"/>
      <c r="G275" s="12"/>
      <c r="H275" s="12">
        <v>100020166</v>
      </c>
      <c r="I275" s="12" t="s">
        <v>1036</v>
      </c>
      <c r="J275" s="12"/>
      <c r="K275" s="12" t="s">
        <v>1037</v>
      </c>
      <c r="L275" s="12"/>
      <c r="M275" s="13"/>
      <c r="N275" s="10">
        <v>3206</v>
      </c>
      <c r="O275" s="10"/>
      <c r="P275" s="8"/>
      <c r="Q275" s="6"/>
      <c r="R275" s="6"/>
      <c r="S275" t="b">
        <v>0</v>
      </c>
      <c r="T275" s="6"/>
      <c r="U275" s="6">
        <v>74165</v>
      </c>
      <c r="V275" s="6"/>
      <c r="W275" s="6"/>
      <c r="X275" s="6"/>
      <c r="Y275" s="4" t="s">
        <v>1038</v>
      </c>
    </row>
    <row r="276" spans="1:25">
      <c r="A276" s="12">
        <v>100020166</v>
      </c>
      <c r="B276" s="12">
        <v>2</v>
      </c>
      <c r="C276" s="12" t="s">
        <v>655</v>
      </c>
      <c r="D276" s="12"/>
      <c r="E276" s="12"/>
      <c r="F276" s="12"/>
      <c r="G276" s="12"/>
      <c r="H276" s="12">
        <v>100020167</v>
      </c>
      <c r="I276" s="12" t="s">
        <v>1039</v>
      </c>
      <c r="J276" s="12"/>
      <c r="K276" s="12" t="s">
        <v>1004</v>
      </c>
      <c r="L276" s="12"/>
      <c r="M276" s="13"/>
      <c r="N276" s="10">
        <v>3307</v>
      </c>
      <c r="O276" s="10"/>
      <c r="P276" s="8"/>
      <c r="Q276" s="6"/>
      <c r="R276" s="6"/>
      <c r="S276" t="b">
        <v>0</v>
      </c>
      <c r="T276" s="6"/>
      <c r="U276" s="6">
        <v>74166</v>
      </c>
      <c r="V276" s="6"/>
      <c r="W276" s="6"/>
      <c r="X276" s="6"/>
      <c r="Y276" s="4" t="s">
        <v>1040</v>
      </c>
    </row>
    <row r="277" spans="1:25">
      <c r="A277" s="12">
        <v>100020167</v>
      </c>
      <c r="B277" s="12">
        <v>2</v>
      </c>
      <c r="C277" s="12" t="s">
        <v>655</v>
      </c>
      <c r="D277" s="12"/>
      <c r="E277" s="12"/>
      <c r="F277" s="12"/>
      <c r="G277" s="12"/>
      <c r="H277" s="12">
        <v>100020168</v>
      </c>
      <c r="I277" s="12" t="s">
        <v>1041</v>
      </c>
      <c r="J277" s="12"/>
      <c r="K277" s="12" t="s">
        <v>1007</v>
      </c>
      <c r="L277" s="12"/>
      <c r="M277" s="13"/>
      <c r="N277" s="10">
        <v>11012</v>
      </c>
      <c r="O277" s="10"/>
      <c r="P277" s="8"/>
      <c r="Q277" s="6"/>
      <c r="R277" s="6"/>
      <c r="S277" t="b">
        <v>0</v>
      </c>
      <c r="T277" s="6"/>
      <c r="U277" s="6">
        <v>74167</v>
      </c>
      <c r="V277" s="6"/>
      <c r="W277" s="6"/>
      <c r="X277" s="6"/>
      <c r="Y277" s="4" t="s">
        <v>1042</v>
      </c>
    </row>
    <row r="278" spans="1:25">
      <c r="A278" s="12">
        <v>100020168</v>
      </c>
      <c r="B278" s="12">
        <v>2</v>
      </c>
      <c r="C278" s="12" t="s">
        <v>655</v>
      </c>
      <c r="D278" s="12"/>
      <c r="E278" s="12"/>
      <c r="F278" s="12"/>
      <c r="G278" s="12"/>
      <c r="H278" s="12">
        <v>100020169</v>
      </c>
      <c r="I278" s="12" t="s">
        <v>1043</v>
      </c>
      <c r="J278" s="12"/>
      <c r="K278" s="12" t="s">
        <v>1004</v>
      </c>
      <c r="L278" s="12"/>
      <c r="M278" s="13"/>
      <c r="N278" s="10">
        <v>3206</v>
      </c>
      <c r="O278" s="10"/>
      <c r="P278" s="8"/>
      <c r="Q278" s="6"/>
      <c r="R278" s="6"/>
      <c r="S278" t="b">
        <v>0</v>
      </c>
      <c r="T278" s="6"/>
      <c r="U278" s="6">
        <v>74168</v>
      </c>
      <c r="V278" s="6"/>
      <c r="W278" s="6"/>
      <c r="X278" s="6"/>
      <c r="Y278" s="4" t="s">
        <v>1029</v>
      </c>
    </row>
    <row r="279" spans="1:25">
      <c r="A279" s="12">
        <v>100020169</v>
      </c>
      <c r="B279" s="12">
        <v>2</v>
      </c>
      <c r="C279" s="12" t="s">
        <v>655</v>
      </c>
      <c r="D279" s="12"/>
      <c r="E279" s="12"/>
      <c r="F279" s="12"/>
      <c r="G279" s="12"/>
      <c r="H279" s="12">
        <v>100020170</v>
      </c>
      <c r="I279" s="12" t="s">
        <v>1030</v>
      </c>
      <c r="J279" s="12"/>
      <c r="K279" s="12" t="s">
        <v>1007</v>
      </c>
      <c r="L279" s="12"/>
      <c r="M279" s="13"/>
      <c r="N279" s="10">
        <v>11012</v>
      </c>
      <c r="O279" s="10"/>
      <c r="P279" s="8"/>
      <c r="Q279" s="6"/>
      <c r="R279" s="6"/>
      <c r="S279" t="b">
        <v>0</v>
      </c>
      <c r="T279" s="6"/>
      <c r="U279" s="6">
        <v>74169</v>
      </c>
      <c r="V279" s="6"/>
      <c r="W279" s="6"/>
      <c r="X279" s="6"/>
      <c r="Y279" s="4" t="s">
        <v>1044</v>
      </c>
    </row>
    <row r="280" spans="1:25">
      <c r="A280" s="12">
        <v>100020170</v>
      </c>
      <c r="B280" s="12">
        <v>2</v>
      </c>
      <c r="C280" s="12" t="s">
        <v>655</v>
      </c>
      <c r="D280" s="12"/>
      <c r="E280" s="12"/>
      <c r="F280" s="12"/>
      <c r="G280" s="12"/>
      <c r="H280" s="12">
        <v>100020171</v>
      </c>
      <c r="I280" s="12" t="s">
        <v>1045</v>
      </c>
      <c r="J280" s="12"/>
      <c r="K280" s="12" t="s">
        <v>1004</v>
      </c>
      <c r="L280" s="12"/>
      <c r="M280" s="13"/>
      <c r="N280" s="10">
        <v>3206</v>
      </c>
      <c r="O280" s="10"/>
      <c r="P280" s="8"/>
      <c r="Q280" s="6"/>
      <c r="R280" s="6"/>
      <c r="S280" t="b">
        <v>0</v>
      </c>
      <c r="T280" s="6"/>
      <c r="U280" s="6">
        <v>74170</v>
      </c>
      <c r="V280" s="6"/>
      <c r="W280" s="6"/>
      <c r="X280" s="6"/>
      <c r="Y280" s="4" t="s">
        <v>1046</v>
      </c>
    </row>
    <row r="281" spans="1:25">
      <c r="A281" s="12">
        <v>100020171</v>
      </c>
      <c r="B281" s="12">
        <v>2</v>
      </c>
      <c r="C281" s="12" t="s">
        <v>655</v>
      </c>
      <c r="D281" s="12"/>
      <c r="E281" s="12"/>
      <c r="F281" s="12"/>
      <c r="G281" s="12"/>
      <c r="H281" s="12">
        <v>100020172</v>
      </c>
      <c r="I281" s="12" t="s">
        <v>1047</v>
      </c>
      <c r="J281" s="12"/>
      <c r="K281" s="12" t="s">
        <v>1007</v>
      </c>
      <c r="L281" s="12"/>
      <c r="M281" s="13"/>
      <c r="N281" s="10">
        <v>11012</v>
      </c>
      <c r="O281" s="10"/>
      <c r="P281" s="8"/>
      <c r="Q281" s="6"/>
      <c r="R281" s="6"/>
      <c r="S281" t="b">
        <v>0</v>
      </c>
      <c r="T281" s="6"/>
      <c r="U281" s="6">
        <v>74171</v>
      </c>
      <c r="V281" s="6"/>
      <c r="W281" s="6"/>
      <c r="X281" s="6"/>
      <c r="Y281" s="4" t="s">
        <v>1048</v>
      </c>
    </row>
    <row r="282" spans="1:25">
      <c r="A282" s="12">
        <v>100020172</v>
      </c>
      <c r="B282" s="12">
        <v>2</v>
      </c>
      <c r="C282" s="12" t="s">
        <v>655</v>
      </c>
      <c r="D282" s="12"/>
      <c r="E282" s="12"/>
      <c r="F282" s="12"/>
      <c r="G282" s="12"/>
      <c r="H282" s="12">
        <v>100020173</v>
      </c>
      <c r="I282" s="12" t="s">
        <v>1049</v>
      </c>
      <c r="J282" s="12"/>
      <c r="K282" s="12" t="s">
        <v>1050</v>
      </c>
      <c r="L282" s="12"/>
      <c r="M282" s="13"/>
      <c r="N282" s="10">
        <v>3206</v>
      </c>
      <c r="O282" s="10"/>
      <c r="P282" s="8"/>
      <c r="Q282" s="6"/>
      <c r="R282" s="6"/>
      <c r="S282" t="b">
        <v>0</v>
      </c>
      <c r="T282" s="6"/>
      <c r="U282" s="6">
        <v>74172</v>
      </c>
      <c r="V282" s="6"/>
      <c r="W282" s="6"/>
      <c r="X282" s="6"/>
      <c r="Y282" s="4" t="s">
        <v>1051</v>
      </c>
    </row>
    <row r="283" spans="1:25">
      <c r="A283" s="12">
        <v>100020173</v>
      </c>
      <c r="B283" s="12">
        <v>2</v>
      </c>
      <c r="C283" s="12" t="s">
        <v>655</v>
      </c>
      <c r="D283" s="12"/>
      <c r="E283" s="12"/>
      <c r="F283" s="12"/>
      <c r="G283" s="12"/>
      <c r="H283" s="12">
        <v>100020174</v>
      </c>
      <c r="I283" s="12" t="s">
        <v>1052</v>
      </c>
      <c r="J283" s="12"/>
      <c r="K283" s="12" t="s">
        <v>1004</v>
      </c>
      <c r="L283" s="12"/>
      <c r="M283" s="13"/>
      <c r="N283" s="10">
        <v>3307</v>
      </c>
      <c r="O283" s="10"/>
      <c r="P283" s="8"/>
      <c r="Q283" s="6"/>
      <c r="R283" s="6"/>
      <c r="S283" t="b">
        <v>0</v>
      </c>
      <c r="T283" s="6"/>
      <c r="U283" s="6">
        <v>74173</v>
      </c>
      <c r="V283" s="6"/>
      <c r="W283" s="6"/>
      <c r="X283" s="6"/>
      <c r="Y283" s="4" t="s">
        <v>1053</v>
      </c>
    </row>
    <row r="284" spans="1:25">
      <c r="A284" s="12">
        <v>100020174</v>
      </c>
      <c r="B284" s="12">
        <v>2</v>
      </c>
      <c r="C284" s="12" t="s">
        <v>655</v>
      </c>
      <c r="D284" s="12"/>
      <c r="E284" s="12"/>
      <c r="F284" s="12"/>
      <c r="G284" s="12"/>
      <c r="H284" s="12">
        <v>100020175</v>
      </c>
      <c r="I284" s="12" t="s">
        <v>1054</v>
      </c>
      <c r="J284" s="12"/>
      <c r="K284" s="12" t="s">
        <v>1055</v>
      </c>
      <c r="L284" s="12"/>
      <c r="M284" s="13"/>
      <c r="N284" s="10">
        <v>3405</v>
      </c>
      <c r="O284" s="10"/>
      <c r="P284" s="8"/>
      <c r="Q284" s="6"/>
      <c r="R284" s="6"/>
      <c r="S284" t="b">
        <v>0</v>
      </c>
      <c r="T284" s="6"/>
      <c r="U284" s="6">
        <v>74174</v>
      </c>
      <c r="V284" s="6"/>
      <c r="W284" s="6"/>
      <c r="X284" s="6"/>
      <c r="Y284" s="4" t="s">
        <v>1056</v>
      </c>
    </row>
    <row r="285" spans="1:25">
      <c r="A285" s="12">
        <v>100020175</v>
      </c>
      <c r="B285" s="12">
        <v>2</v>
      </c>
      <c r="C285" s="12" t="s">
        <v>655</v>
      </c>
      <c r="D285" s="12"/>
      <c r="E285" s="12"/>
      <c r="F285" s="12"/>
      <c r="G285" s="12"/>
      <c r="H285" s="12">
        <v>100020176</v>
      </c>
      <c r="I285" s="12" t="s">
        <v>1057</v>
      </c>
      <c r="J285" s="12"/>
      <c r="K285" s="12" t="s">
        <v>1058</v>
      </c>
      <c r="L285" s="12"/>
      <c r="M285" s="13"/>
      <c r="N285" s="10">
        <v>11003</v>
      </c>
      <c r="O285" s="10"/>
      <c r="P285" s="8"/>
      <c r="Q285" s="6"/>
      <c r="R285" s="6"/>
      <c r="S285" t="b">
        <v>0</v>
      </c>
      <c r="T285" s="6"/>
      <c r="U285" s="6">
        <v>74175</v>
      </c>
      <c r="V285" s="6"/>
      <c r="W285" s="6"/>
      <c r="X285" s="6"/>
      <c r="Y285" s="4" t="s">
        <v>1059</v>
      </c>
    </row>
    <row r="286" spans="1:25">
      <c r="A286" s="12">
        <v>100020176</v>
      </c>
      <c r="B286" s="12">
        <v>2</v>
      </c>
      <c r="C286" s="12" t="s">
        <v>655</v>
      </c>
      <c r="D286" s="12"/>
      <c r="E286" s="12"/>
      <c r="F286" s="12"/>
      <c r="G286" s="12"/>
      <c r="H286" s="12">
        <v>100020177</v>
      </c>
      <c r="I286" s="12" t="s">
        <v>1060</v>
      </c>
      <c r="J286" s="12"/>
      <c r="K286" s="12" t="s">
        <v>1061</v>
      </c>
      <c r="L286" s="12"/>
      <c r="M286" s="13"/>
      <c r="N286" s="10">
        <v>3205</v>
      </c>
      <c r="O286" s="10"/>
      <c r="P286" s="8"/>
      <c r="Q286" s="6"/>
      <c r="R286" s="6"/>
      <c r="S286" t="b">
        <v>0</v>
      </c>
      <c r="T286" s="6"/>
      <c r="U286" s="6">
        <v>74176</v>
      </c>
      <c r="V286" s="6"/>
      <c r="W286" s="6"/>
      <c r="X286" s="6"/>
      <c r="Y286" s="4" t="s">
        <v>1062</v>
      </c>
    </row>
    <row r="287" spans="1:25">
      <c r="A287" s="12">
        <v>100020177</v>
      </c>
      <c r="B287" s="12">
        <v>2</v>
      </c>
      <c r="C287" s="12" t="s">
        <v>655</v>
      </c>
      <c r="D287" s="12"/>
      <c r="E287" s="12"/>
      <c r="F287" s="12"/>
      <c r="G287" s="12"/>
      <c r="H287" s="12">
        <v>100020178</v>
      </c>
      <c r="I287" s="12" t="s">
        <v>1063</v>
      </c>
      <c r="J287" s="12"/>
      <c r="K287" s="12" t="s">
        <v>1055</v>
      </c>
      <c r="L287" s="12"/>
      <c r="M287" s="13"/>
      <c r="N287" s="10">
        <v>3308</v>
      </c>
      <c r="O287" s="10"/>
      <c r="P287" s="8"/>
      <c r="Q287" s="6"/>
      <c r="R287" s="6"/>
      <c r="S287" t="b">
        <v>0</v>
      </c>
      <c r="T287" s="6"/>
      <c r="U287" s="6">
        <v>74177</v>
      </c>
      <c r="V287" s="6"/>
      <c r="W287" s="6"/>
      <c r="X287" s="6"/>
      <c r="Y287" s="4" t="s">
        <v>1064</v>
      </c>
    </row>
    <row r="288" spans="1:25">
      <c r="A288" s="12">
        <v>100020178</v>
      </c>
      <c r="B288" s="12">
        <v>2</v>
      </c>
      <c r="C288" s="12" t="s">
        <v>655</v>
      </c>
      <c r="D288" s="12"/>
      <c r="E288" s="12"/>
      <c r="F288" s="12"/>
      <c r="G288" s="12"/>
      <c r="H288" s="12">
        <v>100020179</v>
      </c>
      <c r="I288" s="12" t="s">
        <v>1065</v>
      </c>
      <c r="J288" s="12"/>
      <c r="K288" s="12" t="s">
        <v>1058</v>
      </c>
      <c r="L288" s="12"/>
      <c r="M288" s="13"/>
      <c r="N288" s="10">
        <v>11003</v>
      </c>
      <c r="O288" s="10"/>
      <c r="P288" s="8"/>
      <c r="Q288" s="6"/>
      <c r="R288" s="6"/>
      <c r="S288" t="b">
        <v>0</v>
      </c>
      <c r="T288" s="6"/>
      <c r="U288" s="6">
        <v>74178</v>
      </c>
      <c r="V288" s="6"/>
      <c r="W288" s="6"/>
      <c r="X288" s="6"/>
      <c r="Y288" s="4" t="s">
        <v>1066</v>
      </c>
    </row>
    <row r="289" spans="1:25">
      <c r="A289" s="12">
        <v>100020179</v>
      </c>
      <c r="B289" s="12">
        <v>2</v>
      </c>
      <c r="C289" s="12" t="s">
        <v>655</v>
      </c>
      <c r="D289" s="12"/>
      <c r="E289" s="12"/>
      <c r="F289" s="12"/>
      <c r="G289" s="12"/>
      <c r="H289" s="12">
        <v>100020180</v>
      </c>
      <c r="I289" s="12" t="s">
        <v>1067</v>
      </c>
      <c r="J289" s="12"/>
      <c r="K289" s="12" t="s">
        <v>1068</v>
      </c>
      <c r="L289" s="12"/>
      <c r="M289" s="13"/>
      <c r="N289" s="10">
        <v>3205</v>
      </c>
      <c r="O289" s="10"/>
      <c r="P289" s="8"/>
      <c r="Q289" s="6"/>
      <c r="R289" s="6"/>
      <c r="S289" t="b">
        <v>0</v>
      </c>
      <c r="T289" s="6"/>
      <c r="U289" s="6">
        <v>74179</v>
      </c>
      <c r="V289" s="6"/>
      <c r="W289" s="6"/>
      <c r="X289" s="6"/>
      <c r="Y289" s="4" t="s">
        <v>1062</v>
      </c>
    </row>
    <row r="290" spans="1:25">
      <c r="A290" s="12">
        <v>100020180</v>
      </c>
      <c r="B290" s="12">
        <v>2</v>
      </c>
      <c r="C290" s="12" t="s">
        <v>655</v>
      </c>
      <c r="D290" s="12"/>
      <c r="E290" s="12"/>
      <c r="F290" s="12"/>
      <c r="G290" s="12"/>
      <c r="H290" s="12">
        <v>100020181</v>
      </c>
      <c r="I290" s="12" t="s">
        <v>1063</v>
      </c>
      <c r="J290" s="12"/>
      <c r="K290" s="12" t="s">
        <v>1055</v>
      </c>
      <c r="L290" s="12"/>
      <c r="M290" s="13"/>
      <c r="N290" s="10">
        <v>3308</v>
      </c>
      <c r="O290" s="10"/>
      <c r="P290" s="8"/>
      <c r="Q290" s="6"/>
      <c r="R290" s="6"/>
      <c r="S290" t="b">
        <v>0</v>
      </c>
      <c r="T290" s="6"/>
      <c r="U290" s="6">
        <v>74180</v>
      </c>
      <c r="V290" s="6"/>
      <c r="W290" s="6"/>
      <c r="X290" s="6"/>
      <c r="Y290" s="4" t="s">
        <v>1069</v>
      </c>
    </row>
    <row r="291" spans="1:25">
      <c r="A291" s="12">
        <v>100020181</v>
      </c>
      <c r="B291" s="12">
        <v>2</v>
      </c>
      <c r="C291" s="12" t="s">
        <v>655</v>
      </c>
      <c r="D291" s="12"/>
      <c r="E291" s="12"/>
      <c r="F291" s="12"/>
      <c r="G291" s="12"/>
      <c r="H291" s="12">
        <v>100020182</v>
      </c>
      <c r="I291" s="12" t="s">
        <v>1070</v>
      </c>
      <c r="J291" s="12"/>
      <c r="K291" s="12" t="s">
        <v>1058</v>
      </c>
      <c r="L291" s="12"/>
      <c r="M291" s="13"/>
      <c r="N291" s="10">
        <v>11003</v>
      </c>
      <c r="O291" s="10"/>
      <c r="P291" s="8"/>
      <c r="Q291" s="6"/>
      <c r="R291" s="6"/>
      <c r="S291" t="b">
        <v>0</v>
      </c>
      <c r="T291" s="6"/>
      <c r="U291" s="6">
        <v>74181</v>
      </c>
      <c r="V291" s="6"/>
      <c r="W291" s="6"/>
      <c r="X291" s="6"/>
      <c r="Y291" s="4" t="s">
        <v>1071</v>
      </c>
    </row>
    <row r="292" spans="1:25">
      <c r="A292" s="12">
        <v>100020182</v>
      </c>
      <c r="B292" s="12">
        <v>2</v>
      </c>
      <c r="C292" s="12" t="s">
        <v>655</v>
      </c>
      <c r="D292" s="12"/>
      <c r="E292" s="12"/>
      <c r="F292" s="12"/>
      <c r="G292" s="12"/>
      <c r="H292" s="12">
        <v>100020183</v>
      </c>
      <c r="I292" s="12" t="s">
        <v>1072</v>
      </c>
      <c r="J292" s="12"/>
      <c r="K292" s="12" t="s">
        <v>1073</v>
      </c>
      <c r="L292" s="12"/>
      <c r="M292" s="13"/>
      <c r="N292" s="10">
        <v>3205</v>
      </c>
      <c r="O292" s="10"/>
      <c r="P292" s="8"/>
      <c r="Q292" s="6"/>
      <c r="R292" s="6"/>
      <c r="S292" t="b">
        <v>0</v>
      </c>
      <c r="T292" s="6"/>
      <c r="U292" s="6">
        <v>74182</v>
      </c>
      <c r="V292" s="6"/>
      <c r="W292" s="6"/>
      <c r="X292" s="6"/>
      <c r="Y292" s="4" t="s">
        <v>1074</v>
      </c>
    </row>
    <row r="293" spans="1:25">
      <c r="A293" s="12">
        <v>100020183</v>
      </c>
      <c r="B293" s="12">
        <v>2</v>
      </c>
      <c r="C293" s="12" t="s">
        <v>655</v>
      </c>
      <c r="D293" s="12"/>
      <c r="E293" s="12"/>
      <c r="F293" s="12"/>
      <c r="G293" s="12"/>
      <c r="H293" s="12">
        <v>100020184</v>
      </c>
      <c r="I293" s="12" t="s">
        <v>1075</v>
      </c>
      <c r="J293" s="12"/>
      <c r="K293" s="12" t="s">
        <v>1055</v>
      </c>
      <c r="L293" s="12"/>
      <c r="M293" s="13"/>
      <c r="N293" s="10">
        <v>3308</v>
      </c>
      <c r="O293" s="10"/>
      <c r="P293" s="8"/>
      <c r="Q293" s="6"/>
      <c r="R293" s="6"/>
      <c r="S293" t="b">
        <v>0</v>
      </c>
      <c r="T293" s="6"/>
      <c r="U293" s="6">
        <v>74183</v>
      </c>
      <c r="V293" s="6"/>
      <c r="W293" s="6"/>
      <c r="X293" s="6"/>
      <c r="Y293" s="4" t="s">
        <v>1076</v>
      </c>
    </row>
    <row r="294" spans="1:25">
      <c r="A294" s="12">
        <v>100020184</v>
      </c>
      <c r="B294" s="12">
        <v>2</v>
      </c>
      <c r="C294" s="12" t="s">
        <v>655</v>
      </c>
      <c r="D294" s="12"/>
      <c r="E294" s="12"/>
      <c r="F294" s="12"/>
      <c r="G294" s="12"/>
      <c r="H294" s="12">
        <v>100020185</v>
      </c>
      <c r="I294" s="12" t="s">
        <v>1077</v>
      </c>
      <c r="J294" s="12"/>
      <c r="K294" s="12" t="s">
        <v>1058</v>
      </c>
      <c r="L294" s="12"/>
      <c r="M294" s="13"/>
      <c r="N294" s="10">
        <v>11003</v>
      </c>
      <c r="O294" s="10"/>
      <c r="P294" s="8"/>
      <c r="Q294" s="6"/>
      <c r="R294" s="6"/>
      <c r="S294" t="b">
        <v>0</v>
      </c>
      <c r="T294" s="6"/>
      <c r="U294" s="6">
        <v>74184</v>
      </c>
      <c r="V294" s="6"/>
      <c r="W294" s="6"/>
      <c r="X294" s="6"/>
      <c r="Y294" s="4" t="s">
        <v>1078</v>
      </c>
    </row>
    <row r="295" spans="1:25">
      <c r="A295" s="12">
        <v>100020185</v>
      </c>
      <c r="B295" s="12">
        <v>2</v>
      </c>
      <c r="C295" s="12" t="s">
        <v>655</v>
      </c>
      <c r="D295" s="12"/>
      <c r="E295" s="12"/>
      <c r="F295" s="12"/>
      <c r="G295" s="12"/>
      <c r="H295" s="12">
        <v>100020186</v>
      </c>
      <c r="I295" s="12" t="s">
        <v>1079</v>
      </c>
      <c r="J295" s="12"/>
      <c r="K295" s="12" t="s">
        <v>1055</v>
      </c>
      <c r="L295" s="12"/>
      <c r="M295" s="13"/>
      <c r="N295" s="10">
        <v>3205</v>
      </c>
      <c r="O295" s="10"/>
      <c r="P295" s="8"/>
      <c r="Q295" s="6"/>
      <c r="R295" s="6"/>
      <c r="S295" t="b">
        <v>0</v>
      </c>
      <c r="T295" s="6"/>
      <c r="U295" s="6">
        <v>74185</v>
      </c>
      <c r="V295" s="6"/>
      <c r="W295" s="6"/>
      <c r="X295" s="6"/>
      <c r="Y295" s="4" t="s">
        <v>1080</v>
      </c>
    </row>
    <row r="296" spans="1:25">
      <c r="A296" s="12">
        <v>100020186</v>
      </c>
      <c r="B296" s="12">
        <v>2</v>
      </c>
      <c r="C296" s="12" t="s">
        <v>655</v>
      </c>
      <c r="D296" s="12"/>
      <c r="E296" s="12"/>
      <c r="F296" s="12"/>
      <c r="G296" s="12"/>
      <c r="H296" s="12">
        <v>100020187</v>
      </c>
      <c r="I296" s="12" t="s">
        <v>1081</v>
      </c>
      <c r="J296" s="12"/>
      <c r="K296" s="12" t="s">
        <v>1058</v>
      </c>
      <c r="L296" s="12"/>
      <c r="M296" s="13"/>
      <c r="N296" s="10">
        <v>11003</v>
      </c>
      <c r="O296" s="10"/>
      <c r="P296" s="8"/>
      <c r="Q296" s="6"/>
      <c r="R296" s="6"/>
      <c r="S296" t="b">
        <v>0</v>
      </c>
      <c r="T296" s="6"/>
      <c r="U296" s="6">
        <v>74186</v>
      </c>
      <c r="V296" s="6"/>
      <c r="W296" s="6"/>
      <c r="X296" s="6"/>
      <c r="Y296" s="4" t="s">
        <v>1082</v>
      </c>
    </row>
    <row r="297" spans="1:25">
      <c r="A297" s="12">
        <v>100020187</v>
      </c>
      <c r="B297" s="12">
        <v>2</v>
      </c>
      <c r="C297" s="12" t="s">
        <v>655</v>
      </c>
      <c r="D297" s="12"/>
      <c r="E297" s="12"/>
      <c r="F297" s="12"/>
      <c r="G297" s="12"/>
      <c r="H297" s="12">
        <v>100020188</v>
      </c>
      <c r="I297" s="12" t="s">
        <v>1083</v>
      </c>
      <c r="J297" s="12"/>
      <c r="K297" s="12" t="s">
        <v>1055</v>
      </c>
      <c r="L297" s="12"/>
      <c r="M297" s="13"/>
      <c r="N297" s="10">
        <v>3205</v>
      </c>
      <c r="O297" s="10"/>
      <c r="P297" s="8"/>
      <c r="Q297" s="6"/>
      <c r="R297" s="6"/>
      <c r="S297" t="b">
        <v>0</v>
      </c>
      <c r="T297" s="6"/>
      <c r="U297" s="6">
        <v>74187</v>
      </c>
      <c r="V297" s="6"/>
      <c r="W297" s="6"/>
      <c r="X297" s="6"/>
      <c r="Y297" s="4" t="s">
        <v>1084</v>
      </c>
    </row>
    <row r="298" spans="1:25">
      <c r="A298" s="12">
        <v>100020188</v>
      </c>
      <c r="B298" s="12">
        <v>2</v>
      </c>
      <c r="C298" s="12" t="s">
        <v>655</v>
      </c>
      <c r="D298" s="12"/>
      <c r="E298" s="12"/>
      <c r="F298" s="12"/>
      <c r="G298" s="12"/>
      <c r="H298" s="12">
        <v>100020189</v>
      </c>
      <c r="I298" s="12" t="s">
        <v>1085</v>
      </c>
      <c r="J298" s="12"/>
      <c r="K298" s="12" t="s">
        <v>1058</v>
      </c>
      <c r="L298" s="12"/>
      <c r="M298" s="13"/>
      <c r="N298" s="10">
        <v>11003</v>
      </c>
      <c r="O298" s="10"/>
      <c r="P298" s="8"/>
      <c r="Q298" s="6"/>
      <c r="R298" s="6"/>
      <c r="S298" t="b">
        <v>0</v>
      </c>
      <c r="T298" s="6"/>
      <c r="U298" s="6">
        <v>74188</v>
      </c>
      <c r="V298" s="6"/>
      <c r="W298" s="6"/>
      <c r="X298" s="6"/>
      <c r="Y298" s="4" t="s">
        <v>1086</v>
      </c>
    </row>
    <row r="299" spans="1:25">
      <c r="A299" s="12">
        <v>100020189</v>
      </c>
      <c r="B299" s="12">
        <v>2</v>
      </c>
      <c r="C299" s="12" t="s">
        <v>655</v>
      </c>
      <c r="D299" s="12"/>
      <c r="E299" s="12"/>
      <c r="F299" s="12"/>
      <c r="G299" s="12"/>
      <c r="H299" s="12">
        <v>100020190</v>
      </c>
      <c r="I299" s="12" t="s">
        <v>1087</v>
      </c>
      <c r="J299" s="12"/>
      <c r="K299" s="12" t="s">
        <v>1088</v>
      </c>
      <c r="L299" s="12"/>
      <c r="M299" s="13"/>
      <c r="N299" s="10">
        <v>3205</v>
      </c>
      <c r="O299" s="10"/>
      <c r="P299" s="8"/>
      <c r="Q299" s="6"/>
      <c r="R299" s="6"/>
      <c r="S299" t="b">
        <v>0</v>
      </c>
      <c r="T299" s="6"/>
      <c r="U299" s="6">
        <v>74189</v>
      </c>
      <c r="V299" s="6"/>
      <c r="W299" s="6"/>
      <c r="X299" s="6"/>
      <c r="Y299" s="4" t="s">
        <v>1089</v>
      </c>
    </row>
    <row r="300" spans="1:25">
      <c r="A300" s="12">
        <v>100020190</v>
      </c>
      <c r="B300" s="12">
        <v>2</v>
      </c>
      <c r="C300" s="12" t="s">
        <v>655</v>
      </c>
      <c r="D300" s="12"/>
      <c r="E300" s="12"/>
      <c r="F300" s="12"/>
      <c r="G300" s="12"/>
      <c r="H300" s="12">
        <v>100020191</v>
      </c>
      <c r="I300" s="12" t="s">
        <v>1090</v>
      </c>
      <c r="J300" s="12"/>
      <c r="K300" s="12" t="s">
        <v>1055</v>
      </c>
      <c r="L300" s="12"/>
      <c r="M300" s="13"/>
      <c r="N300" s="10">
        <v>3308</v>
      </c>
      <c r="O300" s="10"/>
      <c r="P300" s="8"/>
      <c r="Q300" s="6"/>
      <c r="R300" s="6"/>
      <c r="S300" t="b">
        <v>0</v>
      </c>
      <c r="T300" s="6"/>
      <c r="U300" s="6">
        <v>74190</v>
      </c>
      <c r="V300" s="6"/>
      <c r="W300" s="6"/>
      <c r="X300" s="6"/>
      <c r="Y300" s="4" t="s">
        <v>1091</v>
      </c>
    </row>
    <row r="301" spans="1:25">
      <c r="A301" s="12">
        <v>100020191</v>
      </c>
      <c r="B301" s="12">
        <v>2</v>
      </c>
      <c r="C301" s="12" t="s">
        <v>655</v>
      </c>
      <c r="D301" s="12"/>
      <c r="E301" s="12"/>
      <c r="F301" s="12"/>
      <c r="G301" s="12"/>
      <c r="H301" s="12">
        <v>100020192</v>
      </c>
      <c r="I301" s="12" t="s">
        <v>1092</v>
      </c>
      <c r="J301" s="12"/>
      <c r="K301" s="12" t="s">
        <v>1058</v>
      </c>
      <c r="L301" s="12"/>
      <c r="M301" s="13"/>
      <c r="N301" s="10">
        <v>11003</v>
      </c>
      <c r="O301" s="10"/>
      <c r="P301" s="8"/>
      <c r="Q301" s="6"/>
      <c r="R301" s="6"/>
      <c r="S301" t="b">
        <v>0</v>
      </c>
      <c r="T301" s="6"/>
      <c r="U301" s="6">
        <v>74191</v>
      </c>
      <c r="V301" s="6"/>
      <c r="W301" s="6"/>
      <c r="X301" s="6"/>
      <c r="Y301" s="4" t="s">
        <v>1093</v>
      </c>
    </row>
    <row r="302" spans="1:25">
      <c r="A302" s="12">
        <v>100020192</v>
      </c>
      <c r="B302" s="12">
        <v>2</v>
      </c>
      <c r="C302" s="12" t="s">
        <v>655</v>
      </c>
      <c r="D302" s="12"/>
      <c r="E302" s="12"/>
      <c r="F302" s="12"/>
      <c r="G302" s="12"/>
      <c r="H302" s="12">
        <v>100020193</v>
      </c>
      <c r="I302" s="12" t="s">
        <v>1094</v>
      </c>
      <c r="J302" s="12"/>
      <c r="K302" s="12" t="s">
        <v>1055</v>
      </c>
      <c r="L302" s="12"/>
      <c r="M302" s="13"/>
      <c r="N302" s="10">
        <v>3205</v>
      </c>
      <c r="O302" s="10"/>
      <c r="P302" s="8"/>
      <c r="Q302" s="6"/>
      <c r="R302" s="6"/>
      <c r="S302" t="b">
        <v>0</v>
      </c>
      <c r="T302" s="6"/>
      <c r="U302" s="6">
        <v>74192</v>
      </c>
      <c r="V302" s="6"/>
      <c r="W302" s="6"/>
      <c r="X302" s="6"/>
      <c r="Y302" s="4" t="s">
        <v>1080</v>
      </c>
    </row>
    <row r="303" spans="1:25">
      <c r="A303" s="12">
        <v>100020193</v>
      </c>
      <c r="B303" s="12">
        <v>2</v>
      </c>
      <c r="C303" s="12" t="s">
        <v>655</v>
      </c>
      <c r="D303" s="12"/>
      <c r="E303" s="12"/>
      <c r="F303" s="12"/>
      <c r="G303" s="12"/>
      <c r="H303" s="12">
        <v>100020194</v>
      </c>
      <c r="I303" s="12" t="s">
        <v>1081</v>
      </c>
      <c r="J303" s="12"/>
      <c r="K303" s="12" t="s">
        <v>1058</v>
      </c>
      <c r="L303" s="12"/>
      <c r="M303" s="13"/>
      <c r="N303" s="10">
        <v>11003</v>
      </c>
      <c r="O303" s="10"/>
      <c r="P303" s="8"/>
      <c r="Q303" s="6"/>
      <c r="R303" s="6"/>
      <c r="S303" t="b">
        <v>0</v>
      </c>
      <c r="T303" s="6"/>
      <c r="U303" s="6">
        <v>74193</v>
      </c>
      <c r="V303" s="6"/>
      <c r="W303" s="6"/>
      <c r="X303" s="6"/>
      <c r="Y303" s="4" t="s">
        <v>1095</v>
      </c>
    </row>
    <row r="304" spans="1:25">
      <c r="A304" s="12">
        <v>100020194</v>
      </c>
      <c r="B304" s="12">
        <v>2</v>
      </c>
      <c r="C304" s="12" t="s">
        <v>655</v>
      </c>
      <c r="D304" s="12"/>
      <c r="E304" s="12"/>
      <c r="F304" s="12"/>
      <c r="G304" s="12"/>
      <c r="H304" s="12">
        <v>100020195</v>
      </c>
      <c r="I304" s="12" t="s">
        <v>1096</v>
      </c>
      <c r="J304" s="12"/>
      <c r="K304" s="12" t="s">
        <v>1055</v>
      </c>
      <c r="L304" s="12"/>
      <c r="M304" s="13"/>
      <c r="N304" s="10">
        <v>3205</v>
      </c>
      <c r="O304" s="10"/>
      <c r="P304" s="8"/>
      <c r="Q304" s="6"/>
      <c r="R304" s="6"/>
      <c r="S304" t="b">
        <v>0</v>
      </c>
      <c r="T304" s="6"/>
      <c r="U304" s="6">
        <v>74194</v>
      </c>
      <c r="V304" s="6"/>
      <c r="W304" s="6"/>
      <c r="X304" s="6"/>
      <c r="Y304" s="4" t="s">
        <v>1097</v>
      </c>
    </row>
    <row r="305" spans="1:25">
      <c r="A305" s="12">
        <v>100020195</v>
      </c>
      <c r="B305" s="12">
        <v>2</v>
      </c>
      <c r="C305" s="12" t="s">
        <v>655</v>
      </c>
      <c r="D305" s="12"/>
      <c r="E305" s="12"/>
      <c r="F305" s="12"/>
      <c r="G305" s="12"/>
      <c r="H305" s="12">
        <v>100020196</v>
      </c>
      <c r="I305" s="12" t="s">
        <v>1098</v>
      </c>
      <c r="J305" s="12"/>
      <c r="K305" s="12" t="s">
        <v>1058</v>
      </c>
      <c r="L305" s="12"/>
      <c r="M305" s="13"/>
      <c r="N305" s="10">
        <v>11003</v>
      </c>
      <c r="O305" s="10"/>
      <c r="P305" s="8"/>
      <c r="Q305" s="6"/>
      <c r="R305" s="6"/>
      <c r="S305" t="b">
        <v>0</v>
      </c>
      <c r="T305" s="6"/>
      <c r="U305" s="6">
        <v>74195</v>
      </c>
      <c r="V305" s="6"/>
      <c r="W305" s="6"/>
      <c r="X305" s="6"/>
      <c r="Y305" s="4" t="s">
        <v>1099</v>
      </c>
    </row>
    <row r="306" spans="1:25">
      <c r="A306" s="12">
        <v>100020196</v>
      </c>
      <c r="B306" s="12">
        <v>2</v>
      </c>
      <c r="C306" s="12" t="s">
        <v>655</v>
      </c>
      <c r="D306" s="12"/>
      <c r="E306" s="12"/>
      <c r="F306" s="12"/>
      <c r="G306" s="12"/>
      <c r="H306" s="12">
        <v>100020197</v>
      </c>
      <c r="I306" s="12" t="s">
        <v>1100</v>
      </c>
      <c r="J306" s="12"/>
      <c r="K306" s="12" t="s">
        <v>1101</v>
      </c>
      <c r="L306" s="12"/>
      <c r="M306" s="13"/>
      <c r="N306" s="10">
        <v>3205</v>
      </c>
      <c r="O306" s="10"/>
      <c r="P306" s="8"/>
      <c r="Q306" s="6"/>
      <c r="R306" s="6"/>
      <c r="S306" t="b">
        <v>0</v>
      </c>
      <c r="T306" s="6"/>
      <c r="U306" s="6">
        <v>74196</v>
      </c>
      <c r="V306" s="6"/>
      <c r="W306" s="6"/>
      <c r="X306" s="6"/>
      <c r="Y306" s="4" t="s">
        <v>1102</v>
      </c>
    </row>
    <row r="307" spans="1:25">
      <c r="A307" s="12">
        <v>100020197</v>
      </c>
      <c r="B307" s="12">
        <v>2</v>
      </c>
      <c r="C307" s="12" t="s">
        <v>655</v>
      </c>
      <c r="D307" s="12"/>
      <c r="E307" s="12"/>
      <c r="F307" s="12"/>
      <c r="G307" s="12"/>
      <c r="H307" s="12">
        <v>100020198</v>
      </c>
      <c r="I307" s="12" t="s">
        <v>1103</v>
      </c>
      <c r="J307" s="12"/>
      <c r="K307" s="12" t="s">
        <v>1055</v>
      </c>
      <c r="L307" s="12"/>
      <c r="M307" s="13"/>
      <c r="N307" s="10">
        <v>3308</v>
      </c>
      <c r="O307" s="10"/>
      <c r="P307" s="8"/>
      <c r="Q307" s="6"/>
      <c r="R307" s="6"/>
      <c r="S307" t="b">
        <v>0</v>
      </c>
      <c r="T307" s="6"/>
      <c r="U307" s="6">
        <v>74197</v>
      </c>
      <c r="V307" s="6"/>
      <c r="W307" s="6"/>
      <c r="X307" s="6"/>
      <c r="Y307" s="4" t="s">
        <v>1104</v>
      </c>
    </row>
    <row r="308" spans="1:25">
      <c r="A308" s="12">
        <v>100020198</v>
      </c>
      <c r="B308" s="12">
        <v>2</v>
      </c>
      <c r="C308" s="12" t="s">
        <v>655</v>
      </c>
      <c r="D308" s="12"/>
      <c r="E308" s="12"/>
      <c r="F308" s="12"/>
      <c r="G308" s="12"/>
      <c r="H308" s="12">
        <v>100020199</v>
      </c>
      <c r="I308" s="12" t="s">
        <v>1105</v>
      </c>
      <c r="J308" s="12"/>
      <c r="K308" s="12" t="s">
        <v>1106</v>
      </c>
      <c r="L308" s="12"/>
      <c r="M308" s="13"/>
      <c r="N308" s="10">
        <v>3412</v>
      </c>
      <c r="O308" s="10"/>
      <c r="P308" s="8"/>
      <c r="Q308" s="6"/>
      <c r="R308" s="6"/>
      <c r="S308" t="b">
        <v>0</v>
      </c>
      <c r="T308" s="6"/>
      <c r="U308" s="6">
        <v>74198</v>
      </c>
      <c r="V308" s="6"/>
      <c r="W308" s="6"/>
      <c r="X308" s="6"/>
      <c r="Y308" s="4" t="s">
        <v>1107</v>
      </c>
    </row>
    <row r="309" spans="1:25">
      <c r="A309" s="12">
        <v>100020199</v>
      </c>
      <c r="B309" s="12">
        <v>2</v>
      </c>
      <c r="C309" s="12" t="s">
        <v>655</v>
      </c>
      <c r="D309" s="12"/>
      <c r="E309" s="12"/>
      <c r="F309" s="12"/>
      <c r="G309" s="12"/>
      <c r="H309" s="12">
        <v>100020200</v>
      </c>
      <c r="I309" s="12" t="s">
        <v>1108</v>
      </c>
      <c r="J309" s="12"/>
      <c r="K309" s="12" t="s">
        <v>1109</v>
      </c>
      <c r="L309" s="12"/>
      <c r="M309" s="13"/>
      <c r="N309" s="10">
        <v>11044</v>
      </c>
      <c r="O309" s="10"/>
      <c r="P309" s="8"/>
      <c r="Q309" s="6"/>
      <c r="R309" s="6"/>
      <c r="S309" t="b">
        <v>0</v>
      </c>
      <c r="T309" s="6"/>
      <c r="U309" s="6">
        <v>74199</v>
      </c>
      <c r="V309" s="6"/>
      <c r="W309" s="6"/>
      <c r="X309" s="6"/>
      <c r="Y309" s="4" t="s">
        <v>1110</v>
      </c>
    </row>
    <row r="310" spans="1:25">
      <c r="A310" s="12">
        <v>100020200</v>
      </c>
      <c r="B310" s="12">
        <v>2</v>
      </c>
      <c r="C310" s="12" t="s">
        <v>655</v>
      </c>
      <c r="D310" s="12"/>
      <c r="E310" s="12"/>
      <c r="F310" s="12"/>
      <c r="G310" s="12"/>
      <c r="H310" s="12">
        <v>100020201</v>
      </c>
      <c r="I310" s="12" t="s">
        <v>1111</v>
      </c>
      <c r="J310" s="12"/>
      <c r="K310" s="12" t="s">
        <v>1112</v>
      </c>
      <c r="L310" s="12"/>
      <c r="M310" s="13"/>
      <c r="N310" s="10">
        <v>3212</v>
      </c>
      <c r="O310" s="10"/>
      <c r="P310" s="8"/>
      <c r="Q310" s="6"/>
      <c r="R310" s="6"/>
      <c r="S310" t="b">
        <v>0</v>
      </c>
      <c r="T310" s="6"/>
      <c r="U310" s="6">
        <v>74200</v>
      </c>
      <c r="V310" s="6"/>
      <c r="W310" s="6"/>
      <c r="X310" s="6"/>
      <c r="Y310" s="4" t="s">
        <v>1113</v>
      </c>
    </row>
    <row r="311" spans="1:25">
      <c r="A311" s="12">
        <v>100020201</v>
      </c>
      <c r="B311" s="12">
        <v>2</v>
      </c>
      <c r="C311" s="12" t="s">
        <v>655</v>
      </c>
      <c r="D311" s="12"/>
      <c r="E311" s="12"/>
      <c r="F311" s="12"/>
      <c r="G311" s="12"/>
      <c r="H311" s="12">
        <v>100020202</v>
      </c>
      <c r="I311" s="12" t="s">
        <v>1114</v>
      </c>
      <c r="J311" s="12"/>
      <c r="K311" s="12" t="s">
        <v>1106</v>
      </c>
      <c r="L311" s="12"/>
      <c r="M311" s="13"/>
      <c r="N311" s="10">
        <v>3309</v>
      </c>
      <c r="O311" s="10"/>
      <c r="P311" s="8"/>
      <c r="Q311" s="6"/>
      <c r="R311" s="6"/>
      <c r="S311" t="b">
        <v>0</v>
      </c>
      <c r="T311" s="6"/>
      <c r="U311" s="6">
        <v>74201</v>
      </c>
      <c r="V311" s="6"/>
      <c r="W311" s="6"/>
      <c r="X311" s="6"/>
      <c r="Y311" s="4" t="s">
        <v>1115</v>
      </c>
    </row>
    <row r="312" spans="1:25">
      <c r="A312" s="12">
        <v>100020202</v>
      </c>
      <c r="B312" s="12">
        <v>2</v>
      </c>
      <c r="C312" s="12" t="s">
        <v>655</v>
      </c>
      <c r="D312" s="12"/>
      <c r="E312" s="12"/>
      <c r="F312" s="12"/>
      <c r="G312" s="12"/>
      <c r="H312" s="12">
        <v>100020203</v>
      </c>
      <c r="I312" s="12" t="s">
        <v>1116</v>
      </c>
      <c r="J312" s="12"/>
      <c r="K312" s="12" t="s">
        <v>1109</v>
      </c>
      <c r="L312" s="12"/>
      <c r="M312" s="13"/>
      <c r="N312" s="10">
        <v>11044</v>
      </c>
      <c r="O312" s="10"/>
      <c r="P312" s="8"/>
      <c r="Q312" s="6"/>
      <c r="R312" s="6"/>
      <c r="S312" t="b">
        <v>0</v>
      </c>
      <c r="T312" s="6"/>
      <c r="U312" s="6">
        <v>74202</v>
      </c>
      <c r="V312" s="6"/>
      <c r="W312" s="6"/>
      <c r="X312" s="6"/>
      <c r="Y312" s="4" t="s">
        <v>1117</v>
      </c>
    </row>
    <row r="313" spans="1:25">
      <c r="A313" s="12">
        <v>100020203</v>
      </c>
      <c r="B313" s="12">
        <v>2</v>
      </c>
      <c r="C313" s="12" t="s">
        <v>655</v>
      </c>
      <c r="D313" s="12"/>
      <c r="E313" s="12"/>
      <c r="F313" s="12"/>
      <c r="G313" s="12"/>
      <c r="H313" s="12">
        <v>100020204</v>
      </c>
      <c r="I313" s="12" t="s">
        <v>1118</v>
      </c>
      <c r="J313" s="12"/>
      <c r="K313" s="12" t="s">
        <v>1119</v>
      </c>
      <c r="L313" s="12"/>
      <c r="M313" s="13"/>
      <c r="N313" s="10">
        <v>3212</v>
      </c>
      <c r="O313" s="10"/>
      <c r="P313" s="8"/>
      <c r="Q313" s="6"/>
      <c r="R313" s="6"/>
      <c r="S313" t="b">
        <v>0</v>
      </c>
      <c r="T313" s="6"/>
      <c r="U313" s="6">
        <v>74203</v>
      </c>
      <c r="V313" s="6"/>
      <c r="W313" s="6"/>
      <c r="X313" s="6"/>
      <c r="Y313" s="4" t="s">
        <v>1113</v>
      </c>
    </row>
    <row r="314" spans="1:25">
      <c r="A314" s="12">
        <v>100020204</v>
      </c>
      <c r="B314" s="12">
        <v>2</v>
      </c>
      <c r="C314" s="12" t="s">
        <v>655</v>
      </c>
      <c r="D314" s="12"/>
      <c r="E314" s="12"/>
      <c r="F314" s="12"/>
      <c r="G314" s="12"/>
      <c r="H314" s="12">
        <v>100020205</v>
      </c>
      <c r="I314" s="12" t="s">
        <v>1114</v>
      </c>
      <c r="J314" s="12"/>
      <c r="K314" s="12" t="s">
        <v>1106</v>
      </c>
      <c r="L314" s="12"/>
      <c r="M314" s="13"/>
      <c r="N314" s="10">
        <v>3309</v>
      </c>
      <c r="O314" s="10"/>
      <c r="P314" s="8"/>
      <c r="Q314" s="6"/>
      <c r="R314" s="6"/>
      <c r="S314" t="b">
        <v>0</v>
      </c>
      <c r="T314" s="6"/>
      <c r="U314" s="6">
        <v>74204</v>
      </c>
      <c r="V314" s="6"/>
      <c r="W314" s="6"/>
      <c r="X314" s="6"/>
      <c r="Y314" s="4" t="s">
        <v>1120</v>
      </c>
    </row>
    <row r="315" spans="1:25">
      <c r="A315" s="12">
        <v>100020205</v>
      </c>
      <c r="B315" s="12">
        <v>2</v>
      </c>
      <c r="C315" s="12" t="s">
        <v>655</v>
      </c>
      <c r="D315" s="12"/>
      <c r="E315" s="12"/>
      <c r="F315" s="12"/>
      <c r="G315" s="12"/>
      <c r="H315" s="12">
        <v>100020206</v>
      </c>
      <c r="I315" s="12" t="s">
        <v>1121</v>
      </c>
      <c r="J315" s="12"/>
      <c r="K315" s="12" t="s">
        <v>1109</v>
      </c>
      <c r="L315" s="12"/>
      <c r="M315" s="13"/>
      <c r="N315" s="10">
        <v>11044</v>
      </c>
      <c r="O315" s="10"/>
      <c r="P315" s="8"/>
      <c r="Q315" s="6"/>
      <c r="R315" s="6"/>
      <c r="S315" t="b">
        <v>0</v>
      </c>
      <c r="T315" s="6"/>
      <c r="U315" s="6">
        <v>74205</v>
      </c>
      <c r="V315" s="6"/>
      <c r="W315" s="6"/>
      <c r="X315" s="6"/>
      <c r="Y315" s="4" t="s">
        <v>1122</v>
      </c>
    </row>
    <row r="316" spans="1:25">
      <c r="A316" s="12">
        <v>100020206</v>
      </c>
      <c r="B316" s="12">
        <v>2</v>
      </c>
      <c r="C316" s="12" t="s">
        <v>655</v>
      </c>
      <c r="D316" s="12"/>
      <c r="E316" s="12"/>
      <c r="F316" s="12"/>
      <c r="G316" s="12"/>
      <c r="H316" s="12">
        <v>100020207</v>
      </c>
      <c r="I316" s="12" t="s">
        <v>1123</v>
      </c>
      <c r="J316" s="12"/>
      <c r="K316" s="12" t="s">
        <v>1124</v>
      </c>
      <c r="L316" s="12"/>
      <c r="M316" s="13"/>
      <c r="N316" s="10">
        <v>3212</v>
      </c>
      <c r="O316" s="10"/>
      <c r="P316" s="8"/>
      <c r="Q316" s="6"/>
      <c r="R316" s="6"/>
      <c r="S316" t="b">
        <v>0</v>
      </c>
      <c r="T316" s="6"/>
      <c r="U316" s="6">
        <v>74206</v>
      </c>
      <c r="V316" s="6"/>
      <c r="W316" s="6"/>
      <c r="X316" s="6"/>
      <c r="Y316" s="4" t="s">
        <v>1125</v>
      </c>
    </row>
    <row r="317" spans="1:25">
      <c r="A317" s="12">
        <v>100020207</v>
      </c>
      <c r="B317" s="12">
        <v>2</v>
      </c>
      <c r="C317" s="12" t="s">
        <v>655</v>
      </c>
      <c r="D317" s="12"/>
      <c r="E317" s="12"/>
      <c r="F317" s="12"/>
      <c r="G317" s="12"/>
      <c r="H317" s="12">
        <v>100020208</v>
      </c>
      <c r="I317" s="12" t="s">
        <v>1126</v>
      </c>
      <c r="J317" s="12"/>
      <c r="K317" s="12" t="s">
        <v>1106</v>
      </c>
      <c r="L317" s="12"/>
      <c r="M317" s="13"/>
      <c r="N317" s="10">
        <v>3309</v>
      </c>
      <c r="O317" s="10"/>
      <c r="P317" s="8"/>
      <c r="Q317" s="6"/>
      <c r="R317" s="6"/>
      <c r="S317" t="b">
        <v>0</v>
      </c>
      <c r="T317" s="6"/>
      <c r="U317" s="6">
        <v>74207</v>
      </c>
      <c r="V317" s="6"/>
      <c r="W317" s="6"/>
      <c r="X317" s="6"/>
      <c r="Y317" s="4" t="s">
        <v>1127</v>
      </c>
    </row>
    <row r="318" spans="1:25">
      <c r="A318" s="12">
        <v>100020208</v>
      </c>
      <c r="B318" s="12">
        <v>2</v>
      </c>
      <c r="C318" s="12" t="s">
        <v>655</v>
      </c>
      <c r="D318" s="12"/>
      <c r="E318" s="12"/>
      <c r="F318" s="12"/>
      <c r="G318" s="12"/>
      <c r="H318" s="12">
        <v>100020209</v>
      </c>
      <c r="I318" s="12" t="s">
        <v>1128</v>
      </c>
      <c r="J318" s="12"/>
      <c r="K318" s="12" t="s">
        <v>1109</v>
      </c>
      <c r="L318" s="12"/>
      <c r="M318" s="13"/>
      <c r="N318" s="10">
        <v>11044</v>
      </c>
      <c r="O318" s="10"/>
      <c r="P318" s="8"/>
      <c r="Q318" s="6"/>
      <c r="R318" s="6"/>
      <c r="S318" t="b">
        <v>0</v>
      </c>
      <c r="T318" s="6"/>
      <c r="U318" s="6">
        <v>74208</v>
      </c>
      <c r="V318" s="6"/>
      <c r="W318" s="6"/>
      <c r="X318" s="6"/>
      <c r="Y318" s="4" t="s">
        <v>1129</v>
      </c>
    </row>
    <row r="319" spans="1:25">
      <c r="A319" s="12">
        <v>100020209</v>
      </c>
      <c r="B319" s="12">
        <v>2</v>
      </c>
      <c r="C319" s="12" t="s">
        <v>655</v>
      </c>
      <c r="D319" s="12"/>
      <c r="E319" s="12"/>
      <c r="F319" s="12"/>
      <c r="G319" s="12"/>
      <c r="H319" s="12">
        <v>100020210</v>
      </c>
      <c r="I319" s="12" t="s">
        <v>1130</v>
      </c>
      <c r="J319" s="12"/>
      <c r="K319" s="12" t="s">
        <v>1106</v>
      </c>
      <c r="L319" s="12"/>
      <c r="M319" s="13"/>
      <c r="N319" s="10">
        <v>3212</v>
      </c>
      <c r="O319" s="10"/>
      <c r="P319" s="8"/>
      <c r="Q319" s="6"/>
      <c r="R319" s="6"/>
      <c r="S319" t="b">
        <v>0</v>
      </c>
      <c r="T319" s="6"/>
      <c r="U319" s="6">
        <v>74209</v>
      </c>
      <c r="V319" s="6"/>
      <c r="W319" s="6"/>
      <c r="X319" s="6"/>
      <c r="Y319" s="4" t="s">
        <v>1131</v>
      </c>
    </row>
    <row r="320" spans="1:25">
      <c r="A320" s="12">
        <v>100020210</v>
      </c>
      <c r="B320" s="12">
        <v>2</v>
      </c>
      <c r="C320" s="12" t="s">
        <v>655</v>
      </c>
      <c r="D320" s="12"/>
      <c r="E320" s="12"/>
      <c r="F320" s="12"/>
      <c r="G320" s="12"/>
      <c r="H320" s="12">
        <v>100020211</v>
      </c>
      <c r="I320" s="12" t="s">
        <v>1132</v>
      </c>
      <c r="J320" s="12"/>
      <c r="K320" s="12" t="s">
        <v>1109</v>
      </c>
      <c r="L320" s="12"/>
      <c r="M320" s="13"/>
      <c r="N320" s="10">
        <v>11044</v>
      </c>
      <c r="O320" s="10"/>
      <c r="P320" s="8"/>
      <c r="Q320" s="6"/>
      <c r="R320" s="6"/>
      <c r="S320" t="b">
        <v>0</v>
      </c>
      <c r="T320" s="6"/>
      <c r="U320" s="6">
        <v>74210</v>
      </c>
      <c r="V320" s="6"/>
      <c r="W320" s="6"/>
      <c r="X320" s="6"/>
      <c r="Y320" s="4" t="s">
        <v>1133</v>
      </c>
    </row>
    <row r="321" spans="1:25">
      <c r="A321" s="12">
        <v>100020211</v>
      </c>
      <c r="B321" s="12">
        <v>2</v>
      </c>
      <c r="C321" s="12" t="s">
        <v>655</v>
      </c>
      <c r="D321" s="12"/>
      <c r="E321" s="12"/>
      <c r="F321" s="12"/>
      <c r="G321" s="12"/>
      <c r="H321" s="12">
        <v>100020212</v>
      </c>
      <c r="I321" s="12" t="s">
        <v>1134</v>
      </c>
      <c r="J321" s="12"/>
      <c r="K321" s="12" t="s">
        <v>1106</v>
      </c>
      <c r="L321" s="12"/>
      <c r="M321" s="13"/>
      <c r="N321" s="10">
        <v>3212</v>
      </c>
      <c r="O321" s="10"/>
      <c r="P321" s="8"/>
      <c r="Q321" s="6"/>
      <c r="R321" s="6"/>
      <c r="S321" t="b">
        <v>0</v>
      </c>
      <c r="T321" s="6"/>
      <c r="U321" s="6">
        <v>74211</v>
      </c>
      <c r="V321" s="6"/>
      <c r="W321" s="6"/>
      <c r="X321" s="6"/>
      <c r="Y321" s="4" t="s">
        <v>1135</v>
      </c>
    </row>
    <row r="322" spans="1:25">
      <c r="A322" s="12">
        <v>100020212</v>
      </c>
      <c r="B322" s="12">
        <v>2</v>
      </c>
      <c r="C322" s="12" t="s">
        <v>655</v>
      </c>
      <c r="D322" s="12"/>
      <c r="E322" s="12"/>
      <c r="F322" s="12"/>
      <c r="G322" s="12"/>
      <c r="H322" s="12">
        <v>100020213</v>
      </c>
      <c r="I322" s="12" t="s">
        <v>1136</v>
      </c>
      <c r="J322" s="12"/>
      <c r="K322" s="12" t="s">
        <v>1109</v>
      </c>
      <c r="L322" s="12"/>
      <c r="M322" s="13"/>
      <c r="N322" s="10">
        <v>11044</v>
      </c>
      <c r="O322" s="10"/>
      <c r="P322" s="8"/>
      <c r="Q322" s="6"/>
      <c r="R322" s="6"/>
      <c r="S322" t="b">
        <v>0</v>
      </c>
      <c r="T322" s="6"/>
      <c r="U322" s="6">
        <v>74212</v>
      </c>
      <c r="V322" s="6"/>
      <c r="W322" s="6"/>
      <c r="X322" s="6"/>
      <c r="Y322" s="4" t="s">
        <v>1137</v>
      </c>
    </row>
    <row r="323" spans="1:25">
      <c r="A323" s="12">
        <v>100020213</v>
      </c>
      <c r="B323" s="12">
        <v>2</v>
      </c>
      <c r="C323" s="12" t="s">
        <v>655</v>
      </c>
      <c r="D323" s="12"/>
      <c r="E323" s="12"/>
      <c r="F323" s="12"/>
      <c r="G323" s="12"/>
      <c r="H323" s="12">
        <v>100020214</v>
      </c>
      <c r="I323" s="12" t="s">
        <v>1138</v>
      </c>
      <c r="J323" s="12"/>
      <c r="K323" s="12" t="s">
        <v>1139</v>
      </c>
      <c r="L323" s="12"/>
      <c r="M323" s="13"/>
      <c r="N323" s="10">
        <v>3212</v>
      </c>
      <c r="O323" s="10"/>
      <c r="P323" s="8"/>
      <c r="Q323" s="6"/>
      <c r="R323" s="6"/>
      <c r="S323" t="b">
        <v>0</v>
      </c>
      <c r="T323" s="6"/>
      <c r="U323" s="6">
        <v>74213</v>
      </c>
      <c r="V323" s="6"/>
      <c r="W323" s="6"/>
      <c r="X323" s="6"/>
      <c r="Y323" s="4" t="s">
        <v>1140</v>
      </c>
    </row>
    <row r="324" spans="1:25">
      <c r="A324" s="12">
        <v>100020214</v>
      </c>
      <c r="B324" s="12">
        <v>2</v>
      </c>
      <c r="C324" s="12" t="s">
        <v>655</v>
      </c>
      <c r="D324" s="12"/>
      <c r="E324" s="12"/>
      <c r="F324" s="12"/>
      <c r="G324" s="12"/>
      <c r="H324" s="12">
        <v>100020215</v>
      </c>
      <c r="I324" s="12" t="s">
        <v>1141</v>
      </c>
      <c r="J324" s="12"/>
      <c r="K324" s="12" t="s">
        <v>1106</v>
      </c>
      <c r="L324" s="12"/>
      <c r="M324" s="13"/>
      <c r="N324" s="10">
        <v>3309</v>
      </c>
      <c r="O324" s="10"/>
      <c r="P324" s="8"/>
      <c r="Q324" s="6"/>
      <c r="R324" s="6"/>
      <c r="S324" t="b">
        <v>0</v>
      </c>
      <c r="T324" s="6"/>
      <c r="U324" s="6">
        <v>74214</v>
      </c>
      <c r="V324" s="6"/>
      <c r="W324" s="6"/>
      <c r="X324" s="6"/>
      <c r="Y324" s="4" t="s">
        <v>1142</v>
      </c>
    </row>
    <row r="325" spans="1:25">
      <c r="A325" s="12">
        <v>100020215</v>
      </c>
      <c r="B325" s="12">
        <v>2</v>
      </c>
      <c r="C325" s="12" t="s">
        <v>655</v>
      </c>
      <c r="D325" s="12"/>
      <c r="E325" s="12"/>
      <c r="F325" s="12"/>
      <c r="G325" s="12"/>
      <c r="H325" s="12">
        <v>100020216</v>
      </c>
      <c r="I325" s="12" t="s">
        <v>1143</v>
      </c>
      <c r="J325" s="12"/>
      <c r="K325" s="12" t="s">
        <v>1109</v>
      </c>
      <c r="L325" s="12"/>
      <c r="M325" s="13"/>
      <c r="N325" s="10">
        <v>11044</v>
      </c>
      <c r="O325" s="10"/>
      <c r="P325" s="8"/>
      <c r="Q325" s="6"/>
      <c r="R325" s="6"/>
      <c r="S325" t="b">
        <v>0</v>
      </c>
      <c r="T325" s="6"/>
      <c r="U325" s="6">
        <v>74215</v>
      </c>
      <c r="V325" s="6"/>
      <c r="W325" s="6"/>
      <c r="X325" s="6"/>
      <c r="Y325" s="4" t="s">
        <v>1144</v>
      </c>
    </row>
    <row r="326" spans="1:25">
      <c r="A326" s="12">
        <v>100020216</v>
      </c>
      <c r="B326" s="12">
        <v>2</v>
      </c>
      <c r="C326" s="12" t="s">
        <v>655</v>
      </c>
      <c r="D326" s="12"/>
      <c r="E326" s="12"/>
      <c r="F326" s="12"/>
      <c r="G326" s="12"/>
      <c r="H326" s="12">
        <v>100020217</v>
      </c>
      <c r="I326" s="12" t="s">
        <v>1145</v>
      </c>
      <c r="J326" s="12"/>
      <c r="K326" s="12" t="s">
        <v>1106</v>
      </c>
      <c r="L326" s="12"/>
      <c r="M326" s="13"/>
      <c r="N326" s="10">
        <v>3212</v>
      </c>
      <c r="O326" s="10"/>
      <c r="P326" s="8"/>
      <c r="Q326" s="6"/>
      <c r="R326" s="6"/>
      <c r="S326" t="b">
        <v>0</v>
      </c>
      <c r="T326" s="6"/>
      <c r="U326" s="6">
        <v>74216</v>
      </c>
      <c r="V326" s="6"/>
      <c r="W326" s="6"/>
      <c r="X326" s="6"/>
      <c r="Y326" s="4" t="s">
        <v>1131</v>
      </c>
    </row>
    <row r="327" spans="1:25">
      <c r="A327" s="12">
        <v>100020217</v>
      </c>
      <c r="B327" s="12">
        <v>2</v>
      </c>
      <c r="C327" s="12" t="s">
        <v>655</v>
      </c>
      <c r="D327" s="12"/>
      <c r="E327" s="12"/>
      <c r="F327" s="12"/>
      <c r="G327" s="12"/>
      <c r="H327" s="12">
        <v>100020218</v>
      </c>
      <c r="I327" s="12" t="s">
        <v>1132</v>
      </c>
      <c r="J327" s="12"/>
      <c r="K327" s="12" t="s">
        <v>1109</v>
      </c>
      <c r="L327" s="12"/>
      <c r="M327" s="13"/>
      <c r="N327" s="10">
        <v>11044</v>
      </c>
      <c r="O327" s="10"/>
      <c r="P327" s="8"/>
      <c r="Q327" s="6"/>
      <c r="R327" s="6"/>
      <c r="S327" t="b">
        <v>0</v>
      </c>
      <c r="T327" s="6"/>
      <c r="U327" s="6">
        <v>74217</v>
      </c>
      <c r="V327" s="6"/>
      <c r="W327" s="6"/>
      <c r="X327" s="6"/>
      <c r="Y327" s="4" t="s">
        <v>1146</v>
      </c>
    </row>
    <row r="328" spans="1:25">
      <c r="A328" s="12">
        <v>100020218</v>
      </c>
      <c r="B328" s="12">
        <v>2</v>
      </c>
      <c r="C328" s="12" t="s">
        <v>655</v>
      </c>
      <c r="D328" s="12"/>
      <c r="E328" s="12"/>
      <c r="F328" s="12"/>
      <c r="G328" s="12"/>
      <c r="H328" s="12">
        <v>100020219</v>
      </c>
      <c r="I328" s="12" t="s">
        <v>1147</v>
      </c>
      <c r="J328" s="12"/>
      <c r="K328" s="12" t="s">
        <v>1106</v>
      </c>
      <c r="L328" s="12"/>
      <c r="M328" s="13"/>
      <c r="N328" s="10">
        <v>3212</v>
      </c>
      <c r="O328" s="10"/>
      <c r="P328" s="8"/>
      <c r="Q328" s="6"/>
      <c r="R328" s="6"/>
      <c r="S328" t="b">
        <v>0</v>
      </c>
      <c r="T328" s="6"/>
      <c r="U328" s="6">
        <v>74218</v>
      </c>
      <c r="V328" s="6"/>
      <c r="W328" s="6"/>
      <c r="X328" s="6"/>
      <c r="Y328" s="4" t="s">
        <v>1148</v>
      </c>
    </row>
    <row r="329" spans="1:25">
      <c r="A329" s="12">
        <v>100020219</v>
      </c>
      <c r="B329" s="12">
        <v>2</v>
      </c>
      <c r="C329" s="12" t="s">
        <v>655</v>
      </c>
      <c r="D329" s="12"/>
      <c r="E329" s="12"/>
      <c r="F329" s="12"/>
      <c r="G329" s="12"/>
      <c r="H329" s="12">
        <v>100020220</v>
      </c>
      <c r="I329" s="12" t="s">
        <v>1149</v>
      </c>
      <c r="J329" s="12"/>
      <c r="K329" s="12" t="s">
        <v>1109</v>
      </c>
      <c r="L329" s="12"/>
      <c r="M329" s="13"/>
      <c r="N329" s="10">
        <v>11044</v>
      </c>
      <c r="O329" s="10"/>
      <c r="P329" s="8"/>
      <c r="Q329" s="6"/>
      <c r="R329" s="6"/>
      <c r="S329" t="b">
        <v>0</v>
      </c>
      <c r="T329" s="6"/>
      <c r="U329" s="6">
        <v>74219</v>
      </c>
      <c r="V329" s="6"/>
      <c r="W329" s="6"/>
      <c r="X329" s="6"/>
      <c r="Y329" s="4" t="s">
        <v>1150</v>
      </c>
    </row>
    <row r="330" spans="1:25">
      <c r="A330" s="12">
        <v>100020220</v>
      </c>
      <c r="B330" s="12">
        <v>2</v>
      </c>
      <c r="C330" s="12" t="s">
        <v>655</v>
      </c>
      <c r="D330" s="12"/>
      <c r="E330" s="12"/>
      <c r="F330" s="12"/>
      <c r="G330" s="12"/>
      <c r="H330" s="12">
        <v>100020221</v>
      </c>
      <c r="I330" s="12" t="s">
        <v>1151</v>
      </c>
      <c r="J330" s="12"/>
      <c r="K330" s="12" t="s">
        <v>1152</v>
      </c>
      <c r="L330" s="12"/>
      <c r="M330" s="13"/>
      <c r="N330" s="10">
        <v>3212</v>
      </c>
      <c r="O330" s="10"/>
      <c r="P330" s="8"/>
      <c r="Q330" s="6"/>
      <c r="R330" s="6"/>
      <c r="S330" t="b">
        <v>0</v>
      </c>
      <c r="T330" s="6"/>
      <c r="U330" s="6">
        <v>74220</v>
      </c>
      <c r="V330" s="6"/>
      <c r="W330" s="6"/>
      <c r="X330" s="6"/>
      <c r="Y330" s="4" t="s">
        <v>1153</v>
      </c>
    </row>
    <row r="331" spans="1:25">
      <c r="A331" s="12">
        <v>100020221</v>
      </c>
      <c r="B331" s="12">
        <v>2</v>
      </c>
      <c r="C331" s="12" t="s">
        <v>655</v>
      </c>
      <c r="D331" s="12"/>
      <c r="E331" s="12"/>
      <c r="F331" s="12"/>
      <c r="G331" s="12"/>
      <c r="H331" s="12">
        <v>100020222</v>
      </c>
      <c r="I331" s="12" t="s">
        <v>1154</v>
      </c>
      <c r="J331" s="12"/>
      <c r="K331" s="12" t="s">
        <v>1106</v>
      </c>
      <c r="L331" s="12"/>
      <c r="M331" s="13"/>
      <c r="N331" s="10">
        <v>3309</v>
      </c>
      <c r="O331" s="10"/>
      <c r="P331" s="8"/>
      <c r="Q331" s="6"/>
      <c r="R331" s="6"/>
      <c r="S331" t="b">
        <v>0</v>
      </c>
      <c r="T331" s="6"/>
      <c r="U331" s="6">
        <v>74221</v>
      </c>
      <c r="V331" s="6"/>
      <c r="W331" s="6"/>
      <c r="X331" s="6"/>
      <c r="Y331" s="4" t="s">
        <v>1155</v>
      </c>
    </row>
    <row r="332" spans="1:25">
      <c r="A332" s="12">
        <v>100020222</v>
      </c>
      <c r="B332" s="12">
        <v>2</v>
      </c>
      <c r="C332" s="12" t="s">
        <v>655</v>
      </c>
      <c r="D332" s="12"/>
      <c r="E332" s="12"/>
      <c r="F332" s="12"/>
      <c r="G332" s="12"/>
      <c r="H332" s="12">
        <v>100020223</v>
      </c>
      <c r="I332" s="12" t="s">
        <v>1156</v>
      </c>
      <c r="J332" s="12"/>
      <c r="K332" s="12" t="s">
        <v>1157</v>
      </c>
      <c r="L332" s="12"/>
      <c r="M332" s="13"/>
      <c r="N332" s="10">
        <v>3411</v>
      </c>
      <c r="O332" s="10"/>
      <c r="P332" s="8"/>
      <c r="Q332" s="6"/>
      <c r="R332" s="6"/>
      <c r="S332" t="b">
        <v>0</v>
      </c>
      <c r="T332" s="6"/>
      <c r="U332" s="6">
        <v>74222</v>
      </c>
      <c r="V332" s="6"/>
      <c r="W332" s="6"/>
      <c r="X332" s="6"/>
      <c r="Y332" s="4" t="s">
        <v>1158</v>
      </c>
    </row>
    <row r="333" spans="1:25">
      <c r="A333" s="12">
        <v>100020223</v>
      </c>
      <c r="B333" s="12">
        <v>2</v>
      </c>
      <c r="C333" s="12" t="s">
        <v>655</v>
      </c>
      <c r="D333" s="12"/>
      <c r="E333" s="12"/>
      <c r="F333" s="12"/>
      <c r="G333" s="12"/>
      <c r="H333" s="12">
        <v>100020224</v>
      </c>
      <c r="I333" s="12" t="s">
        <v>1159</v>
      </c>
      <c r="J333" s="12"/>
      <c r="K333" s="12" t="s">
        <v>1160</v>
      </c>
      <c r="L333" s="12"/>
      <c r="M333" s="13"/>
      <c r="N333" s="10">
        <v>11045</v>
      </c>
      <c r="O333" s="10"/>
      <c r="P333" s="8"/>
      <c r="Q333" s="6"/>
      <c r="R333" s="6"/>
      <c r="S333" t="b">
        <v>0</v>
      </c>
      <c r="T333" s="6"/>
      <c r="U333" s="6">
        <v>74223</v>
      </c>
      <c r="V333" s="6"/>
      <c r="W333" s="6"/>
      <c r="X333" s="6"/>
      <c r="Y333" s="4" t="s">
        <v>1161</v>
      </c>
    </row>
    <row r="334" spans="1:25">
      <c r="A334" s="12">
        <v>100020224</v>
      </c>
      <c r="B334" s="12">
        <v>2</v>
      </c>
      <c r="C334" s="12" t="s">
        <v>655</v>
      </c>
      <c r="D334" s="12"/>
      <c r="E334" s="12"/>
      <c r="F334" s="12"/>
      <c r="G334" s="12"/>
      <c r="H334" s="12">
        <v>100020225</v>
      </c>
      <c r="I334" s="12" t="s">
        <v>1162</v>
      </c>
      <c r="J334" s="12"/>
      <c r="K334" s="12" t="s">
        <v>1163</v>
      </c>
      <c r="L334" s="12"/>
      <c r="M334" s="13"/>
      <c r="N334" s="10">
        <v>3211</v>
      </c>
      <c r="O334" s="10"/>
      <c r="P334" s="8"/>
      <c r="Q334" s="6"/>
      <c r="R334" s="6"/>
      <c r="S334" t="b">
        <v>0</v>
      </c>
      <c r="T334" s="6"/>
      <c r="U334" s="6">
        <v>74224</v>
      </c>
      <c r="V334" s="6"/>
      <c r="W334" s="6"/>
      <c r="X334" s="6"/>
      <c r="Y334" s="4" t="s">
        <v>1164</v>
      </c>
    </row>
    <row r="335" spans="1:25">
      <c r="A335" s="12">
        <v>100020225</v>
      </c>
      <c r="B335" s="12">
        <v>2</v>
      </c>
      <c r="C335" s="12" t="s">
        <v>655</v>
      </c>
      <c r="D335" s="12"/>
      <c r="E335" s="12"/>
      <c r="F335" s="12"/>
      <c r="G335" s="12"/>
      <c r="H335" s="12">
        <v>100020226</v>
      </c>
      <c r="I335" s="12" t="s">
        <v>1165</v>
      </c>
      <c r="J335" s="12"/>
      <c r="K335" s="12" t="s">
        <v>1157</v>
      </c>
      <c r="L335" s="12"/>
      <c r="M335" s="13"/>
      <c r="N335" s="10">
        <v>3310</v>
      </c>
      <c r="O335" s="10"/>
      <c r="P335" s="8"/>
      <c r="Q335" s="6"/>
      <c r="R335" s="6"/>
      <c r="S335" t="b">
        <v>0</v>
      </c>
      <c r="T335" s="6"/>
      <c r="U335" s="6">
        <v>74225</v>
      </c>
      <c r="V335" s="6"/>
      <c r="W335" s="6"/>
      <c r="X335" s="6"/>
      <c r="Y335" s="4" t="s">
        <v>1166</v>
      </c>
    </row>
    <row r="336" spans="1:25">
      <c r="A336" s="12">
        <v>100020226</v>
      </c>
      <c r="B336" s="12">
        <v>2</v>
      </c>
      <c r="C336" s="12" t="s">
        <v>655</v>
      </c>
      <c r="D336" s="12"/>
      <c r="E336" s="12"/>
      <c r="F336" s="12"/>
      <c r="G336" s="12"/>
      <c r="H336" s="12">
        <v>100020227</v>
      </c>
      <c r="I336" s="12" t="s">
        <v>1167</v>
      </c>
      <c r="J336" s="12"/>
      <c r="K336" s="12" t="s">
        <v>1160</v>
      </c>
      <c r="L336" s="12"/>
      <c r="M336" s="13"/>
      <c r="N336" s="10">
        <v>11045</v>
      </c>
      <c r="O336" s="10"/>
      <c r="P336" s="8"/>
      <c r="Q336" s="6"/>
      <c r="R336" s="6"/>
      <c r="S336" t="b">
        <v>0</v>
      </c>
      <c r="T336" s="6"/>
      <c r="U336" s="6">
        <v>74226</v>
      </c>
      <c r="V336" s="6"/>
      <c r="W336" s="6"/>
      <c r="X336" s="6"/>
      <c r="Y336" s="4" t="s">
        <v>1168</v>
      </c>
    </row>
    <row r="337" spans="1:25">
      <c r="A337" s="12">
        <v>100020227</v>
      </c>
      <c r="B337" s="12">
        <v>2</v>
      </c>
      <c r="C337" s="12" t="s">
        <v>655</v>
      </c>
      <c r="D337" s="12"/>
      <c r="E337" s="12"/>
      <c r="F337" s="12"/>
      <c r="G337" s="12"/>
      <c r="H337" s="12">
        <v>100020228</v>
      </c>
      <c r="I337" s="12" t="s">
        <v>1169</v>
      </c>
      <c r="J337" s="12"/>
      <c r="K337" s="12" t="s">
        <v>1170</v>
      </c>
      <c r="L337" s="12"/>
      <c r="M337" s="13"/>
      <c r="N337" s="10">
        <v>3211</v>
      </c>
      <c r="O337" s="10"/>
      <c r="P337" s="8"/>
      <c r="Q337" s="6"/>
      <c r="R337" s="6"/>
      <c r="S337" t="b">
        <v>0</v>
      </c>
      <c r="T337" s="6"/>
      <c r="U337" s="6">
        <v>74227</v>
      </c>
      <c r="V337" s="6"/>
      <c r="W337" s="6"/>
      <c r="X337" s="6"/>
      <c r="Y337" s="4" t="s">
        <v>1164</v>
      </c>
    </row>
    <row r="338" spans="1:25">
      <c r="A338" s="12">
        <v>100020228</v>
      </c>
      <c r="B338" s="12">
        <v>2</v>
      </c>
      <c r="C338" s="12" t="s">
        <v>655</v>
      </c>
      <c r="D338" s="12"/>
      <c r="E338" s="12"/>
      <c r="F338" s="12"/>
      <c r="G338" s="12"/>
      <c r="H338" s="12">
        <v>100020229</v>
      </c>
      <c r="I338" s="12" t="s">
        <v>1165</v>
      </c>
      <c r="J338" s="12"/>
      <c r="K338" s="12" t="s">
        <v>1157</v>
      </c>
      <c r="L338" s="12"/>
      <c r="M338" s="13"/>
      <c r="N338" s="10">
        <v>3310</v>
      </c>
      <c r="O338" s="10"/>
      <c r="P338" s="8"/>
      <c r="Q338" s="6"/>
      <c r="R338" s="6"/>
      <c r="S338" t="b">
        <v>0</v>
      </c>
      <c r="T338" s="6"/>
      <c r="U338" s="6">
        <v>74228</v>
      </c>
      <c r="V338" s="6"/>
      <c r="W338" s="6"/>
      <c r="X338" s="6"/>
      <c r="Y338" s="4" t="s">
        <v>1171</v>
      </c>
    </row>
    <row r="339" spans="1:25">
      <c r="A339" s="12">
        <v>100020229</v>
      </c>
      <c r="B339" s="12">
        <v>2</v>
      </c>
      <c r="C339" s="12" t="s">
        <v>655</v>
      </c>
      <c r="D339" s="12"/>
      <c r="E339" s="12"/>
      <c r="F339" s="12"/>
      <c r="G339" s="12"/>
      <c r="H339" s="12">
        <v>100020230</v>
      </c>
      <c r="I339" s="12" t="s">
        <v>1172</v>
      </c>
      <c r="J339" s="12"/>
      <c r="K339" s="12" t="s">
        <v>1160</v>
      </c>
      <c r="L339" s="12"/>
      <c r="M339" s="13"/>
      <c r="N339" s="10">
        <v>11045</v>
      </c>
      <c r="O339" s="10"/>
      <c r="P339" s="8"/>
      <c r="Q339" s="6"/>
      <c r="R339" s="6"/>
      <c r="S339" t="b">
        <v>0</v>
      </c>
      <c r="T339" s="6"/>
      <c r="U339" s="6">
        <v>74229</v>
      </c>
      <c r="V339" s="6"/>
      <c r="W339" s="6"/>
      <c r="X339" s="6"/>
      <c r="Y339" s="4" t="s">
        <v>1173</v>
      </c>
    </row>
    <row r="340" spans="1:25">
      <c r="A340" s="12">
        <v>100020230</v>
      </c>
      <c r="B340" s="12">
        <v>2</v>
      </c>
      <c r="C340" s="12" t="s">
        <v>655</v>
      </c>
      <c r="D340" s="12"/>
      <c r="E340" s="12"/>
      <c r="F340" s="12"/>
      <c r="G340" s="12"/>
      <c r="H340" s="12">
        <v>100020231</v>
      </c>
      <c r="I340" s="12" t="s">
        <v>1174</v>
      </c>
      <c r="J340" s="12"/>
      <c r="K340" s="12" t="s">
        <v>1175</v>
      </c>
      <c r="L340" s="12"/>
      <c r="M340" s="13"/>
      <c r="N340" s="10">
        <v>3211</v>
      </c>
      <c r="O340" s="10"/>
      <c r="P340" s="8"/>
      <c r="Q340" s="6"/>
      <c r="R340" s="6"/>
      <c r="S340" t="b">
        <v>0</v>
      </c>
      <c r="T340" s="6"/>
      <c r="U340" s="6">
        <v>74230</v>
      </c>
      <c r="V340" s="6"/>
      <c r="W340" s="6"/>
      <c r="X340" s="6"/>
      <c r="Y340" s="4" t="s">
        <v>1176</v>
      </c>
    </row>
    <row r="341" spans="1:25">
      <c r="A341" s="12">
        <v>100020231</v>
      </c>
      <c r="B341" s="12">
        <v>2</v>
      </c>
      <c r="C341" s="12" t="s">
        <v>655</v>
      </c>
      <c r="D341" s="12"/>
      <c r="E341" s="12"/>
      <c r="F341" s="12"/>
      <c r="G341" s="12"/>
      <c r="H341" s="12">
        <v>100020232</v>
      </c>
      <c r="I341" s="12" t="s">
        <v>1177</v>
      </c>
      <c r="J341" s="12"/>
      <c r="K341" s="12" t="s">
        <v>1157</v>
      </c>
      <c r="L341" s="12"/>
      <c r="M341" s="13"/>
      <c r="N341" s="10">
        <v>3310</v>
      </c>
      <c r="O341" s="10"/>
      <c r="P341" s="8"/>
      <c r="Q341" s="6"/>
      <c r="R341" s="6"/>
      <c r="S341" t="b">
        <v>0</v>
      </c>
      <c r="T341" s="6"/>
      <c r="U341" s="6">
        <v>74231</v>
      </c>
      <c r="V341" s="6"/>
      <c r="W341" s="6"/>
      <c r="X341" s="6"/>
      <c r="Y341" s="4" t="s">
        <v>1178</v>
      </c>
    </row>
    <row r="342" spans="1:25">
      <c r="A342" s="12">
        <v>100020232</v>
      </c>
      <c r="B342" s="12">
        <v>2</v>
      </c>
      <c r="C342" s="12" t="s">
        <v>655</v>
      </c>
      <c r="D342" s="12"/>
      <c r="E342" s="12"/>
      <c r="F342" s="12"/>
      <c r="G342" s="12"/>
      <c r="H342" s="12">
        <v>100020233</v>
      </c>
      <c r="I342" s="12" t="s">
        <v>1179</v>
      </c>
      <c r="J342" s="12"/>
      <c r="K342" s="12" t="s">
        <v>1160</v>
      </c>
      <c r="L342" s="12"/>
      <c r="M342" s="13"/>
      <c r="N342" s="10">
        <v>11045</v>
      </c>
      <c r="O342" s="10"/>
      <c r="P342" s="8"/>
      <c r="Q342" s="6"/>
      <c r="R342" s="6"/>
      <c r="S342" t="b">
        <v>0</v>
      </c>
      <c r="T342" s="6"/>
      <c r="U342" s="6">
        <v>74232</v>
      </c>
      <c r="V342" s="6"/>
      <c r="W342" s="6"/>
      <c r="X342" s="6"/>
      <c r="Y342" s="4" t="s">
        <v>1180</v>
      </c>
    </row>
    <row r="343" spans="1:25">
      <c r="A343" s="12">
        <v>100020233</v>
      </c>
      <c r="B343" s="12">
        <v>2</v>
      </c>
      <c r="C343" s="12" t="s">
        <v>655</v>
      </c>
      <c r="D343" s="12"/>
      <c r="E343" s="12"/>
      <c r="F343" s="12"/>
      <c r="G343" s="12"/>
      <c r="H343" s="12">
        <v>100020234</v>
      </c>
      <c r="I343" s="12" t="s">
        <v>1181</v>
      </c>
      <c r="J343" s="12"/>
      <c r="K343" s="12" t="s">
        <v>1157</v>
      </c>
      <c r="L343" s="12"/>
      <c r="M343" s="13"/>
      <c r="N343" s="10">
        <v>3211</v>
      </c>
      <c r="O343" s="10"/>
      <c r="P343" s="8"/>
      <c r="Q343" s="6"/>
      <c r="R343" s="6"/>
      <c r="S343" t="b">
        <v>0</v>
      </c>
      <c r="T343" s="6"/>
      <c r="U343" s="6">
        <v>74233</v>
      </c>
      <c r="V343" s="6"/>
      <c r="W343" s="6"/>
      <c r="X343" s="6"/>
      <c r="Y343" s="4" t="s">
        <v>1182</v>
      </c>
    </row>
    <row r="344" spans="1:25">
      <c r="A344" s="12">
        <v>100020234</v>
      </c>
      <c r="B344" s="12">
        <v>2</v>
      </c>
      <c r="C344" s="12" t="s">
        <v>655</v>
      </c>
      <c r="D344" s="12"/>
      <c r="E344" s="12"/>
      <c r="F344" s="12"/>
      <c r="G344" s="12"/>
      <c r="H344" s="12">
        <v>100020235</v>
      </c>
      <c r="I344" s="12" t="s">
        <v>1183</v>
      </c>
      <c r="J344" s="12"/>
      <c r="K344" s="12" t="s">
        <v>1160</v>
      </c>
      <c r="L344" s="12"/>
      <c r="M344" s="13"/>
      <c r="N344" s="10">
        <v>11045</v>
      </c>
      <c r="O344" s="10"/>
      <c r="P344" s="8"/>
      <c r="Q344" s="6"/>
      <c r="R344" s="6"/>
      <c r="S344" t="b">
        <v>0</v>
      </c>
      <c r="T344" s="6"/>
      <c r="U344" s="6">
        <v>74234</v>
      </c>
      <c r="V344" s="6"/>
      <c r="W344" s="6"/>
      <c r="X344" s="6"/>
      <c r="Y344" s="4" t="s">
        <v>1184</v>
      </c>
    </row>
    <row r="345" spans="1:25">
      <c r="A345" s="12">
        <v>100020235</v>
      </c>
      <c r="B345" s="12">
        <v>2</v>
      </c>
      <c r="C345" s="12" t="s">
        <v>655</v>
      </c>
      <c r="D345" s="12"/>
      <c r="E345" s="12"/>
      <c r="F345" s="12"/>
      <c r="G345" s="12"/>
      <c r="H345" s="12">
        <v>100020236</v>
      </c>
      <c r="I345" s="12" t="s">
        <v>1185</v>
      </c>
      <c r="J345" s="12"/>
      <c r="K345" s="12" t="s">
        <v>1157</v>
      </c>
      <c r="L345" s="12"/>
      <c r="M345" s="13"/>
      <c r="N345" s="10">
        <v>3211</v>
      </c>
      <c r="O345" s="10"/>
      <c r="P345" s="8"/>
      <c r="Q345" s="6"/>
      <c r="R345" s="6"/>
      <c r="S345" t="b">
        <v>0</v>
      </c>
      <c r="T345" s="6"/>
      <c r="U345" s="6">
        <v>74235</v>
      </c>
      <c r="V345" s="6"/>
      <c r="W345" s="6"/>
      <c r="X345" s="6"/>
      <c r="Y345" s="4" t="s">
        <v>1186</v>
      </c>
    </row>
    <row r="346" spans="1:25">
      <c r="A346" s="12">
        <v>100020236</v>
      </c>
      <c r="B346" s="12">
        <v>2</v>
      </c>
      <c r="C346" s="12" t="s">
        <v>655</v>
      </c>
      <c r="D346" s="12"/>
      <c r="E346" s="12"/>
      <c r="F346" s="12"/>
      <c r="G346" s="12"/>
      <c r="H346" s="12">
        <v>100020237</v>
      </c>
      <c r="I346" s="12" t="s">
        <v>1187</v>
      </c>
      <c r="J346" s="12"/>
      <c r="K346" s="12" t="s">
        <v>1160</v>
      </c>
      <c r="L346" s="12"/>
      <c r="M346" s="13"/>
      <c r="N346" s="10">
        <v>11045</v>
      </c>
      <c r="O346" s="10"/>
      <c r="P346" s="8"/>
      <c r="Q346" s="6"/>
      <c r="R346" s="6"/>
      <c r="S346" t="b">
        <v>0</v>
      </c>
      <c r="T346" s="6"/>
      <c r="U346" s="6">
        <v>74236</v>
      </c>
      <c r="V346" s="6"/>
      <c r="W346" s="6"/>
      <c r="X346" s="6"/>
      <c r="Y346" s="4" t="s">
        <v>1188</v>
      </c>
    </row>
    <row r="347" spans="1:25">
      <c r="A347" s="12">
        <v>100020237</v>
      </c>
      <c r="B347" s="12">
        <v>2</v>
      </c>
      <c r="C347" s="12" t="s">
        <v>655</v>
      </c>
      <c r="D347" s="12"/>
      <c r="E347" s="12"/>
      <c r="F347" s="12"/>
      <c r="G347" s="12"/>
      <c r="H347" s="12">
        <v>100020238</v>
      </c>
      <c r="I347" s="12" t="s">
        <v>1189</v>
      </c>
      <c r="J347" s="12"/>
      <c r="K347" s="12" t="s">
        <v>1190</v>
      </c>
      <c r="L347" s="12"/>
      <c r="M347" s="13"/>
      <c r="N347" s="10">
        <v>3211</v>
      </c>
      <c r="O347" s="10"/>
      <c r="P347" s="8"/>
      <c r="Q347" s="6"/>
      <c r="R347" s="6"/>
      <c r="S347" t="b">
        <v>0</v>
      </c>
      <c r="T347" s="6"/>
      <c r="U347" s="6">
        <v>74237</v>
      </c>
      <c r="V347" s="6"/>
      <c r="W347" s="6"/>
      <c r="X347" s="6"/>
      <c r="Y347" s="4" t="s">
        <v>1191</v>
      </c>
    </row>
    <row r="348" spans="1:25">
      <c r="A348" s="12">
        <v>100020238</v>
      </c>
      <c r="B348" s="12">
        <v>2</v>
      </c>
      <c r="C348" s="12" t="s">
        <v>655</v>
      </c>
      <c r="D348" s="12"/>
      <c r="E348" s="12"/>
      <c r="F348" s="12"/>
      <c r="G348" s="12"/>
      <c r="H348" s="12">
        <v>100020239</v>
      </c>
      <c r="I348" s="12" t="s">
        <v>1192</v>
      </c>
      <c r="J348" s="12"/>
      <c r="K348" s="12" t="s">
        <v>1157</v>
      </c>
      <c r="L348" s="12"/>
      <c r="M348" s="13"/>
      <c r="N348" s="10">
        <v>3310</v>
      </c>
      <c r="O348" s="10"/>
      <c r="P348" s="8"/>
      <c r="Q348" s="6"/>
      <c r="R348" s="6"/>
      <c r="S348" t="b">
        <v>0</v>
      </c>
      <c r="T348" s="6"/>
      <c r="U348" s="6">
        <v>74238</v>
      </c>
      <c r="V348" s="6"/>
      <c r="W348" s="6"/>
      <c r="X348" s="6"/>
      <c r="Y348" s="4" t="s">
        <v>1193</v>
      </c>
    </row>
    <row r="349" spans="1:25">
      <c r="A349" s="12">
        <v>100020239</v>
      </c>
      <c r="B349" s="12">
        <v>2</v>
      </c>
      <c r="C349" s="12" t="s">
        <v>655</v>
      </c>
      <c r="D349" s="12"/>
      <c r="E349" s="12"/>
      <c r="F349" s="12"/>
      <c r="G349" s="12"/>
      <c r="H349" s="12">
        <v>100020240</v>
      </c>
      <c r="I349" s="12" t="s">
        <v>1194</v>
      </c>
      <c r="J349" s="12"/>
      <c r="K349" s="12" t="s">
        <v>1160</v>
      </c>
      <c r="L349" s="12"/>
      <c r="M349" s="13"/>
      <c r="N349" s="10">
        <v>11045</v>
      </c>
      <c r="O349" s="10"/>
      <c r="P349" s="8"/>
      <c r="Q349" s="6"/>
      <c r="R349" s="6"/>
      <c r="S349" t="b">
        <v>0</v>
      </c>
      <c r="T349" s="6"/>
      <c r="U349" s="6">
        <v>74239</v>
      </c>
      <c r="V349" s="6"/>
      <c r="W349" s="6"/>
      <c r="X349" s="6"/>
      <c r="Y349" s="4" t="s">
        <v>1195</v>
      </c>
    </row>
    <row r="350" spans="1:25">
      <c r="A350" s="12">
        <v>100020240</v>
      </c>
      <c r="B350" s="12">
        <v>2</v>
      </c>
      <c r="C350" s="12" t="s">
        <v>655</v>
      </c>
      <c r="D350" s="12"/>
      <c r="E350" s="12"/>
      <c r="F350" s="12"/>
      <c r="G350" s="12"/>
      <c r="H350" s="12">
        <v>100020241</v>
      </c>
      <c r="I350" s="12" t="s">
        <v>1196</v>
      </c>
      <c r="J350" s="12"/>
      <c r="K350" s="12" t="s">
        <v>1157</v>
      </c>
      <c r="L350" s="12"/>
      <c r="M350" s="13"/>
      <c r="N350" s="10">
        <v>3211</v>
      </c>
      <c r="O350" s="10"/>
      <c r="P350" s="8"/>
      <c r="Q350" s="6"/>
      <c r="R350" s="6"/>
      <c r="S350" t="b">
        <v>0</v>
      </c>
      <c r="T350" s="6"/>
      <c r="U350" s="6">
        <v>74240</v>
      </c>
      <c r="V350" s="6"/>
      <c r="W350" s="6"/>
      <c r="X350" s="6"/>
      <c r="Y350" s="4" t="s">
        <v>1182</v>
      </c>
    </row>
    <row r="351" spans="1:25">
      <c r="A351" s="12">
        <v>100020241</v>
      </c>
      <c r="B351" s="12">
        <v>2</v>
      </c>
      <c r="C351" s="12" t="s">
        <v>655</v>
      </c>
      <c r="D351" s="12"/>
      <c r="E351" s="12"/>
      <c r="F351" s="12"/>
      <c r="G351" s="12"/>
      <c r="H351" s="12">
        <v>100020242</v>
      </c>
      <c r="I351" s="12" t="s">
        <v>1183</v>
      </c>
      <c r="J351" s="12"/>
      <c r="K351" s="12" t="s">
        <v>1160</v>
      </c>
      <c r="L351" s="12"/>
      <c r="M351" s="13"/>
      <c r="N351" s="10">
        <v>11045</v>
      </c>
      <c r="O351" s="10"/>
      <c r="P351" s="8"/>
      <c r="Q351" s="6"/>
      <c r="R351" s="6"/>
      <c r="S351" t="b">
        <v>0</v>
      </c>
      <c r="T351" s="6"/>
      <c r="U351" s="6">
        <v>74241</v>
      </c>
      <c r="V351" s="6"/>
      <c r="W351" s="6"/>
      <c r="X351" s="6"/>
      <c r="Y351" s="4" t="s">
        <v>1197</v>
      </c>
    </row>
    <row r="352" spans="1:25">
      <c r="A352" s="12">
        <v>100020242</v>
      </c>
      <c r="B352" s="12">
        <v>2</v>
      </c>
      <c r="C352" s="12" t="s">
        <v>655</v>
      </c>
      <c r="D352" s="12"/>
      <c r="E352" s="12"/>
      <c r="F352" s="12"/>
      <c r="G352" s="12"/>
      <c r="H352" s="12">
        <v>100020243</v>
      </c>
      <c r="I352" s="12" t="s">
        <v>1198</v>
      </c>
      <c r="J352" s="12"/>
      <c r="K352" s="12" t="s">
        <v>1157</v>
      </c>
      <c r="L352" s="12"/>
      <c r="M352" s="13"/>
      <c r="N352" s="10">
        <v>3211</v>
      </c>
      <c r="O352" s="10"/>
      <c r="P352" s="8"/>
      <c r="Q352" s="6"/>
      <c r="R352" s="6"/>
      <c r="S352" t="b">
        <v>0</v>
      </c>
      <c r="T352" s="6"/>
      <c r="U352" s="6">
        <v>74242</v>
      </c>
      <c r="V352" s="6"/>
      <c r="W352" s="6"/>
      <c r="X352" s="6"/>
      <c r="Y352" s="4" t="s">
        <v>1199</v>
      </c>
    </row>
    <row r="353" spans="1:25">
      <c r="A353" s="12">
        <v>100020243</v>
      </c>
      <c r="B353" s="12">
        <v>2</v>
      </c>
      <c r="C353" s="12" t="s">
        <v>655</v>
      </c>
      <c r="D353" s="12"/>
      <c r="E353" s="12"/>
      <c r="F353" s="12"/>
      <c r="G353" s="12"/>
      <c r="H353" s="12">
        <v>100020244</v>
      </c>
      <c r="I353" s="12" t="s">
        <v>1200</v>
      </c>
      <c r="J353" s="12"/>
      <c r="K353" s="12" t="s">
        <v>1160</v>
      </c>
      <c r="L353" s="12"/>
      <c r="M353" s="13"/>
      <c r="N353" s="10">
        <v>11045</v>
      </c>
      <c r="O353" s="10"/>
      <c r="P353" s="8"/>
      <c r="Q353" s="6"/>
      <c r="R353" s="6"/>
      <c r="S353" t="b">
        <v>0</v>
      </c>
      <c r="T353" s="6"/>
      <c r="U353" s="6">
        <v>74243</v>
      </c>
      <c r="V353" s="6"/>
      <c r="W353" s="6"/>
      <c r="X353" s="6"/>
      <c r="Y353" s="4" t="s">
        <v>1201</v>
      </c>
    </row>
    <row r="354" spans="1:25">
      <c r="A354" s="12">
        <v>100020244</v>
      </c>
      <c r="B354" s="12">
        <v>2</v>
      </c>
      <c r="C354" s="12" t="s">
        <v>655</v>
      </c>
      <c r="D354" s="12"/>
      <c r="E354" s="12"/>
      <c r="F354" s="12"/>
      <c r="G354" s="12"/>
      <c r="H354" s="12">
        <v>100020245</v>
      </c>
      <c r="I354" s="12" t="s">
        <v>1202</v>
      </c>
      <c r="J354" s="12"/>
      <c r="K354" s="12" t="s">
        <v>1203</v>
      </c>
      <c r="L354" s="12"/>
      <c r="M354" s="13"/>
      <c r="N354" s="10">
        <v>3211</v>
      </c>
      <c r="O354" s="10"/>
      <c r="P354" s="8"/>
      <c r="Q354" s="6"/>
      <c r="R354" s="6"/>
      <c r="S354" t="b">
        <v>0</v>
      </c>
      <c r="T354" s="6"/>
      <c r="U354" s="6">
        <v>74244</v>
      </c>
      <c r="V354" s="6"/>
      <c r="W354" s="6"/>
      <c r="X354" s="6"/>
      <c r="Y354" s="4" t="s">
        <v>1204</v>
      </c>
    </row>
    <row r="355" spans="1:25">
      <c r="A355" s="12">
        <v>100020245</v>
      </c>
      <c r="B355" s="12">
        <v>2</v>
      </c>
      <c r="C355" s="12" t="s">
        <v>655</v>
      </c>
      <c r="D355" s="12"/>
      <c r="E355" s="12"/>
      <c r="F355" s="12"/>
      <c r="G355" s="12"/>
      <c r="H355" s="12">
        <v>100020246</v>
      </c>
      <c r="I355" s="12" t="s">
        <v>1205</v>
      </c>
      <c r="J355" s="12"/>
      <c r="K355" s="12" t="s">
        <v>1157</v>
      </c>
      <c r="L355" s="12"/>
      <c r="M355" s="13"/>
      <c r="N355" s="10">
        <v>3310</v>
      </c>
      <c r="O355" s="10"/>
      <c r="P355" s="8"/>
      <c r="Q355" s="6"/>
      <c r="R355" s="6"/>
      <c r="S355" t="b">
        <v>0</v>
      </c>
      <c r="T355" s="6"/>
      <c r="U355" s="6">
        <v>74245</v>
      </c>
      <c r="V355" s="6"/>
      <c r="W355" s="6"/>
      <c r="X355" s="6"/>
      <c r="Y355" s="4" t="s">
        <v>1206</v>
      </c>
    </row>
    <row r="356" spans="1:25">
      <c r="A356" s="12">
        <v>100020246</v>
      </c>
      <c r="B356" s="12">
        <v>2</v>
      </c>
      <c r="C356" s="12" t="s">
        <v>655</v>
      </c>
      <c r="D356" s="12"/>
      <c r="E356" s="12"/>
      <c r="F356" s="12"/>
      <c r="G356" s="12"/>
      <c r="H356" s="12">
        <v>100020247</v>
      </c>
      <c r="I356" s="12" t="s">
        <v>1207</v>
      </c>
      <c r="J356" s="12"/>
      <c r="K356" s="12" t="s">
        <v>1208</v>
      </c>
      <c r="L356" s="12"/>
      <c r="M356" s="13"/>
      <c r="N356" s="10">
        <v>3410</v>
      </c>
      <c r="O356" s="10"/>
      <c r="P356" s="8"/>
      <c r="Q356" s="6"/>
      <c r="R356" s="6"/>
      <c r="S356" t="b">
        <v>0</v>
      </c>
      <c r="T356" s="6"/>
      <c r="U356" s="6">
        <v>74246</v>
      </c>
      <c r="V356" s="6"/>
      <c r="W356" s="6"/>
      <c r="X356" s="6"/>
      <c r="Y356" s="4" t="s">
        <v>1209</v>
      </c>
    </row>
    <row r="357" spans="1:25">
      <c r="A357" s="12">
        <v>100020247</v>
      </c>
      <c r="B357" s="12">
        <v>2</v>
      </c>
      <c r="C357" s="12" t="s">
        <v>655</v>
      </c>
      <c r="D357" s="12"/>
      <c r="E357" s="12"/>
      <c r="F357" s="12"/>
      <c r="G357" s="12"/>
      <c r="H357" s="12">
        <v>100020248</v>
      </c>
      <c r="I357" s="12" t="s">
        <v>1210</v>
      </c>
      <c r="J357" s="12"/>
      <c r="K357" s="12" t="s">
        <v>1211</v>
      </c>
      <c r="L357" s="12"/>
      <c r="M357" s="13"/>
      <c r="N357" s="10">
        <v>11021</v>
      </c>
      <c r="O357" s="10"/>
      <c r="P357" s="8"/>
      <c r="Q357" s="6"/>
      <c r="R357" s="6"/>
      <c r="S357" t="b">
        <v>0</v>
      </c>
      <c r="T357" s="6"/>
      <c r="U357" s="6">
        <v>74247</v>
      </c>
      <c r="V357" s="6"/>
      <c r="W357" s="6"/>
      <c r="X357" s="6"/>
      <c r="Y357" s="4" t="s">
        <v>1212</v>
      </c>
    </row>
    <row r="358" spans="1:25">
      <c r="A358" s="12">
        <v>100020248</v>
      </c>
      <c r="B358" s="12">
        <v>2</v>
      </c>
      <c r="C358" s="12" t="s">
        <v>655</v>
      </c>
      <c r="D358" s="12"/>
      <c r="E358" s="12"/>
      <c r="F358" s="12"/>
      <c r="G358" s="12"/>
      <c r="H358" s="12">
        <v>100020249</v>
      </c>
      <c r="I358" s="12" t="s">
        <v>1213</v>
      </c>
      <c r="J358" s="12"/>
      <c r="K358" s="12" t="s">
        <v>1214</v>
      </c>
      <c r="L358" s="12"/>
      <c r="M358" s="13"/>
      <c r="N358" s="10">
        <v>3210</v>
      </c>
      <c r="O358" s="10"/>
      <c r="P358" s="8"/>
      <c r="Q358" s="6"/>
      <c r="R358" s="6"/>
      <c r="S358" t="b">
        <v>0</v>
      </c>
      <c r="T358" s="6"/>
      <c r="U358" s="6">
        <v>74248</v>
      </c>
      <c r="V358" s="6"/>
      <c r="W358" s="6"/>
      <c r="X358" s="6"/>
      <c r="Y358" s="4" t="s">
        <v>1215</v>
      </c>
    </row>
    <row r="359" spans="1:25">
      <c r="A359" s="12">
        <v>100020249</v>
      </c>
      <c r="B359" s="12">
        <v>2</v>
      </c>
      <c r="C359" s="12" t="s">
        <v>655</v>
      </c>
      <c r="D359" s="12"/>
      <c r="E359" s="12"/>
      <c r="F359" s="12"/>
      <c r="G359" s="12"/>
      <c r="H359" s="12">
        <v>100020250</v>
      </c>
      <c r="I359" s="12" t="s">
        <v>1216</v>
      </c>
      <c r="J359" s="12"/>
      <c r="K359" s="12" t="s">
        <v>1208</v>
      </c>
      <c r="L359" s="12"/>
      <c r="M359" s="13"/>
      <c r="N359" s="10">
        <v>3311</v>
      </c>
      <c r="O359" s="10"/>
      <c r="P359" s="8"/>
      <c r="Q359" s="6"/>
      <c r="R359" s="6"/>
      <c r="S359" t="b">
        <v>0</v>
      </c>
      <c r="T359" s="6"/>
      <c r="U359" s="6">
        <v>74249</v>
      </c>
      <c r="V359" s="6"/>
      <c r="W359" s="6"/>
      <c r="X359" s="6"/>
      <c r="Y359" s="4" t="s">
        <v>1217</v>
      </c>
    </row>
    <row r="360" spans="1:25">
      <c r="A360" s="12">
        <v>100020250</v>
      </c>
      <c r="B360" s="12">
        <v>2</v>
      </c>
      <c r="C360" s="12" t="s">
        <v>655</v>
      </c>
      <c r="D360" s="12"/>
      <c r="E360" s="12"/>
      <c r="F360" s="12"/>
      <c r="G360" s="12"/>
      <c r="H360" s="12">
        <v>100020251</v>
      </c>
      <c r="I360" s="12" t="s">
        <v>1218</v>
      </c>
      <c r="J360" s="12"/>
      <c r="K360" s="12" t="s">
        <v>1211</v>
      </c>
      <c r="L360" s="12"/>
      <c r="M360" s="13"/>
      <c r="N360" s="10">
        <v>11021</v>
      </c>
      <c r="O360" s="10"/>
      <c r="P360" s="8"/>
      <c r="Q360" s="6"/>
      <c r="R360" s="6"/>
      <c r="S360" t="b">
        <v>0</v>
      </c>
      <c r="T360" s="6"/>
      <c r="U360" s="6">
        <v>74250</v>
      </c>
      <c r="V360" s="6"/>
      <c r="W360" s="6"/>
      <c r="X360" s="6"/>
      <c r="Y360" s="4" t="s">
        <v>1219</v>
      </c>
    </row>
    <row r="361" spans="1:25">
      <c r="A361" s="12">
        <v>100020251</v>
      </c>
      <c r="B361" s="12">
        <v>2</v>
      </c>
      <c r="C361" s="12" t="s">
        <v>655</v>
      </c>
      <c r="D361" s="12"/>
      <c r="E361" s="12"/>
      <c r="F361" s="12"/>
      <c r="G361" s="12"/>
      <c r="H361" s="12">
        <v>100020252</v>
      </c>
      <c r="I361" s="12" t="s">
        <v>1220</v>
      </c>
      <c r="J361" s="12"/>
      <c r="K361" s="12" t="s">
        <v>1221</v>
      </c>
      <c r="L361" s="12"/>
      <c r="M361" s="13"/>
      <c r="N361" s="10">
        <v>3210</v>
      </c>
      <c r="O361" s="10"/>
      <c r="P361" s="8"/>
      <c r="Q361" s="6"/>
      <c r="R361" s="6"/>
      <c r="S361" t="b">
        <v>0</v>
      </c>
      <c r="T361" s="6"/>
      <c r="U361" s="6">
        <v>74251</v>
      </c>
      <c r="V361" s="6"/>
      <c r="W361" s="6"/>
      <c r="X361" s="6"/>
      <c r="Y361" s="4" t="s">
        <v>1215</v>
      </c>
    </row>
    <row r="362" spans="1:25">
      <c r="A362" s="12">
        <v>100020252</v>
      </c>
      <c r="B362" s="12">
        <v>2</v>
      </c>
      <c r="C362" s="12" t="s">
        <v>655</v>
      </c>
      <c r="D362" s="12"/>
      <c r="E362" s="12"/>
      <c r="F362" s="12"/>
      <c r="G362" s="12"/>
      <c r="H362" s="12">
        <v>100020253</v>
      </c>
      <c r="I362" s="12" t="s">
        <v>1216</v>
      </c>
      <c r="J362" s="12"/>
      <c r="K362" s="12" t="s">
        <v>1208</v>
      </c>
      <c r="L362" s="12"/>
      <c r="M362" s="13"/>
      <c r="N362" s="10">
        <v>3311</v>
      </c>
      <c r="O362" s="10"/>
      <c r="P362" s="8"/>
      <c r="Q362" s="6"/>
      <c r="R362" s="6"/>
      <c r="S362" t="b">
        <v>0</v>
      </c>
      <c r="T362" s="6"/>
      <c r="U362" s="6">
        <v>74252</v>
      </c>
      <c r="V362" s="6"/>
      <c r="W362" s="6"/>
      <c r="X362" s="6"/>
      <c r="Y362" s="4" t="s">
        <v>1222</v>
      </c>
    </row>
    <row r="363" spans="1:25">
      <c r="A363" s="12">
        <v>100020253</v>
      </c>
      <c r="B363" s="12">
        <v>2</v>
      </c>
      <c r="C363" s="12" t="s">
        <v>655</v>
      </c>
      <c r="D363" s="12"/>
      <c r="E363" s="12"/>
      <c r="F363" s="12"/>
      <c r="G363" s="12"/>
      <c r="H363" s="12">
        <v>100020254</v>
      </c>
      <c r="I363" s="12" t="s">
        <v>1223</v>
      </c>
      <c r="J363" s="12"/>
      <c r="K363" s="12" t="s">
        <v>1211</v>
      </c>
      <c r="L363" s="12"/>
      <c r="M363" s="13"/>
      <c r="N363" s="10">
        <v>11021</v>
      </c>
      <c r="O363" s="10"/>
      <c r="P363" s="8"/>
      <c r="Q363" s="6"/>
      <c r="R363" s="6"/>
      <c r="S363" t="b">
        <v>0</v>
      </c>
      <c r="T363" s="6"/>
      <c r="U363" s="6">
        <v>74253</v>
      </c>
      <c r="V363" s="6"/>
      <c r="W363" s="6"/>
      <c r="X363" s="6"/>
      <c r="Y363" s="4" t="s">
        <v>1224</v>
      </c>
    </row>
    <row r="364" spans="1:25">
      <c r="A364" s="12">
        <v>100020254</v>
      </c>
      <c r="B364" s="12">
        <v>2</v>
      </c>
      <c r="C364" s="12" t="s">
        <v>655</v>
      </c>
      <c r="D364" s="12"/>
      <c r="E364" s="12"/>
      <c r="F364" s="12"/>
      <c r="G364" s="12"/>
      <c r="H364" s="12">
        <v>100020255</v>
      </c>
      <c r="I364" s="12" t="s">
        <v>1225</v>
      </c>
      <c r="J364" s="12"/>
      <c r="K364" s="12" t="s">
        <v>1226</v>
      </c>
      <c r="L364" s="12"/>
      <c r="M364" s="13"/>
      <c r="N364" s="10">
        <v>3210</v>
      </c>
      <c r="O364" s="10"/>
      <c r="P364" s="8"/>
      <c r="Q364" s="6"/>
      <c r="R364" s="6"/>
      <c r="S364" t="b">
        <v>0</v>
      </c>
      <c r="T364" s="6"/>
      <c r="U364" s="6">
        <v>74254</v>
      </c>
      <c r="V364" s="6"/>
      <c r="W364" s="6"/>
      <c r="X364" s="6"/>
      <c r="Y364" s="4" t="s">
        <v>1227</v>
      </c>
    </row>
    <row r="365" spans="1:25">
      <c r="A365" s="12">
        <v>100020255</v>
      </c>
      <c r="B365" s="12">
        <v>2</v>
      </c>
      <c r="C365" s="12" t="s">
        <v>655</v>
      </c>
      <c r="D365" s="12"/>
      <c r="E365" s="12"/>
      <c r="F365" s="12"/>
      <c r="G365" s="12"/>
      <c r="H365" s="12">
        <v>100020256</v>
      </c>
      <c r="I365" s="12" t="s">
        <v>1228</v>
      </c>
      <c r="J365" s="12"/>
      <c r="K365" s="12" t="s">
        <v>1208</v>
      </c>
      <c r="L365" s="12"/>
      <c r="M365" s="13"/>
      <c r="N365" s="10">
        <v>3311</v>
      </c>
      <c r="O365" s="10"/>
      <c r="P365" s="8"/>
      <c r="Q365" s="6"/>
      <c r="R365" s="6"/>
      <c r="S365" t="b">
        <v>0</v>
      </c>
      <c r="T365" s="6"/>
      <c r="U365" s="6">
        <v>74255</v>
      </c>
      <c r="V365" s="6"/>
      <c r="W365" s="6"/>
      <c r="X365" s="6"/>
      <c r="Y365" s="4" t="s">
        <v>1229</v>
      </c>
    </row>
    <row r="366" spans="1:25">
      <c r="A366" s="12">
        <v>100020256</v>
      </c>
      <c r="B366" s="12">
        <v>2</v>
      </c>
      <c r="C366" s="12" t="s">
        <v>655</v>
      </c>
      <c r="D366" s="12"/>
      <c r="E366" s="12"/>
      <c r="F366" s="12"/>
      <c r="G366" s="12"/>
      <c r="H366" s="12">
        <v>100020257</v>
      </c>
      <c r="I366" s="12" t="s">
        <v>1230</v>
      </c>
      <c r="J366" s="12"/>
      <c r="K366" s="12" t="s">
        <v>1211</v>
      </c>
      <c r="L366" s="12"/>
      <c r="M366" s="13"/>
      <c r="N366" s="10">
        <v>11021</v>
      </c>
      <c r="O366" s="10"/>
      <c r="P366" s="8"/>
      <c r="Q366" s="6"/>
      <c r="R366" s="6"/>
      <c r="S366" t="b">
        <v>0</v>
      </c>
      <c r="T366" s="6"/>
      <c r="U366" s="6">
        <v>74256</v>
      </c>
      <c r="V366" s="6"/>
      <c r="W366" s="6"/>
      <c r="X366" s="6"/>
      <c r="Y366" s="4" t="s">
        <v>1231</v>
      </c>
    </row>
    <row r="367" spans="1:25">
      <c r="A367" s="12">
        <v>100020257</v>
      </c>
      <c r="B367" s="12">
        <v>2</v>
      </c>
      <c r="C367" s="12" t="s">
        <v>655</v>
      </c>
      <c r="D367" s="12"/>
      <c r="E367" s="12"/>
      <c r="F367" s="12"/>
      <c r="G367" s="12"/>
      <c r="H367" s="12">
        <v>100020258</v>
      </c>
      <c r="I367" s="12" t="s">
        <v>1232</v>
      </c>
      <c r="J367" s="12"/>
      <c r="K367" s="12" t="s">
        <v>1208</v>
      </c>
      <c r="L367" s="12"/>
      <c r="M367" s="13"/>
      <c r="N367" s="10">
        <v>3210</v>
      </c>
      <c r="O367" s="10"/>
      <c r="P367" s="8"/>
      <c r="Q367" s="6"/>
      <c r="R367" s="6"/>
      <c r="S367" t="b">
        <v>0</v>
      </c>
      <c r="T367" s="6"/>
      <c r="U367" s="6">
        <v>74257</v>
      </c>
      <c r="V367" s="6"/>
      <c r="W367" s="6"/>
      <c r="X367" s="6"/>
      <c r="Y367" s="4" t="s">
        <v>1233</v>
      </c>
    </row>
    <row r="368" spans="1:25">
      <c r="A368" s="12">
        <v>100020258</v>
      </c>
      <c r="B368" s="12">
        <v>2</v>
      </c>
      <c r="C368" s="12" t="s">
        <v>655</v>
      </c>
      <c r="D368" s="12"/>
      <c r="E368" s="12"/>
      <c r="F368" s="12"/>
      <c r="G368" s="12"/>
      <c r="H368" s="12">
        <v>100020259</v>
      </c>
      <c r="I368" s="12" t="s">
        <v>1234</v>
      </c>
      <c r="J368" s="12"/>
      <c r="K368" s="12" t="s">
        <v>1211</v>
      </c>
      <c r="L368" s="12"/>
      <c r="M368" s="13"/>
      <c r="N368" s="10">
        <v>11021</v>
      </c>
      <c r="O368" s="10"/>
      <c r="P368" s="8"/>
      <c r="Q368" s="6"/>
      <c r="R368" s="6"/>
      <c r="S368" t="b">
        <v>0</v>
      </c>
      <c r="T368" s="6"/>
      <c r="U368" s="6">
        <v>74258</v>
      </c>
      <c r="V368" s="6"/>
      <c r="W368" s="6"/>
      <c r="X368" s="6"/>
      <c r="Y368" s="4" t="s">
        <v>1235</v>
      </c>
    </row>
    <row r="369" spans="1:25">
      <c r="A369" s="12">
        <v>100020259</v>
      </c>
      <c r="B369" s="12">
        <v>2</v>
      </c>
      <c r="C369" s="12" t="s">
        <v>655</v>
      </c>
      <c r="D369" s="12"/>
      <c r="E369" s="12"/>
      <c r="F369" s="12"/>
      <c r="G369" s="12"/>
      <c r="H369" s="12">
        <v>100020260</v>
      </c>
      <c r="I369" s="12" t="s">
        <v>1236</v>
      </c>
      <c r="J369" s="12"/>
      <c r="K369" s="12" t="s">
        <v>1208</v>
      </c>
      <c r="L369" s="12"/>
      <c r="M369" s="13"/>
      <c r="N369" s="10">
        <v>3210</v>
      </c>
      <c r="O369" s="10"/>
      <c r="P369" s="8"/>
      <c r="Q369" s="6"/>
      <c r="R369" s="6"/>
      <c r="S369" t="b">
        <v>0</v>
      </c>
      <c r="T369" s="6"/>
      <c r="U369" s="6">
        <v>74259</v>
      </c>
      <c r="V369" s="6"/>
      <c r="W369" s="6"/>
      <c r="X369" s="6"/>
      <c r="Y369" s="4" t="s">
        <v>1237</v>
      </c>
    </row>
    <row r="370" spans="1:25">
      <c r="A370" s="12">
        <v>100020260</v>
      </c>
      <c r="B370" s="12">
        <v>2</v>
      </c>
      <c r="C370" s="12" t="s">
        <v>655</v>
      </c>
      <c r="D370" s="12"/>
      <c r="E370" s="12"/>
      <c r="F370" s="12"/>
      <c r="G370" s="12"/>
      <c r="H370" s="12">
        <v>100020261</v>
      </c>
      <c r="I370" s="12" t="s">
        <v>1238</v>
      </c>
      <c r="J370" s="12"/>
      <c r="K370" s="12" t="s">
        <v>1211</v>
      </c>
      <c r="L370" s="12"/>
      <c r="M370" s="13"/>
      <c r="N370" s="10">
        <v>11021</v>
      </c>
      <c r="O370" s="10"/>
      <c r="P370" s="8"/>
      <c r="Q370" s="6"/>
      <c r="R370" s="6"/>
      <c r="S370" t="b">
        <v>0</v>
      </c>
      <c r="T370" s="6"/>
      <c r="U370" s="6">
        <v>74260</v>
      </c>
      <c r="V370" s="6"/>
      <c r="W370" s="6"/>
      <c r="X370" s="6"/>
      <c r="Y370" s="4" t="s">
        <v>1239</v>
      </c>
    </row>
    <row r="371" spans="1:25">
      <c r="A371" s="12">
        <v>100020261</v>
      </c>
      <c r="B371" s="12">
        <v>2</v>
      </c>
      <c r="C371" s="12" t="s">
        <v>655</v>
      </c>
      <c r="D371" s="12"/>
      <c r="E371" s="12"/>
      <c r="F371" s="12"/>
      <c r="G371" s="12"/>
      <c r="H371" s="12">
        <v>100020262</v>
      </c>
      <c r="I371" s="12" t="s">
        <v>1240</v>
      </c>
      <c r="J371" s="12"/>
      <c r="K371" s="12" t="s">
        <v>1241</v>
      </c>
      <c r="L371" s="12"/>
      <c r="M371" s="13"/>
      <c r="N371" s="10">
        <v>3210</v>
      </c>
      <c r="O371" s="10"/>
      <c r="P371" s="8"/>
      <c r="Q371" s="6"/>
      <c r="R371" s="6"/>
      <c r="S371" t="b">
        <v>0</v>
      </c>
      <c r="T371" s="6"/>
      <c r="U371" s="6">
        <v>74261</v>
      </c>
      <c r="V371" s="6"/>
      <c r="W371" s="6"/>
      <c r="X371" s="6"/>
      <c r="Y371" s="4" t="s">
        <v>1242</v>
      </c>
    </row>
    <row r="372" spans="1:25">
      <c r="A372" s="12">
        <v>100020262</v>
      </c>
      <c r="B372" s="12">
        <v>2</v>
      </c>
      <c r="C372" s="12" t="s">
        <v>655</v>
      </c>
      <c r="D372" s="12"/>
      <c r="E372" s="12"/>
      <c r="F372" s="12"/>
      <c r="G372" s="12"/>
      <c r="H372" s="12">
        <v>100020263</v>
      </c>
      <c r="I372" s="12" t="s">
        <v>1243</v>
      </c>
      <c r="J372" s="12"/>
      <c r="K372" s="12" t="s">
        <v>1208</v>
      </c>
      <c r="L372" s="12"/>
      <c r="M372" s="13"/>
      <c r="N372" s="10">
        <v>3311</v>
      </c>
      <c r="O372" s="10"/>
      <c r="P372" s="8"/>
      <c r="Q372" s="6"/>
      <c r="R372" s="6"/>
      <c r="S372" t="b">
        <v>0</v>
      </c>
      <c r="T372" s="6"/>
      <c r="U372" s="6">
        <v>74262</v>
      </c>
      <c r="V372" s="6"/>
      <c r="W372" s="6"/>
      <c r="X372" s="6"/>
      <c r="Y372" s="4" t="s">
        <v>1244</v>
      </c>
    </row>
    <row r="373" spans="1:25">
      <c r="A373" s="12">
        <v>100020263</v>
      </c>
      <c r="B373" s="12">
        <v>2</v>
      </c>
      <c r="C373" s="12" t="s">
        <v>655</v>
      </c>
      <c r="D373" s="12"/>
      <c r="E373" s="12"/>
      <c r="F373" s="12"/>
      <c r="G373" s="12"/>
      <c r="H373" s="12">
        <v>100020264</v>
      </c>
      <c r="I373" s="12" t="s">
        <v>1245</v>
      </c>
      <c r="J373" s="12"/>
      <c r="K373" s="12" t="s">
        <v>1211</v>
      </c>
      <c r="L373" s="12"/>
      <c r="M373" s="13"/>
      <c r="N373" s="10">
        <v>11021</v>
      </c>
      <c r="O373" s="10"/>
      <c r="P373" s="8"/>
      <c r="Q373" s="6"/>
      <c r="R373" s="6"/>
      <c r="S373" t="b">
        <v>0</v>
      </c>
      <c r="T373" s="6"/>
      <c r="U373" s="6">
        <v>74263</v>
      </c>
      <c r="V373" s="6"/>
      <c r="W373" s="6"/>
      <c r="X373" s="6"/>
      <c r="Y373" s="4" t="s">
        <v>1246</v>
      </c>
    </row>
    <row r="374" spans="1:25">
      <c r="A374" s="12">
        <v>100020264</v>
      </c>
      <c r="B374" s="12">
        <v>2</v>
      </c>
      <c r="C374" s="12" t="s">
        <v>655</v>
      </c>
      <c r="D374" s="12"/>
      <c r="E374" s="12"/>
      <c r="F374" s="12"/>
      <c r="G374" s="12"/>
      <c r="H374" s="12">
        <v>100020265</v>
      </c>
      <c r="I374" s="12" t="s">
        <v>1247</v>
      </c>
      <c r="J374" s="12"/>
      <c r="K374" s="12" t="s">
        <v>1208</v>
      </c>
      <c r="L374" s="12"/>
      <c r="M374" s="13"/>
      <c r="N374" s="10">
        <v>3210</v>
      </c>
      <c r="O374" s="10"/>
      <c r="P374" s="8"/>
      <c r="Q374" s="6"/>
      <c r="R374" s="6"/>
      <c r="S374" t="b">
        <v>0</v>
      </c>
      <c r="T374" s="6"/>
      <c r="U374" s="6">
        <v>74264</v>
      </c>
      <c r="V374" s="6"/>
      <c r="W374" s="6"/>
      <c r="X374" s="6"/>
      <c r="Y374" s="4" t="s">
        <v>1233</v>
      </c>
    </row>
    <row r="375" spans="1:25">
      <c r="A375" s="12">
        <v>100020265</v>
      </c>
      <c r="B375" s="12">
        <v>2</v>
      </c>
      <c r="C375" s="12" t="s">
        <v>655</v>
      </c>
      <c r="D375" s="12"/>
      <c r="E375" s="12"/>
      <c r="F375" s="12"/>
      <c r="G375" s="12"/>
      <c r="H375" s="12">
        <v>100020266</v>
      </c>
      <c r="I375" s="12" t="s">
        <v>1234</v>
      </c>
      <c r="J375" s="12"/>
      <c r="K375" s="12" t="s">
        <v>1211</v>
      </c>
      <c r="L375" s="12"/>
      <c r="M375" s="13"/>
      <c r="N375" s="10">
        <v>11021</v>
      </c>
      <c r="O375" s="10"/>
      <c r="P375" s="8"/>
      <c r="Q375" s="6"/>
      <c r="R375" s="6"/>
      <c r="S375" t="b">
        <v>0</v>
      </c>
      <c r="T375" s="6"/>
      <c r="U375" s="6">
        <v>74265</v>
      </c>
      <c r="V375" s="6"/>
      <c r="W375" s="6"/>
      <c r="X375" s="6"/>
      <c r="Y375" s="4" t="s">
        <v>1248</v>
      </c>
    </row>
    <row r="376" spans="1:25">
      <c r="A376" s="12">
        <v>100020266</v>
      </c>
      <c r="B376" s="12">
        <v>2</v>
      </c>
      <c r="C376" s="12" t="s">
        <v>655</v>
      </c>
      <c r="D376" s="12"/>
      <c r="E376" s="12"/>
      <c r="F376" s="12"/>
      <c r="G376" s="12"/>
      <c r="H376" s="12">
        <v>100020267</v>
      </c>
      <c r="I376" s="12" t="s">
        <v>1249</v>
      </c>
      <c r="J376" s="12"/>
      <c r="K376" s="12" t="s">
        <v>1208</v>
      </c>
      <c r="L376" s="12"/>
      <c r="M376" s="13"/>
      <c r="N376" s="10">
        <v>3210</v>
      </c>
      <c r="O376" s="10"/>
      <c r="P376" s="8"/>
      <c r="Q376" s="6"/>
      <c r="R376" s="6"/>
      <c r="S376" t="b">
        <v>0</v>
      </c>
      <c r="T376" s="6"/>
      <c r="U376" s="6">
        <v>74266</v>
      </c>
      <c r="V376" s="6"/>
      <c r="W376" s="6"/>
      <c r="X376" s="6"/>
      <c r="Y376" s="4" t="s">
        <v>1250</v>
      </c>
    </row>
    <row r="377" spans="1:25">
      <c r="A377" s="12">
        <v>100020267</v>
      </c>
      <c r="B377" s="12">
        <v>2</v>
      </c>
      <c r="C377" s="12" t="s">
        <v>655</v>
      </c>
      <c r="D377" s="12"/>
      <c r="E377" s="12"/>
      <c r="F377" s="12"/>
      <c r="G377" s="12"/>
      <c r="H377" s="12">
        <v>100020268</v>
      </c>
      <c r="I377" s="12" t="s">
        <v>1251</v>
      </c>
      <c r="J377" s="12"/>
      <c r="K377" s="12" t="s">
        <v>1211</v>
      </c>
      <c r="L377" s="12"/>
      <c r="M377" s="13"/>
      <c r="N377" s="10">
        <v>11021</v>
      </c>
      <c r="O377" s="10"/>
      <c r="P377" s="8"/>
      <c r="Q377" s="6"/>
      <c r="R377" s="6"/>
      <c r="S377" t="b">
        <v>0</v>
      </c>
      <c r="T377" s="6"/>
      <c r="U377" s="6">
        <v>74267</v>
      </c>
      <c r="V377" s="6"/>
      <c r="W377" s="6"/>
      <c r="X377" s="6"/>
      <c r="Y377" s="4" t="s">
        <v>1252</v>
      </c>
    </row>
    <row r="378" spans="1:25">
      <c r="A378" s="12">
        <v>100020268</v>
      </c>
      <c r="B378" s="12">
        <v>2</v>
      </c>
      <c r="C378" s="12" t="s">
        <v>655</v>
      </c>
      <c r="D378" s="12"/>
      <c r="E378" s="12"/>
      <c r="F378" s="12"/>
      <c r="G378" s="12"/>
      <c r="H378" s="12">
        <v>100020269</v>
      </c>
      <c r="I378" s="12" t="s">
        <v>1253</v>
      </c>
      <c r="J378" s="12"/>
      <c r="K378" s="12" t="s">
        <v>1254</v>
      </c>
      <c r="L378" s="12"/>
      <c r="M378" s="13"/>
      <c r="N378" s="10">
        <v>3210</v>
      </c>
      <c r="O378" s="10"/>
      <c r="P378" s="8"/>
      <c r="Q378" s="6"/>
      <c r="R378" s="6"/>
      <c r="S378" t="b">
        <v>0</v>
      </c>
      <c r="T378" s="6"/>
      <c r="U378" s="6">
        <v>74268</v>
      </c>
      <c r="V378" s="6"/>
      <c r="W378" s="6"/>
      <c r="X378" s="6"/>
      <c r="Y378" s="4" t="s">
        <v>1255</v>
      </c>
    </row>
    <row r="379" spans="1:25">
      <c r="A379" s="12">
        <v>100020269</v>
      </c>
      <c r="B379" s="12">
        <v>2</v>
      </c>
      <c r="C379" s="12" t="s">
        <v>655</v>
      </c>
      <c r="D379" s="12"/>
      <c r="E379" s="12"/>
      <c r="F379" s="12"/>
      <c r="G379" s="12"/>
      <c r="H379" s="12"/>
      <c r="I379" s="12" t="s">
        <v>1256</v>
      </c>
      <c r="J379" s="12"/>
      <c r="K379" s="12" t="s">
        <v>1208</v>
      </c>
      <c r="L379" s="12"/>
      <c r="M379" s="13"/>
      <c r="N379" s="10">
        <v>3311</v>
      </c>
      <c r="O379" s="10"/>
      <c r="P379" s="8"/>
      <c r="Q379" s="6"/>
      <c r="R379" s="6"/>
      <c r="S379"/>
      <c r="T379" s="6"/>
      <c r="U379" s="6"/>
      <c r="V379" s="6"/>
      <c r="W379" s="6"/>
      <c r="X379" s="6"/>
    </row>
    <row r="380" spans="1:25">
      <c r="A380" s="12">
        <v>100020270</v>
      </c>
      <c r="B380" s="12">
        <v>2</v>
      </c>
      <c r="C380" s="12" t="s">
        <v>655</v>
      </c>
      <c r="D380" s="12"/>
      <c r="E380" s="12"/>
      <c r="F380" s="12"/>
      <c r="G380" s="12"/>
      <c r="H380" s="12"/>
      <c r="I380" s="12"/>
      <c r="J380" s="12"/>
      <c r="K380" s="12"/>
      <c r="L380" s="12"/>
      <c r="M380" s="13"/>
      <c r="N380" s="10"/>
      <c r="O380" s="10"/>
      <c r="P380" s="8"/>
      <c r="Q380" s="6"/>
      <c r="R380" s="6"/>
      <c r="S380"/>
      <c r="T380" s="6"/>
      <c r="U380" s="6"/>
      <c r="V380" s="6"/>
      <c r="W380" s="6"/>
      <c r="X380" s="6"/>
    </row>
    <row r="381" spans="1:25">
      <c r="A381" s="12">
        <v>100020271</v>
      </c>
      <c r="B381" s="12">
        <v>2</v>
      </c>
      <c r="C381" s="12" t="s">
        <v>655</v>
      </c>
      <c r="D381" s="12"/>
      <c r="E381" s="12"/>
      <c r="F381" s="12"/>
      <c r="G381" s="12"/>
      <c r="H381" s="12"/>
      <c r="I381" s="12"/>
      <c r="J381" s="12"/>
      <c r="K381" s="12"/>
      <c r="L381" s="12"/>
      <c r="M381" s="13"/>
      <c r="N381" s="10"/>
      <c r="O381" s="10"/>
      <c r="P381" s="8"/>
      <c r="Q381" s="6"/>
      <c r="R381" s="6"/>
      <c r="S381"/>
      <c r="T381" s="6"/>
      <c r="U381" s="6"/>
      <c r="V381" s="6"/>
      <c r="W381" s="6"/>
      <c r="X381" s="6"/>
    </row>
    <row r="382" spans="1:25">
      <c r="A382" s="12">
        <v>100020272</v>
      </c>
      <c r="B382" s="12">
        <v>2</v>
      </c>
      <c r="C382" s="12" t="s">
        <v>655</v>
      </c>
      <c r="D382" s="12"/>
      <c r="E382" s="12"/>
      <c r="F382" s="12"/>
      <c r="G382" s="12"/>
      <c r="H382" s="12"/>
      <c r="I382" s="12"/>
      <c r="J382" s="12"/>
      <c r="K382" s="12"/>
      <c r="L382" s="12"/>
      <c r="M382" s="13"/>
      <c r="N382" s="10"/>
      <c r="O382" s="10"/>
      <c r="P382" s="8"/>
      <c r="Q382" s="6"/>
      <c r="R382" s="6"/>
      <c r="S382"/>
      <c r="T382" s="6"/>
      <c r="U382" s="6"/>
      <c r="V382" s="6"/>
      <c r="W382" s="6"/>
      <c r="X382" s="6"/>
    </row>
    <row r="383" spans="1:25">
      <c r="A383" s="12">
        <v>100020273</v>
      </c>
      <c r="B383" s="12">
        <v>2</v>
      </c>
      <c r="C383" s="12" t="s">
        <v>655</v>
      </c>
      <c r="D383" s="12"/>
      <c r="E383" s="12"/>
      <c r="F383" s="12"/>
      <c r="G383" s="12"/>
      <c r="H383" s="12"/>
      <c r="I383" s="12"/>
      <c r="J383" s="12"/>
      <c r="K383" s="12"/>
      <c r="L383" s="12"/>
      <c r="M383" s="13"/>
      <c r="N383" s="10"/>
      <c r="O383" s="10"/>
      <c r="P383" s="8"/>
      <c r="Q383" s="6"/>
      <c r="R383" s="6"/>
      <c r="S383"/>
      <c r="T383" s="6"/>
      <c r="U383" s="6"/>
      <c r="V383" s="6"/>
      <c r="W383" s="6"/>
      <c r="X383" s="6"/>
    </row>
    <row r="384" spans="1:25">
      <c r="A384" s="12">
        <v>100020274</v>
      </c>
      <c r="B384" s="12">
        <v>2</v>
      </c>
      <c r="C384" s="12" t="s">
        <v>655</v>
      </c>
      <c r="D384" s="12"/>
      <c r="E384" s="12"/>
      <c r="F384" s="12"/>
      <c r="G384" s="12"/>
      <c r="H384" s="12"/>
      <c r="I384" s="12"/>
      <c r="J384" s="12"/>
      <c r="K384" s="12"/>
      <c r="L384" s="12"/>
      <c r="M384" s="13"/>
      <c r="N384" s="10"/>
      <c r="O384" s="10"/>
      <c r="P384" s="8"/>
      <c r="Q384" s="6"/>
      <c r="R384" s="6"/>
      <c r="S384"/>
      <c r="T384" s="6"/>
      <c r="U384" s="6"/>
      <c r="V384" s="6"/>
      <c r="W384" s="6"/>
      <c r="X384" s="6"/>
    </row>
    <row r="385" spans="1:25">
      <c r="A385" s="12">
        <v>100020275</v>
      </c>
      <c r="B385" s="12">
        <v>2</v>
      </c>
      <c r="C385" s="12" t="s">
        <v>655</v>
      </c>
      <c r="D385" s="12"/>
      <c r="E385" s="12"/>
      <c r="F385" s="12"/>
      <c r="G385" s="12"/>
      <c r="H385" s="12"/>
      <c r="I385" s="12"/>
      <c r="J385" s="12"/>
      <c r="K385" s="12"/>
      <c r="L385" s="12"/>
      <c r="M385" s="13"/>
      <c r="N385" s="10"/>
      <c r="O385" s="10"/>
      <c r="P385" s="8"/>
      <c r="Q385" s="6"/>
      <c r="R385" s="6"/>
      <c r="S385"/>
      <c r="T385" s="6"/>
      <c r="U385" s="6"/>
      <c r="V385" s="6"/>
      <c r="W385" s="6"/>
      <c r="X385" s="6"/>
    </row>
    <row r="386" spans="1:25">
      <c r="A386" s="12">
        <v>100020276</v>
      </c>
      <c r="B386" s="12">
        <v>2</v>
      </c>
      <c r="C386" s="12" t="s">
        <v>655</v>
      </c>
      <c r="D386" s="12"/>
      <c r="E386" s="12"/>
      <c r="F386" s="12"/>
      <c r="G386" s="12"/>
      <c r="H386" s="12"/>
      <c r="I386" s="12"/>
      <c r="J386" s="12"/>
      <c r="K386" s="12"/>
      <c r="L386" s="12"/>
      <c r="M386" s="13"/>
      <c r="N386" s="10"/>
      <c r="O386" s="10"/>
      <c r="P386" s="8"/>
      <c r="Q386" s="6"/>
      <c r="R386" s="6"/>
      <c r="S386"/>
      <c r="T386" s="6"/>
      <c r="U386" s="6"/>
      <c r="V386" s="6"/>
      <c r="W386" s="6"/>
      <c r="X386" s="6"/>
    </row>
    <row r="387" spans="1:25">
      <c r="A387" s="12">
        <v>100020277</v>
      </c>
      <c r="B387" s="12">
        <v>2</v>
      </c>
      <c r="C387" s="12" t="s">
        <v>655</v>
      </c>
      <c r="D387" s="12"/>
      <c r="E387" s="12"/>
      <c r="F387" s="12"/>
      <c r="G387" s="12"/>
      <c r="H387" s="12"/>
      <c r="I387" s="12"/>
      <c r="J387" s="12"/>
      <c r="K387" s="12"/>
      <c r="L387" s="12"/>
      <c r="M387" s="13"/>
      <c r="N387" s="10"/>
      <c r="O387" s="10"/>
      <c r="P387" s="8"/>
      <c r="Q387" s="6"/>
      <c r="R387" s="6"/>
      <c r="S387"/>
      <c r="T387" s="6"/>
      <c r="U387" s="6"/>
      <c r="V387" s="6"/>
      <c r="W387" s="6"/>
      <c r="X387" s="6"/>
    </row>
    <row r="388" spans="1:25">
      <c r="A388" s="12">
        <v>100020278</v>
      </c>
      <c r="B388" s="12">
        <v>2</v>
      </c>
      <c r="C388" s="12" t="s">
        <v>655</v>
      </c>
      <c r="D388" s="12"/>
      <c r="E388" s="12"/>
      <c r="F388" s="12"/>
      <c r="G388" s="12"/>
      <c r="H388" s="12"/>
      <c r="I388" s="12"/>
      <c r="J388" s="12"/>
      <c r="K388" s="12"/>
      <c r="L388" s="12"/>
      <c r="M388" s="13"/>
      <c r="N388" s="10"/>
      <c r="O388" s="10"/>
      <c r="P388" s="8"/>
      <c r="Q388" s="6"/>
      <c r="R388" s="6"/>
      <c r="S388"/>
      <c r="T388" s="6"/>
      <c r="U388" s="6"/>
      <c r="V388" s="6"/>
      <c r="W388" s="6"/>
      <c r="X388" s="6"/>
    </row>
    <row r="389" spans="1:25">
      <c r="A389" s="12">
        <v>100020279</v>
      </c>
      <c r="B389" s="12">
        <v>2</v>
      </c>
      <c r="C389" s="12" t="s">
        <v>655</v>
      </c>
      <c r="D389" s="12"/>
      <c r="E389" s="12"/>
      <c r="F389" s="12"/>
      <c r="G389" s="12"/>
      <c r="H389" s="12"/>
      <c r="I389" s="12"/>
      <c r="J389" s="12"/>
      <c r="K389" s="12"/>
      <c r="L389" s="12"/>
      <c r="M389" s="13"/>
      <c r="N389" s="10"/>
      <c r="O389" s="10"/>
      <c r="P389" s="8"/>
      <c r="Q389" s="6"/>
      <c r="R389" s="6"/>
      <c r="S389"/>
      <c r="T389" s="6"/>
      <c r="U389" s="6"/>
      <c r="V389" s="6"/>
      <c r="W389" s="6"/>
      <c r="X389" s="6"/>
    </row>
    <row r="390" spans="1:25">
      <c r="A390" s="12">
        <v>100020280</v>
      </c>
      <c r="B390" s="12">
        <v>2</v>
      </c>
      <c r="C390" s="12" t="s">
        <v>655</v>
      </c>
      <c r="D390" s="12"/>
      <c r="E390" s="12"/>
      <c r="F390" s="12"/>
      <c r="G390" s="12"/>
      <c r="H390" s="12"/>
      <c r="I390" s="12"/>
      <c r="J390" s="12"/>
      <c r="K390" s="12"/>
      <c r="L390" s="12"/>
      <c r="M390" s="13"/>
      <c r="N390" s="10"/>
      <c r="O390" s="10"/>
      <c r="P390" s="8"/>
      <c r="Q390" s="6"/>
      <c r="R390" s="6"/>
      <c r="S390"/>
      <c r="T390" s="6"/>
      <c r="U390" s="6"/>
      <c r="V390" s="6"/>
      <c r="W390" s="6"/>
      <c r="X390" s="6"/>
    </row>
    <row r="391" spans="1:25">
      <c r="A391" s="55">
        <v>100030001</v>
      </c>
      <c r="B391" s="55">
        <v>7</v>
      </c>
      <c r="C391" s="55" t="s">
        <v>1257</v>
      </c>
      <c r="D391" s="55">
        <v>13</v>
      </c>
      <c r="E391" s="55"/>
      <c r="F391" s="55">
        <v>30001</v>
      </c>
      <c r="G391" s="55"/>
      <c r="H391" s="55">
        <v>100030002</v>
      </c>
      <c r="I391" s="55" t="s">
        <v>1258</v>
      </c>
      <c r="J391" s="55"/>
      <c r="K391" s="55" t="s">
        <v>1259</v>
      </c>
      <c r="L391" s="55"/>
      <c r="M391" s="56"/>
      <c r="N391" s="57" t="s">
        <v>1260</v>
      </c>
      <c r="O391" s="57" t="s">
        <v>1261</v>
      </c>
      <c r="P391" s="58"/>
      <c r="Q391" s="59">
        <v>0</v>
      </c>
      <c r="R391" s="59"/>
      <c r="S391" s="60" t="b">
        <v>0</v>
      </c>
      <c r="T391" s="59"/>
      <c r="U391" s="59">
        <v>74501</v>
      </c>
      <c r="V391" s="59"/>
      <c r="W391" s="59"/>
      <c r="X391" s="59">
        <v>85501</v>
      </c>
      <c r="Y391" s="4" t="s">
        <v>1262</v>
      </c>
    </row>
    <row r="392" spans="1:25">
      <c r="A392" s="55">
        <v>100030002</v>
      </c>
      <c r="B392" s="55">
        <v>7</v>
      </c>
      <c r="C392" s="55" t="s">
        <v>1257</v>
      </c>
      <c r="D392" s="55">
        <v>13</v>
      </c>
      <c r="E392" s="55"/>
      <c r="F392" s="55">
        <v>30001</v>
      </c>
      <c r="G392" s="55"/>
      <c r="H392" s="55">
        <v>100030003</v>
      </c>
      <c r="I392" s="55" t="s">
        <v>1263</v>
      </c>
      <c r="J392" s="55"/>
      <c r="K392" s="55" t="s">
        <v>1264</v>
      </c>
      <c r="L392" s="55"/>
      <c r="M392" s="56"/>
      <c r="N392" s="57" t="s">
        <v>1260</v>
      </c>
      <c r="O392" s="57" t="s">
        <v>1265</v>
      </c>
      <c r="P392" s="58"/>
      <c r="Q392" s="59">
        <v>0</v>
      </c>
      <c r="R392" s="59"/>
      <c r="S392" s="60" t="b">
        <v>0</v>
      </c>
      <c r="T392" s="59"/>
      <c r="U392" s="59">
        <v>74502</v>
      </c>
      <c r="V392" s="59"/>
      <c r="W392" s="59"/>
      <c r="X392" s="59">
        <v>85501</v>
      </c>
      <c r="Y392" s="4" t="s">
        <v>1266</v>
      </c>
    </row>
    <row r="393" spans="1:25">
      <c r="A393" s="55">
        <v>100030003</v>
      </c>
      <c r="B393" s="55">
        <v>7</v>
      </c>
      <c r="C393" s="55" t="s">
        <v>1257</v>
      </c>
      <c r="D393" s="55">
        <v>13</v>
      </c>
      <c r="E393" s="55"/>
      <c r="F393" s="55">
        <v>30001</v>
      </c>
      <c r="G393" s="55"/>
      <c r="H393" s="55">
        <v>100030004</v>
      </c>
      <c r="I393" s="55" t="s">
        <v>1267</v>
      </c>
      <c r="J393" s="55"/>
      <c r="K393" s="55" t="s">
        <v>1268</v>
      </c>
      <c r="L393" s="55"/>
      <c r="M393" s="56"/>
      <c r="N393" s="57" t="s">
        <v>1260</v>
      </c>
      <c r="O393" s="57" t="s">
        <v>1265</v>
      </c>
      <c r="P393" s="58"/>
      <c r="Q393" s="59">
        <v>0</v>
      </c>
      <c r="R393" s="59"/>
      <c r="S393" s="60" t="b">
        <v>0</v>
      </c>
      <c r="T393" s="59"/>
      <c r="U393" s="59">
        <v>74503</v>
      </c>
      <c r="V393" s="59"/>
      <c r="W393" s="59"/>
      <c r="X393" s="59">
        <v>85501</v>
      </c>
      <c r="Y393" s="4" t="s">
        <v>1269</v>
      </c>
    </row>
    <row r="394" spans="1:25">
      <c r="A394" s="55">
        <v>100030004</v>
      </c>
      <c r="B394" s="55">
        <v>7</v>
      </c>
      <c r="C394" s="55" t="s">
        <v>1257</v>
      </c>
      <c r="D394" s="55">
        <v>13</v>
      </c>
      <c r="E394" s="55"/>
      <c r="F394" s="55">
        <v>30001</v>
      </c>
      <c r="G394" s="55"/>
      <c r="H394" s="55">
        <v>100030005</v>
      </c>
      <c r="I394" s="55" t="s">
        <v>1270</v>
      </c>
      <c r="J394" s="55"/>
      <c r="K394" s="55" t="s">
        <v>1271</v>
      </c>
      <c r="L394" s="55"/>
      <c r="M394" s="56"/>
      <c r="N394" s="57" t="s">
        <v>1260</v>
      </c>
      <c r="O394" s="57" t="s">
        <v>1265</v>
      </c>
      <c r="P394" s="58"/>
      <c r="Q394" s="59">
        <v>0</v>
      </c>
      <c r="R394" s="59"/>
      <c r="S394" s="60" t="b">
        <v>0</v>
      </c>
      <c r="T394" s="59"/>
      <c r="U394" s="59">
        <v>74504</v>
      </c>
      <c r="V394" s="59"/>
      <c r="W394" s="59"/>
      <c r="X394" s="59">
        <v>85501</v>
      </c>
      <c r="Y394" s="4" t="s">
        <v>1272</v>
      </c>
    </row>
    <row r="395" spans="1:25">
      <c r="A395" s="55">
        <v>100030005</v>
      </c>
      <c r="B395" s="55">
        <v>7</v>
      </c>
      <c r="C395" s="55" t="s">
        <v>1257</v>
      </c>
      <c r="D395" s="55">
        <v>13</v>
      </c>
      <c r="E395" s="55"/>
      <c r="F395" s="55">
        <v>30001</v>
      </c>
      <c r="G395" s="55"/>
      <c r="H395" s="55">
        <v>100030006</v>
      </c>
      <c r="I395" s="55" t="s">
        <v>1273</v>
      </c>
      <c r="J395" s="55"/>
      <c r="K395" s="55" t="s">
        <v>1274</v>
      </c>
      <c r="L395" s="55"/>
      <c r="M395" s="56"/>
      <c r="N395" s="57" t="s">
        <v>1260</v>
      </c>
      <c r="O395" s="57" t="s">
        <v>1265</v>
      </c>
      <c r="P395" s="58"/>
      <c r="Q395" s="59">
        <v>0</v>
      </c>
      <c r="R395" s="59"/>
      <c r="S395" s="60" t="b">
        <v>0</v>
      </c>
      <c r="T395" s="59"/>
      <c r="U395" s="59">
        <v>74505</v>
      </c>
      <c r="V395" s="59"/>
      <c r="W395" s="59"/>
      <c r="X395" s="59">
        <v>85501</v>
      </c>
      <c r="Y395" s="4" t="s">
        <v>1275</v>
      </c>
    </row>
    <row r="396" spans="1:25">
      <c r="A396" s="55">
        <v>100030006</v>
      </c>
      <c r="B396" s="55">
        <v>7</v>
      </c>
      <c r="C396" s="55" t="s">
        <v>1257</v>
      </c>
      <c r="D396" s="55">
        <v>13</v>
      </c>
      <c r="E396" s="55"/>
      <c r="F396" s="55">
        <v>30001</v>
      </c>
      <c r="G396" s="55"/>
      <c r="H396" s="55"/>
      <c r="I396" s="55" t="s">
        <v>1276</v>
      </c>
      <c r="J396" s="55"/>
      <c r="K396" s="55" t="s">
        <v>1277</v>
      </c>
      <c r="L396" s="55"/>
      <c r="M396" s="56"/>
      <c r="N396" s="57" t="s">
        <v>1260</v>
      </c>
      <c r="O396" s="57" t="s">
        <v>1265</v>
      </c>
      <c r="P396" s="58"/>
      <c r="Q396" s="59">
        <v>0</v>
      </c>
      <c r="R396" s="59"/>
      <c r="S396" s="60" t="b">
        <v>0</v>
      </c>
      <c r="T396" s="59"/>
      <c r="U396" s="59">
        <v>74506</v>
      </c>
      <c r="V396" s="59"/>
      <c r="W396" s="59"/>
      <c r="X396" s="59">
        <v>85501</v>
      </c>
      <c r="Y396" s="4" t="s">
        <v>1278</v>
      </c>
    </row>
    <row r="397" spans="1:25">
      <c r="A397" s="55">
        <v>100030011</v>
      </c>
      <c r="B397" s="55">
        <v>7</v>
      </c>
      <c r="C397" s="55" t="s">
        <v>1257</v>
      </c>
      <c r="D397" s="55">
        <v>14</v>
      </c>
      <c r="E397" s="55"/>
      <c r="F397" s="55">
        <v>30011</v>
      </c>
      <c r="G397" s="55"/>
      <c r="H397" s="55">
        <v>100030012</v>
      </c>
      <c r="I397" s="55" t="s">
        <v>1279</v>
      </c>
      <c r="J397" s="55"/>
      <c r="K397" s="55" t="s">
        <v>1280</v>
      </c>
      <c r="L397" s="55"/>
      <c r="M397" s="56"/>
      <c r="N397" s="57" t="s">
        <v>1260</v>
      </c>
      <c r="O397" s="57" t="s">
        <v>1281</v>
      </c>
      <c r="P397" s="58"/>
      <c r="Q397" s="59">
        <v>0</v>
      </c>
      <c r="R397" s="59"/>
      <c r="S397" s="60" t="b">
        <v>0</v>
      </c>
      <c r="T397" s="59"/>
      <c r="U397" s="59">
        <v>74521</v>
      </c>
      <c r="V397" s="59"/>
      <c r="W397" s="59"/>
      <c r="X397" s="59">
        <v>85502</v>
      </c>
      <c r="Y397" s="4" t="s">
        <v>1282</v>
      </c>
    </row>
    <row r="398" spans="1:25">
      <c r="A398" s="55">
        <v>100030012</v>
      </c>
      <c r="B398" s="55">
        <v>7</v>
      </c>
      <c r="C398" s="55" t="s">
        <v>1257</v>
      </c>
      <c r="D398" s="55">
        <v>14</v>
      </c>
      <c r="E398" s="55"/>
      <c r="F398" s="55">
        <v>30011</v>
      </c>
      <c r="G398" s="55"/>
      <c r="H398" s="55">
        <v>100030013</v>
      </c>
      <c r="I398" s="55" t="s">
        <v>1283</v>
      </c>
      <c r="J398" s="55"/>
      <c r="K398" s="55" t="s">
        <v>1264</v>
      </c>
      <c r="L398" s="55"/>
      <c r="M398" s="56"/>
      <c r="N398" s="57" t="s">
        <v>1260</v>
      </c>
      <c r="O398" s="57" t="s">
        <v>1281</v>
      </c>
      <c r="P398" s="58"/>
      <c r="Q398" s="59">
        <v>0</v>
      </c>
      <c r="R398" s="59"/>
      <c r="S398" t="b">
        <v>0</v>
      </c>
      <c r="T398" s="59"/>
      <c r="U398" s="59">
        <v>74522</v>
      </c>
      <c r="V398" s="59"/>
      <c r="W398" s="59"/>
      <c r="X398" s="59">
        <v>85502</v>
      </c>
      <c r="Y398" s="4" t="s">
        <v>1284</v>
      </c>
    </row>
    <row r="399" spans="1:25">
      <c r="A399" s="55">
        <v>100030013</v>
      </c>
      <c r="B399" s="55">
        <v>7</v>
      </c>
      <c r="C399" s="55" t="s">
        <v>1257</v>
      </c>
      <c r="D399" s="55">
        <v>14</v>
      </c>
      <c r="E399" s="55"/>
      <c r="F399" s="55">
        <v>30011</v>
      </c>
      <c r="G399" s="55"/>
      <c r="H399" s="55">
        <v>100030014</v>
      </c>
      <c r="I399" s="55" t="s">
        <v>1285</v>
      </c>
      <c r="J399" s="55"/>
      <c r="K399" s="55" t="s">
        <v>1286</v>
      </c>
      <c r="L399" s="55"/>
      <c r="M399" s="56"/>
      <c r="N399" s="57" t="s">
        <v>1260</v>
      </c>
      <c r="O399" s="57" t="s">
        <v>1281</v>
      </c>
      <c r="P399" s="58"/>
      <c r="Q399" s="59">
        <v>0</v>
      </c>
      <c r="R399" s="59"/>
      <c r="S399" t="b">
        <v>0</v>
      </c>
      <c r="T399" s="59"/>
      <c r="U399" s="59">
        <v>74523</v>
      </c>
      <c r="V399" s="59"/>
      <c r="W399" s="59"/>
      <c r="X399" s="59">
        <v>85502</v>
      </c>
      <c r="Y399" s="4" t="s">
        <v>1287</v>
      </c>
    </row>
    <row r="400" spans="1:25">
      <c r="A400" s="55">
        <v>100030014</v>
      </c>
      <c r="B400" s="55">
        <v>7</v>
      </c>
      <c r="C400" s="55" t="s">
        <v>1257</v>
      </c>
      <c r="D400" s="55">
        <v>14</v>
      </c>
      <c r="E400" s="55"/>
      <c r="F400" s="55">
        <v>30011</v>
      </c>
      <c r="G400" s="55"/>
      <c r="H400" s="55">
        <v>100030015</v>
      </c>
      <c r="I400" s="55" t="s">
        <v>1288</v>
      </c>
      <c r="J400" s="55"/>
      <c r="K400" s="55" t="s">
        <v>1271</v>
      </c>
      <c r="L400" s="55"/>
      <c r="M400" s="56"/>
      <c r="N400" s="57" t="s">
        <v>1260</v>
      </c>
      <c r="O400" s="57" t="s">
        <v>1289</v>
      </c>
      <c r="P400" s="58"/>
      <c r="Q400" s="59">
        <v>0</v>
      </c>
      <c r="R400" s="59"/>
      <c r="S400" t="b">
        <v>0</v>
      </c>
      <c r="T400" s="59"/>
      <c r="U400" s="59">
        <v>74524</v>
      </c>
      <c r="V400" s="59"/>
      <c r="W400" s="59"/>
      <c r="X400" s="59">
        <v>85502</v>
      </c>
      <c r="Y400" s="4" t="s">
        <v>1290</v>
      </c>
    </row>
    <row r="401" spans="1:25">
      <c r="A401" s="55">
        <v>100030015</v>
      </c>
      <c r="B401" s="55">
        <v>7</v>
      </c>
      <c r="C401" s="55" t="s">
        <v>1257</v>
      </c>
      <c r="D401" s="55">
        <v>14</v>
      </c>
      <c r="E401" s="55"/>
      <c r="F401" s="55">
        <v>30011</v>
      </c>
      <c r="G401" s="55"/>
      <c r="H401" s="55">
        <v>100030016</v>
      </c>
      <c r="I401" s="55" t="s">
        <v>1291</v>
      </c>
      <c r="J401" s="55"/>
      <c r="K401" s="55" t="s">
        <v>1274</v>
      </c>
      <c r="L401" s="55"/>
      <c r="M401" s="56"/>
      <c r="N401" s="57" t="s">
        <v>1260</v>
      </c>
      <c r="O401" s="57" t="s">
        <v>1289</v>
      </c>
      <c r="P401" s="58"/>
      <c r="Q401" s="59">
        <v>0</v>
      </c>
      <c r="R401" s="59"/>
      <c r="S401" t="b">
        <v>0</v>
      </c>
      <c r="T401" s="59"/>
      <c r="U401" s="59">
        <v>74525</v>
      </c>
      <c r="V401" s="59"/>
      <c r="W401" s="59"/>
      <c r="X401" s="59">
        <v>85502</v>
      </c>
      <c r="Y401" s="4" t="s">
        <v>1292</v>
      </c>
    </row>
    <row r="402" spans="1:25">
      <c r="A402" s="55">
        <v>100030016</v>
      </c>
      <c r="B402" s="55">
        <v>7</v>
      </c>
      <c r="C402" s="55" t="s">
        <v>1257</v>
      </c>
      <c r="D402" s="55">
        <v>14</v>
      </c>
      <c r="E402" s="55"/>
      <c r="F402" s="55">
        <v>30011</v>
      </c>
      <c r="G402" s="55"/>
      <c r="H402" s="55"/>
      <c r="I402" s="55" t="s">
        <v>1293</v>
      </c>
      <c r="J402" s="55"/>
      <c r="K402" s="55" t="s">
        <v>1294</v>
      </c>
      <c r="L402" s="55"/>
      <c r="M402" s="56"/>
      <c r="N402" s="57" t="s">
        <v>1260</v>
      </c>
      <c r="O402" s="57" t="s">
        <v>1289</v>
      </c>
      <c r="P402" s="58"/>
      <c r="Q402" s="59">
        <v>0</v>
      </c>
      <c r="R402" s="59"/>
      <c r="S402" t="b">
        <v>0</v>
      </c>
      <c r="T402" s="59"/>
      <c r="U402" s="59">
        <v>74526</v>
      </c>
      <c r="V402" s="59"/>
      <c r="W402" s="59"/>
      <c r="X402" s="59">
        <v>85502</v>
      </c>
      <c r="Y402" s="4" t="s">
        <v>1295</v>
      </c>
    </row>
    <row r="403" spans="1:25">
      <c r="A403" s="55">
        <v>100030051</v>
      </c>
      <c r="B403" s="55">
        <v>7</v>
      </c>
      <c r="C403" s="55" t="s">
        <v>1257</v>
      </c>
      <c r="D403" s="55">
        <v>15</v>
      </c>
      <c r="E403" s="55"/>
      <c r="F403" s="55">
        <v>30051</v>
      </c>
      <c r="G403" s="55"/>
      <c r="H403" s="55">
        <f>A404</f>
        <v>100030052</v>
      </c>
      <c r="I403" s="55" t="s">
        <v>1296</v>
      </c>
      <c r="J403" s="55"/>
      <c r="K403" s="55" t="s">
        <v>1280</v>
      </c>
      <c r="L403" s="55"/>
      <c r="M403" s="56"/>
      <c r="N403" s="57" t="s">
        <v>1260</v>
      </c>
      <c r="O403" s="57" t="s">
        <v>1297</v>
      </c>
      <c r="P403" s="58"/>
      <c r="Q403" s="59">
        <v>0</v>
      </c>
      <c r="R403" s="59"/>
      <c r="S403" t="b">
        <v>0</v>
      </c>
      <c r="T403" s="59"/>
      <c r="U403" s="59">
        <v>74601</v>
      </c>
      <c r="V403" s="59"/>
      <c r="W403" s="59"/>
      <c r="X403" s="59">
        <v>85503</v>
      </c>
      <c r="Y403" s="4" t="s">
        <v>1298</v>
      </c>
    </row>
    <row r="404" spans="1:25">
      <c r="A404" s="55">
        <v>100030052</v>
      </c>
      <c r="B404" s="55">
        <v>7</v>
      </c>
      <c r="C404" s="55" t="s">
        <v>1257</v>
      </c>
      <c r="D404" s="55">
        <v>15</v>
      </c>
      <c r="E404" s="55"/>
      <c r="F404" s="55">
        <v>30051</v>
      </c>
      <c r="G404" s="55"/>
      <c r="H404" s="55">
        <f>A405</f>
        <v>100030053</v>
      </c>
      <c r="I404" s="55" t="s">
        <v>1299</v>
      </c>
      <c r="J404" s="55"/>
      <c r="K404" s="55" t="s">
        <v>1264</v>
      </c>
      <c r="L404" s="55"/>
      <c r="M404" s="56"/>
      <c r="N404" s="57" t="s">
        <v>1260</v>
      </c>
      <c r="O404" s="57" t="s">
        <v>1297</v>
      </c>
      <c r="P404" s="58"/>
      <c r="Q404" s="59">
        <v>0</v>
      </c>
      <c r="R404" s="59"/>
      <c r="S404" t="b">
        <v>0</v>
      </c>
      <c r="T404" s="59"/>
      <c r="U404" s="59">
        <v>74602</v>
      </c>
      <c r="V404" s="59"/>
      <c r="W404" s="59"/>
      <c r="X404" s="59">
        <v>85503</v>
      </c>
      <c r="Y404" s="4" t="s">
        <v>1300</v>
      </c>
    </row>
    <row r="405" spans="1:25">
      <c r="A405" s="55">
        <v>100030053</v>
      </c>
      <c r="B405" s="55">
        <v>7</v>
      </c>
      <c r="C405" s="55" t="s">
        <v>1257</v>
      </c>
      <c r="D405" s="55">
        <v>15</v>
      </c>
      <c r="E405" s="55"/>
      <c r="F405" s="55">
        <v>30051</v>
      </c>
      <c r="G405" s="55"/>
      <c r="H405" s="55">
        <f>A406</f>
        <v>100030054</v>
      </c>
      <c r="I405" s="55" t="s">
        <v>1301</v>
      </c>
      <c r="J405" s="55"/>
      <c r="K405" s="55" t="s">
        <v>1302</v>
      </c>
      <c r="L405" s="55"/>
      <c r="M405" s="56"/>
      <c r="N405" s="57" t="s">
        <v>1260</v>
      </c>
      <c r="O405" s="57" t="s">
        <v>1297</v>
      </c>
      <c r="P405" s="58"/>
      <c r="Q405" s="59">
        <v>0</v>
      </c>
      <c r="R405" s="59"/>
      <c r="S405" t="b">
        <v>0</v>
      </c>
      <c r="T405" s="59"/>
      <c r="U405" s="59">
        <v>74603</v>
      </c>
      <c r="V405" s="59"/>
      <c r="W405" s="59"/>
      <c r="X405" s="59">
        <v>85503</v>
      </c>
      <c r="Y405" s="4" t="s">
        <v>1303</v>
      </c>
    </row>
    <row r="406" spans="1:25">
      <c r="A406" s="55">
        <v>100030054</v>
      </c>
      <c r="B406" s="55">
        <v>7</v>
      </c>
      <c r="C406" s="55" t="s">
        <v>1257</v>
      </c>
      <c r="D406" s="55">
        <v>15</v>
      </c>
      <c r="E406" s="55"/>
      <c r="F406" s="55">
        <v>30051</v>
      </c>
      <c r="G406" s="55"/>
      <c r="H406" s="55">
        <f>A407</f>
        <v>100030055</v>
      </c>
      <c r="I406" s="55" t="s">
        <v>1304</v>
      </c>
      <c r="J406" s="55"/>
      <c r="K406" s="55" t="s">
        <v>1271</v>
      </c>
      <c r="L406" s="55"/>
      <c r="M406" s="56"/>
      <c r="N406" s="57" t="s">
        <v>1260</v>
      </c>
      <c r="O406" s="57" t="s">
        <v>1305</v>
      </c>
      <c r="P406" s="58"/>
      <c r="Q406" s="59">
        <v>0</v>
      </c>
      <c r="R406" s="59"/>
      <c r="S406" t="b">
        <v>0</v>
      </c>
      <c r="T406" s="59"/>
      <c r="U406" s="59">
        <v>74604</v>
      </c>
      <c r="V406" s="59"/>
      <c r="W406" s="59"/>
      <c r="X406" s="59">
        <v>85503</v>
      </c>
      <c r="Y406" s="4" t="s">
        <v>1306</v>
      </c>
    </row>
    <row r="407" spans="1:25">
      <c r="A407" s="55">
        <v>100030055</v>
      </c>
      <c r="B407" s="55">
        <v>7</v>
      </c>
      <c r="C407" s="55" t="s">
        <v>1257</v>
      </c>
      <c r="D407" s="55">
        <v>15</v>
      </c>
      <c r="E407" s="55"/>
      <c r="F407" s="55">
        <v>30051</v>
      </c>
      <c r="G407" s="55"/>
      <c r="H407" s="55">
        <f>A408</f>
        <v>100030056</v>
      </c>
      <c r="I407" s="55" t="s">
        <v>1307</v>
      </c>
      <c r="J407" s="55"/>
      <c r="K407" s="55" t="s">
        <v>1274</v>
      </c>
      <c r="L407" s="55"/>
      <c r="M407" s="56"/>
      <c r="N407" s="57" t="s">
        <v>1260</v>
      </c>
      <c r="O407" s="57" t="s">
        <v>1305</v>
      </c>
      <c r="P407" s="58"/>
      <c r="Q407" s="59">
        <v>0</v>
      </c>
      <c r="R407" s="59"/>
      <c r="S407" t="b">
        <v>0</v>
      </c>
      <c r="T407" s="59"/>
      <c r="U407" s="59">
        <v>74605</v>
      </c>
      <c r="V407" s="59"/>
      <c r="W407" s="59"/>
      <c r="X407" s="59">
        <v>85503</v>
      </c>
      <c r="Y407" s="4" t="s">
        <v>1308</v>
      </c>
    </row>
    <row r="408" spans="1:25">
      <c r="A408" s="55">
        <v>100030056</v>
      </c>
      <c r="B408" s="55">
        <v>7</v>
      </c>
      <c r="C408" s="55" t="s">
        <v>1257</v>
      </c>
      <c r="D408" s="55">
        <v>15</v>
      </c>
      <c r="E408" s="55"/>
      <c r="F408" s="55">
        <v>30051</v>
      </c>
      <c r="G408" s="55"/>
      <c r="H408" s="55"/>
      <c r="I408" s="55" t="s">
        <v>1309</v>
      </c>
      <c r="J408" s="55"/>
      <c r="K408" s="55" t="s">
        <v>1310</v>
      </c>
      <c r="L408" s="55"/>
      <c r="M408" s="56"/>
      <c r="N408" s="57" t="s">
        <v>1260</v>
      </c>
      <c r="O408" s="57" t="s">
        <v>1305</v>
      </c>
      <c r="P408" s="58"/>
      <c r="Q408" s="59">
        <v>0</v>
      </c>
      <c r="R408" s="59"/>
      <c r="S408" t="b">
        <v>0</v>
      </c>
      <c r="T408" s="59"/>
      <c r="U408" s="59">
        <v>74606</v>
      </c>
      <c r="V408" s="59"/>
      <c r="W408" s="59"/>
      <c r="X408" s="59">
        <v>85503</v>
      </c>
      <c r="Y408" s="4" t="s">
        <v>1311</v>
      </c>
    </row>
    <row r="409" spans="1:25">
      <c r="A409" s="55">
        <v>100030061</v>
      </c>
      <c r="B409" s="55">
        <v>7</v>
      </c>
      <c r="C409" s="55" t="s">
        <v>1257</v>
      </c>
      <c r="D409" s="55">
        <v>16</v>
      </c>
      <c r="E409" s="55"/>
      <c r="F409" s="55">
        <v>30061</v>
      </c>
      <c r="G409" s="55"/>
      <c r="H409" s="55">
        <f>A410</f>
        <v>100030062</v>
      </c>
      <c r="I409" s="55" t="s">
        <v>1312</v>
      </c>
      <c r="J409" s="55"/>
      <c r="K409" s="55" t="s">
        <v>1280</v>
      </c>
      <c r="L409" s="55"/>
      <c r="M409" s="56"/>
      <c r="N409" s="57" t="s">
        <v>1260</v>
      </c>
      <c r="O409" s="57" t="s">
        <v>1313</v>
      </c>
      <c r="P409" s="58"/>
      <c r="Q409" s="59">
        <v>0</v>
      </c>
      <c r="R409" s="59"/>
      <c r="S409" t="b">
        <v>0</v>
      </c>
      <c r="T409" s="59"/>
      <c r="U409" s="59">
        <v>74621</v>
      </c>
      <c r="V409" s="59"/>
      <c r="W409" s="59"/>
      <c r="X409" s="59">
        <v>85504</v>
      </c>
      <c r="Y409" s="4" t="s">
        <v>1314</v>
      </c>
    </row>
    <row r="410" spans="1:25">
      <c r="A410" s="55">
        <v>100030062</v>
      </c>
      <c r="B410" s="55">
        <v>7</v>
      </c>
      <c r="C410" s="55" t="s">
        <v>1257</v>
      </c>
      <c r="D410" s="55">
        <v>16</v>
      </c>
      <c r="E410" s="55"/>
      <c r="F410" s="55">
        <v>30061</v>
      </c>
      <c r="G410" s="55"/>
      <c r="H410" s="55">
        <f>A411</f>
        <v>100030063</v>
      </c>
      <c r="I410" s="55" t="s">
        <v>1315</v>
      </c>
      <c r="J410" s="55"/>
      <c r="K410" s="55" t="s">
        <v>1264</v>
      </c>
      <c r="L410" s="55"/>
      <c r="M410" s="56"/>
      <c r="N410" s="57" t="s">
        <v>1260</v>
      </c>
      <c r="O410" s="57" t="s">
        <v>1313</v>
      </c>
      <c r="P410" s="58"/>
      <c r="Q410" s="59">
        <v>0</v>
      </c>
      <c r="R410" s="59"/>
      <c r="S410" t="b">
        <v>0</v>
      </c>
      <c r="T410" s="59"/>
      <c r="U410" s="59">
        <v>74622</v>
      </c>
      <c r="V410" s="59"/>
      <c r="W410" s="59"/>
      <c r="X410" s="59">
        <v>85504</v>
      </c>
      <c r="Y410" s="4" t="s">
        <v>1316</v>
      </c>
    </row>
    <row r="411" spans="1:25">
      <c r="A411" s="55">
        <v>100030063</v>
      </c>
      <c r="B411" s="55">
        <v>7</v>
      </c>
      <c r="C411" s="55" t="s">
        <v>1257</v>
      </c>
      <c r="D411" s="55">
        <v>16</v>
      </c>
      <c r="E411" s="55"/>
      <c r="F411" s="55">
        <v>30061</v>
      </c>
      <c r="G411" s="55"/>
      <c r="H411" s="55">
        <f>A412</f>
        <v>100030064</v>
      </c>
      <c r="I411" s="55" t="s">
        <v>1317</v>
      </c>
      <c r="J411" s="55"/>
      <c r="K411" s="55" t="s">
        <v>1318</v>
      </c>
      <c r="L411" s="55"/>
      <c r="M411" s="56"/>
      <c r="N411" s="57" t="s">
        <v>1260</v>
      </c>
      <c r="O411" s="57" t="s">
        <v>1313</v>
      </c>
      <c r="P411" s="58"/>
      <c r="Q411" s="59">
        <v>0</v>
      </c>
      <c r="R411" s="59"/>
      <c r="S411" t="b">
        <v>0</v>
      </c>
      <c r="T411" s="59"/>
      <c r="U411" s="59">
        <v>74623</v>
      </c>
      <c r="V411" s="59"/>
      <c r="W411" s="59"/>
      <c r="X411" s="59">
        <v>85504</v>
      </c>
      <c r="Y411" s="4" t="s">
        <v>1319</v>
      </c>
    </row>
    <row r="412" spans="1:25">
      <c r="A412" s="55">
        <v>100030064</v>
      </c>
      <c r="B412" s="55">
        <v>7</v>
      </c>
      <c r="C412" s="55" t="s">
        <v>1257</v>
      </c>
      <c r="D412" s="55">
        <v>16</v>
      </c>
      <c r="E412" s="55"/>
      <c r="F412" s="55">
        <v>30061</v>
      </c>
      <c r="G412" s="55"/>
      <c r="H412" s="55">
        <f>A413</f>
        <v>100030065</v>
      </c>
      <c r="I412" s="55" t="s">
        <v>1320</v>
      </c>
      <c r="J412" s="55"/>
      <c r="K412" s="55" t="s">
        <v>1271</v>
      </c>
      <c r="L412" s="55"/>
      <c r="M412" s="56"/>
      <c r="N412" s="57" t="s">
        <v>1260</v>
      </c>
      <c r="O412" s="57" t="s">
        <v>1321</v>
      </c>
      <c r="P412" s="58"/>
      <c r="Q412" s="59">
        <v>0</v>
      </c>
      <c r="R412" s="59"/>
      <c r="S412" t="b">
        <v>0</v>
      </c>
      <c r="T412" s="59"/>
      <c r="U412" s="59">
        <v>74624</v>
      </c>
      <c r="V412" s="59"/>
      <c r="W412" s="59"/>
      <c r="X412" s="59">
        <v>85504</v>
      </c>
      <c r="Y412" s="4" t="s">
        <v>1322</v>
      </c>
    </row>
    <row r="413" spans="1:25">
      <c r="A413" s="55">
        <v>100030065</v>
      </c>
      <c r="B413" s="55">
        <v>7</v>
      </c>
      <c r="C413" s="55" t="s">
        <v>1257</v>
      </c>
      <c r="D413" s="55">
        <v>16</v>
      </c>
      <c r="E413" s="55"/>
      <c r="F413" s="55">
        <v>30061</v>
      </c>
      <c r="G413" s="55"/>
      <c r="H413" s="55">
        <f>A414</f>
        <v>100030066</v>
      </c>
      <c r="I413" s="55" t="s">
        <v>1323</v>
      </c>
      <c r="J413" s="55"/>
      <c r="K413" s="55" t="s">
        <v>1274</v>
      </c>
      <c r="L413" s="55"/>
      <c r="M413" s="56"/>
      <c r="N413" s="57" t="s">
        <v>1260</v>
      </c>
      <c r="O413" s="57" t="s">
        <v>1321</v>
      </c>
      <c r="P413" s="58"/>
      <c r="Q413" s="59">
        <v>0</v>
      </c>
      <c r="R413" s="59"/>
      <c r="S413" t="b">
        <v>0</v>
      </c>
      <c r="T413" s="59"/>
      <c r="U413" s="59">
        <v>74625</v>
      </c>
      <c r="V413" s="59"/>
      <c r="W413" s="59"/>
      <c r="X413" s="59">
        <v>85504</v>
      </c>
      <c r="Y413" s="4" t="s">
        <v>1324</v>
      </c>
    </row>
    <row r="414" spans="1:25">
      <c r="A414" s="55">
        <v>100030066</v>
      </c>
      <c r="B414" s="55">
        <v>7</v>
      </c>
      <c r="C414" s="55" t="s">
        <v>1257</v>
      </c>
      <c r="D414" s="55">
        <v>16</v>
      </c>
      <c r="E414" s="55"/>
      <c r="F414" s="55">
        <v>30061</v>
      </c>
      <c r="G414" s="55"/>
      <c r="H414" s="55"/>
      <c r="I414" s="55" t="s">
        <v>1325</v>
      </c>
      <c r="J414" s="55"/>
      <c r="K414" s="55" t="s">
        <v>1326</v>
      </c>
      <c r="L414" s="55"/>
      <c r="M414" s="56"/>
      <c r="N414" s="57" t="s">
        <v>1260</v>
      </c>
      <c r="O414" s="57" t="s">
        <v>1321</v>
      </c>
      <c r="P414" s="58"/>
      <c r="Q414" s="59">
        <v>0</v>
      </c>
      <c r="R414" s="59"/>
      <c r="S414" t="b">
        <v>0</v>
      </c>
      <c r="T414" s="59"/>
      <c r="U414" s="59">
        <v>74626</v>
      </c>
      <c r="V414" s="59"/>
      <c r="W414" s="59"/>
      <c r="X414" s="59">
        <v>85504</v>
      </c>
      <c r="Y414" s="4" t="s">
        <v>1327</v>
      </c>
    </row>
    <row r="415" spans="1:25">
      <c r="A415" s="55">
        <v>100030071</v>
      </c>
      <c r="B415" s="55">
        <v>7</v>
      </c>
      <c r="C415" s="55" t="s">
        <v>1257</v>
      </c>
      <c r="D415" s="55">
        <v>17</v>
      </c>
      <c r="E415" s="55"/>
      <c r="F415" s="55">
        <v>30071</v>
      </c>
      <c r="G415" s="55"/>
      <c r="H415" s="55">
        <f>A416</f>
        <v>100030072</v>
      </c>
      <c r="I415" s="55" t="s">
        <v>1328</v>
      </c>
      <c r="J415" s="55"/>
      <c r="K415" s="55" t="s">
        <v>1280</v>
      </c>
      <c r="L415" s="55"/>
      <c r="M415" s="56"/>
      <c r="N415" s="57">
        <v>3017</v>
      </c>
      <c r="O415" s="57" t="s">
        <v>1329</v>
      </c>
      <c r="P415" s="58"/>
      <c r="Q415" s="59">
        <v>0</v>
      </c>
      <c r="R415" s="59"/>
      <c r="S415" t="b">
        <v>0</v>
      </c>
      <c r="T415" s="59"/>
      <c r="U415" s="59">
        <v>74641</v>
      </c>
      <c r="V415" s="59"/>
      <c r="W415" s="59"/>
      <c r="X415" s="59"/>
      <c r="Y415" s="4" t="s">
        <v>1330</v>
      </c>
    </row>
    <row r="416" spans="1:25">
      <c r="A416" s="55">
        <v>100030072</v>
      </c>
      <c r="B416" s="55">
        <v>7</v>
      </c>
      <c r="C416" s="55" t="s">
        <v>1257</v>
      </c>
      <c r="D416" s="55">
        <v>17</v>
      </c>
      <c r="E416" s="55"/>
      <c r="F416" s="55">
        <v>30071</v>
      </c>
      <c r="G416" s="55"/>
      <c r="H416" s="55">
        <f>A417</f>
        <v>100030073</v>
      </c>
      <c r="I416" s="55" t="s">
        <v>1331</v>
      </c>
      <c r="J416" s="55"/>
      <c r="K416" s="55" t="s">
        <v>1264</v>
      </c>
      <c r="L416" s="55"/>
      <c r="M416" s="56"/>
      <c r="N416" s="57">
        <v>3017</v>
      </c>
      <c r="O416" s="57" t="s">
        <v>1329</v>
      </c>
      <c r="P416" s="58"/>
      <c r="Q416" s="59">
        <v>0</v>
      </c>
      <c r="R416" s="59"/>
      <c r="S416" t="b">
        <v>0</v>
      </c>
      <c r="T416" s="59"/>
      <c r="U416" s="59">
        <v>74642</v>
      </c>
      <c r="V416" s="59"/>
      <c r="W416" s="59"/>
      <c r="X416" s="59"/>
      <c r="Y416" s="4" t="s">
        <v>1332</v>
      </c>
    </row>
    <row r="417" spans="1:25">
      <c r="A417" s="55">
        <v>100030073</v>
      </c>
      <c r="B417" s="55">
        <v>7</v>
      </c>
      <c r="C417" s="55" t="s">
        <v>1257</v>
      </c>
      <c r="D417" s="55">
        <v>17</v>
      </c>
      <c r="E417" s="55"/>
      <c r="F417" s="55">
        <v>30071</v>
      </c>
      <c r="G417" s="55"/>
      <c r="H417" s="55">
        <f>A418</f>
        <v>100030074</v>
      </c>
      <c r="I417" s="55" t="s">
        <v>1333</v>
      </c>
      <c r="J417" s="55"/>
      <c r="K417" s="55" t="s">
        <v>1334</v>
      </c>
      <c r="L417" s="55"/>
      <c r="M417" s="56"/>
      <c r="N417" s="57">
        <v>3017</v>
      </c>
      <c r="O417" s="57" t="s">
        <v>1329</v>
      </c>
      <c r="P417" s="58"/>
      <c r="Q417" s="59">
        <v>0</v>
      </c>
      <c r="R417" s="59"/>
      <c r="S417" t="b">
        <v>0</v>
      </c>
      <c r="T417" s="59"/>
      <c r="U417" s="59">
        <v>74643</v>
      </c>
      <c r="V417" s="59"/>
      <c r="W417" s="59"/>
      <c r="X417" s="59"/>
      <c r="Y417" s="4" t="s">
        <v>1335</v>
      </c>
    </row>
    <row r="418" spans="1:25">
      <c r="A418" s="55">
        <v>100030074</v>
      </c>
      <c r="B418" s="55">
        <v>7</v>
      </c>
      <c r="C418" s="55" t="s">
        <v>1257</v>
      </c>
      <c r="D418" s="55">
        <v>17</v>
      </c>
      <c r="E418" s="55"/>
      <c r="F418" s="55">
        <v>30071</v>
      </c>
      <c r="G418" s="55"/>
      <c r="H418" s="55">
        <f>A419</f>
        <v>100030075</v>
      </c>
      <c r="I418" s="55" t="s">
        <v>1336</v>
      </c>
      <c r="J418" s="55"/>
      <c r="K418" s="55" t="s">
        <v>1271</v>
      </c>
      <c r="L418" s="55"/>
      <c r="M418" s="56"/>
      <c r="N418" s="57">
        <v>3017</v>
      </c>
      <c r="O418" s="57" t="s">
        <v>1337</v>
      </c>
      <c r="P418" s="58"/>
      <c r="Q418" s="59">
        <v>0</v>
      </c>
      <c r="R418" s="59"/>
      <c r="S418" t="b">
        <v>0</v>
      </c>
      <c r="T418" s="59"/>
      <c r="U418" s="59">
        <v>74644</v>
      </c>
      <c r="V418" s="59"/>
      <c r="W418" s="59"/>
      <c r="X418" s="59"/>
      <c r="Y418" s="4" t="s">
        <v>1338</v>
      </c>
    </row>
    <row r="419" spans="1:25">
      <c r="A419" s="55">
        <v>100030075</v>
      </c>
      <c r="B419" s="55">
        <v>7</v>
      </c>
      <c r="C419" s="55" t="s">
        <v>1257</v>
      </c>
      <c r="D419" s="55">
        <v>17</v>
      </c>
      <c r="E419" s="55"/>
      <c r="F419" s="55">
        <v>30071</v>
      </c>
      <c r="G419" s="55"/>
      <c r="H419" s="55">
        <f>A420</f>
        <v>100030076</v>
      </c>
      <c r="I419" s="55" t="s">
        <v>1339</v>
      </c>
      <c r="J419" s="55"/>
      <c r="K419" s="55" t="s">
        <v>1274</v>
      </c>
      <c r="L419" s="55"/>
      <c r="M419" s="56"/>
      <c r="N419" s="57">
        <v>3017</v>
      </c>
      <c r="O419" s="57" t="s">
        <v>1337</v>
      </c>
      <c r="P419" s="58"/>
      <c r="Q419" s="59">
        <v>0</v>
      </c>
      <c r="R419" s="59"/>
      <c r="S419" t="b">
        <v>0</v>
      </c>
      <c r="T419" s="59"/>
      <c r="U419" s="59">
        <v>74645</v>
      </c>
      <c r="V419" s="59"/>
      <c r="W419" s="59"/>
      <c r="X419" s="59"/>
      <c r="Y419" s="4" t="s">
        <v>1340</v>
      </c>
    </row>
    <row r="420" spans="1:25">
      <c r="A420" s="55">
        <v>100030076</v>
      </c>
      <c r="B420" s="55">
        <v>7</v>
      </c>
      <c r="C420" s="55" t="s">
        <v>1257</v>
      </c>
      <c r="D420" s="55">
        <v>17</v>
      </c>
      <c r="E420" s="55"/>
      <c r="F420" s="55">
        <v>30071</v>
      </c>
      <c r="G420" s="55"/>
      <c r="H420" s="55"/>
      <c r="I420" s="55" t="s">
        <v>1341</v>
      </c>
      <c r="J420" s="55"/>
      <c r="K420" s="55" t="s">
        <v>1342</v>
      </c>
      <c r="L420" s="55"/>
      <c r="M420" s="56"/>
      <c r="N420" s="57">
        <v>3017</v>
      </c>
      <c r="O420" s="57" t="s">
        <v>1337</v>
      </c>
      <c r="P420" s="58"/>
      <c r="Q420" s="59">
        <v>0</v>
      </c>
      <c r="R420" s="59"/>
      <c r="S420" t="b">
        <v>0</v>
      </c>
      <c r="T420" s="59"/>
      <c r="U420" s="59">
        <v>74646</v>
      </c>
      <c r="V420" s="59"/>
      <c r="W420" s="59"/>
      <c r="X420" s="59"/>
      <c r="Y420" s="4" t="s">
        <v>1343</v>
      </c>
    </row>
    <row r="421" spans="1:25">
      <c r="A421" s="55">
        <v>100030091</v>
      </c>
      <c r="B421" s="55">
        <v>7</v>
      </c>
      <c r="C421" s="55" t="s">
        <v>1257</v>
      </c>
      <c r="D421" s="55">
        <v>18</v>
      </c>
      <c r="E421" s="55"/>
      <c r="F421" s="55">
        <v>30091</v>
      </c>
      <c r="G421" s="55"/>
      <c r="H421" s="55">
        <f>A422</f>
        <v>100030092</v>
      </c>
      <c r="I421" s="55" t="s">
        <v>1344</v>
      </c>
      <c r="J421" s="55"/>
      <c r="K421" s="55" t="s">
        <v>1280</v>
      </c>
      <c r="L421" s="55"/>
      <c r="M421" s="56"/>
      <c r="N421" s="57" t="s">
        <v>1260</v>
      </c>
      <c r="O421" s="57" t="s">
        <v>1345</v>
      </c>
      <c r="P421" s="58"/>
      <c r="Q421" s="59">
        <v>0</v>
      </c>
      <c r="R421" s="59"/>
      <c r="S421" t="b">
        <v>0</v>
      </c>
      <c r="T421" s="59"/>
      <c r="U421" s="59">
        <v>74681</v>
      </c>
      <c r="V421" s="59"/>
      <c r="W421" s="59"/>
      <c r="X421" s="59">
        <v>85505</v>
      </c>
      <c r="Y421" s="4" t="s">
        <v>1346</v>
      </c>
    </row>
    <row r="422" spans="1:25">
      <c r="A422" s="55">
        <v>100030092</v>
      </c>
      <c r="B422" s="55">
        <v>7</v>
      </c>
      <c r="C422" s="55" t="s">
        <v>1257</v>
      </c>
      <c r="D422" s="55">
        <v>18</v>
      </c>
      <c r="E422" s="55"/>
      <c r="F422" s="55">
        <v>30091</v>
      </c>
      <c r="G422" s="55"/>
      <c r="H422" s="55">
        <f>A423</f>
        <v>100030093</v>
      </c>
      <c r="I422" s="55" t="s">
        <v>1347</v>
      </c>
      <c r="J422" s="55"/>
      <c r="K422" s="55" t="s">
        <v>1264</v>
      </c>
      <c r="L422" s="55"/>
      <c r="M422" s="56"/>
      <c r="N422" s="57" t="s">
        <v>1260</v>
      </c>
      <c r="O422" s="57" t="s">
        <v>1345</v>
      </c>
      <c r="P422" s="58"/>
      <c r="Q422" s="59">
        <v>0</v>
      </c>
      <c r="R422" s="59"/>
      <c r="S422" t="b">
        <v>0</v>
      </c>
      <c r="T422" s="59"/>
      <c r="U422" s="59">
        <v>74682</v>
      </c>
      <c r="V422" s="59"/>
      <c r="W422" s="59"/>
      <c r="X422" s="59">
        <v>85505</v>
      </c>
      <c r="Y422" s="4" t="s">
        <v>1348</v>
      </c>
    </row>
    <row r="423" spans="1:25">
      <c r="A423" s="55">
        <v>100030093</v>
      </c>
      <c r="B423" s="55">
        <v>7</v>
      </c>
      <c r="C423" s="55" t="s">
        <v>1257</v>
      </c>
      <c r="D423" s="55">
        <v>18</v>
      </c>
      <c r="E423" s="55"/>
      <c r="F423" s="55">
        <v>30091</v>
      </c>
      <c r="G423" s="55"/>
      <c r="H423" s="55">
        <f>A424</f>
        <v>100030094</v>
      </c>
      <c r="I423" s="55" t="s">
        <v>1349</v>
      </c>
      <c r="J423" s="55"/>
      <c r="K423" s="55" t="s">
        <v>1350</v>
      </c>
      <c r="L423" s="55"/>
      <c r="M423" s="56"/>
      <c r="N423" s="57" t="s">
        <v>1260</v>
      </c>
      <c r="O423" s="57" t="s">
        <v>1345</v>
      </c>
      <c r="P423" s="58"/>
      <c r="Q423" s="59">
        <v>0</v>
      </c>
      <c r="R423" s="59"/>
      <c r="S423" t="b">
        <v>0</v>
      </c>
      <c r="T423" s="59"/>
      <c r="U423" s="59">
        <v>74683</v>
      </c>
      <c r="V423" s="59"/>
      <c r="W423" s="59"/>
      <c r="X423" s="59">
        <v>85505</v>
      </c>
      <c r="Y423" s="4" t="s">
        <v>1351</v>
      </c>
    </row>
    <row r="424" spans="1:25">
      <c r="A424" s="55">
        <v>100030094</v>
      </c>
      <c r="B424" s="55">
        <v>7</v>
      </c>
      <c r="C424" s="55" t="s">
        <v>1257</v>
      </c>
      <c r="D424" s="55">
        <v>18</v>
      </c>
      <c r="E424" s="55"/>
      <c r="F424" s="55">
        <v>30091</v>
      </c>
      <c r="G424" s="55"/>
      <c r="H424" s="55">
        <f>A425</f>
        <v>100030095</v>
      </c>
      <c r="I424" s="55" t="s">
        <v>1352</v>
      </c>
      <c r="J424" s="55"/>
      <c r="K424" s="55" t="s">
        <v>1271</v>
      </c>
      <c r="L424" s="55"/>
      <c r="M424" s="56"/>
      <c r="N424" s="57" t="s">
        <v>1260</v>
      </c>
      <c r="O424" s="57" t="s">
        <v>1353</v>
      </c>
      <c r="P424" s="58"/>
      <c r="Q424" s="59">
        <v>0</v>
      </c>
      <c r="R424" s="59"/>
      <c r="S424" t="b">
        <v>0</v>
      </c>
      <c r="T424" s="59"/>
      <c r="U424" s="59">
        <v>74684</v>
      </c>
      <c r="V424" s="59"/>
      <c r="W424" s="59"/>
      <c r="X424" s="59">
        <v>85505</v>
      </c>
      <c r="Y424" s="4" t="s">
        <v>1354</v>
      </c>
    </row>
    <row r="425" spans="1:25">
      <c r="A425" s="55">
        <v>100030095</v>
      </c>
      <c r="B425" s="55">
        <v>7</v>
      </c>
      <c r="C425" s="55" t="s">
        <v>1257</v>
      </c>
      <c r="D425" s="55">
        <v>18</v>
      </c>
      <c r="E425" s="55"/>
      <c r="F425" s="55">
        <v>30091</v>
      </c>
      <c r="G425" s="55"/>
      <c r="H425" s="55">
        <f>A426</f>
        <v>100030096</v>
      </c>
      <c r="I425" s="55" t="s">
        <v>1355</v>
      </c>
      <c r="J425" s="55"/>
      <c r="K425" s="55" t="s">
        <v>1274</v>
      </c>
      <c r="L425" s="55"/>
      <c r="M425" s="56"/>
      <c r="N425" s="57" t="s">
        <v>1260</v>
      </c>
      <c r="O425" s="57" t="s">
        <v>1353</v>
      </c>
      <c r="P425" s="58"/>
      <c r="Q425" s="59">
        <v>0</v>
      </c>
      <c r="R425" s="59"/>
      <c r="S425" t="b">
        <v>0</v>
      </c>
      <c r="T425" s="59"/>
      <c r="U425" s="59">
        <v>74685</v>
      </c>
      <c r="V425" s="59"/>
      <c r="W425" s="59"/>
      <c r="X425" s="59">
        <v>85505</v>
      </c>
      <c r="Y425" s="4" t="s">
        <v>1356</v>
      </c>
    </row>
    <row r="426" spans="1:25">
      <c r="A426" s="55">
        <v>100030096</v>
      </c>
      <c r="B426" s="55">
        <v>7</v>
      </c>
      <c r="C426" s="55" t="s">
        <v>1257</v>
      </c>
      <c r="D426" s="55">
        <v>18</v>
      </c>
      <c r="E426" s="55"/>
      <c r="F426" s="55">
        <v>30091</v>
      </c>
      <c r="G426" s="55"/>
      <c r="H426" s="55"/>
      <c r="I426" s="55" t="s">
        <v>1357</v>
      </c>
      <c r="J426" s="55"/>
      <c r="K426" s="55" t="s">
        <v>1358</v>
      </c>
      <c r="L426" s="55"/>
      <c r="M426" s="56"/>
      <c r="N426" s="57" t="s">
        <v>1260</v>
      </c>
      <c r="O426" s="57" t="s">
        <v>1353</v>
      </c>
      <c r="P426" s="58"/>
      <c r="Q426" s="59">
        <v>0</v>
      </c>
      <c r="R426" s="59"/>
      <c r="S426" t="b">
        <v>0</v>
      </c>
      <c r="T426" s="59"/>
      <c r="U426" s="59">
        <v>74686</v>
      </c>
      <c r="V426" s="59"/>
      <c r="W426" s="59"/>
      <c r="X426" s="59">
        <v>85505</v>
      </c>
      <c r="Y426" s="4" t="s">
        <v>1359</v>
      </c>
    </row>
    <row r="427" spans="1:25">
      <c r="A427" s="4">
        <v>100040001</v>
      </c>
      <c r="B427" s="4">
        <v>4</v>
      </c>
      <c r="C427" s="4" t="s">
        <v>1360</v>
      </c>
      <c r="I427" s="4" t="s">
        <v>1361</v>
      </c>
      <c r="K427" s="4" t="s">
        <v>1362</v>
      </c>
      <c r="P427" s="38"/>
      <c r="Q427" s="38">
        <v>1</v>
      </c>
      <c r="R427" s="38"/>
      <c r="S427" t="b">
        <v>0</v>
      </c>
      <c r="T427" s="38"/>
      <c r="U427" s="50">
        <v>4058133</v>
      </c>
      <c r="V427" s="50"/>
      <c r="W427" s="50" t="s">
        <v>1363</v>
      </c>
      <c r="X427" s="50"/>
      <c r="Y427" s="4" t="s">
        <v>1364</v>
      </c>
    </row>
    <row r="428" spans="1:25">
      <c r="A428" s="4">
        <v>100040002</v>
      </c>
      <c r="B428" s="4">
        <v>4</v>
      </c>
      <c r="C428" s="4" t="s">
        <v>1360</v>
      </c>
      <c r="I428" s="4" t="s">
        <v>1365</v>
      </c>
      <c r="K428" s="4" t="s">
        <v>1366</v>
      </c>
      <c r="P428" s="38"/>
      <c r="Q428" s="38">
        <v>2</v>
      </c>
      <c r="R428" s="38"/>
      <c r="S428" t="b">
        <v>0</v>
      </c>
      <c r="T428" s="38"/>
      <c r="U428" s="50">
        <v>4058134</v>
      </c>
      <c r="V428" s="50"/>
      <c r="W428" s="50" t="s">
        <v>1367</v>
      </c>
      <c r="X428" s="50"/>
      <c r="Y428" s="4" t="s">
        <v>1368</v>
      </c>
    </row>
    <row r="429" spans="1:25">
      <c r="A429" s="4">
        <v>100040003</v>
      </c>
      <c r="B429" s="4">
        <v>4</v>
      </c>
      <c r="C429" s="4" t="s">
        <v>1360</v>
      </c>
      <c r="I429" s="4" t="s">
        <v>1369</v>
      </c>
      <c r="K429" s="4" t="s">
        <v>1370</v>
      </c>
      <c r="P429" s="38"/>
      <c r="Q429" s="38">
        <v>3</v>
      </c>
      <c r="R429" s="38"/>
      <c r="S429" t="b">
        <v>0</v>
      </c>
      <c r="T429" s="38"/>
      <c r="U429" s="50">
        <v>4058135</v>
      </c>
      <c r="V429" s="50"/>
      <c r="W429" s="50" t="s">
        <v>1371</v>
      </c>
      <c r="X429" s="50"/>
      <c r="Y429" s="4" t="s">
        <v>1372</v>
      </c>
    </row>
    <row r="430" spans="1:25">
      <c r="A430" s="4">
        <v>100040004</v>
      </c>
      <c r="B430" s="4">
        <v>4</v>
      </c>
      <c r="C430" s="4" t="s">
        <v>1360</v>
      </c>
      <c r="I430" s="4" t="s">
        <v>1373</v>
      </c>
      <c r="K430" s="4" t="s">
        <v>1362</v>
      </c>
      <c r="P430" s="38"/>
      <c r="Q430" s="38">
        <v>1</v>
      </c>
      <c r="R430" s="38"/>
      <c r="S430" t="b">
        <v>0</v>
      </c>
      <c r="T430" s="38"/>
      <c r="U430" s="50">
        <v>4058154</v>
      </c>
      <c r="V430" s="50"/>
      <c r="W430" s="50" t="s">
        <v>1363</v>
      </c>
      <c r="X430" s="50"/>
      <c r="Y430" s="4" t="s">
        <v>1374</v>
      </c>
    </row>
    <row r="431" spans="1:25">
      <c r="A431" s="4">
        <v>100040005</v>
      </c>
      <c r="B431" s="4">
        <v>4</v>
      </c>
      <c r="C431" s="4" t="s">
        <v>1360</v>
      </c>
      <c r="I431" s="4" t="s">
        <v>1375</v>
      </c>
      <c r="K431" s="4" t="s">
        <v>1366</v>
      </c>
      <c r="P431" s="38"/>
      <c r="Q431" s="38">
        <v>2</v>
      </c>
      <c r="R431" s="38"/>
      <c r="S431" t="b">
        <v>0</v>
      </c>
      <c r="T431" s="38"/>
      <c r="U431" s="50">
        <v>4058155</v>
      </c>
      <c r="V431" s="50"/>
      <c r="W431" s="50" t="s">
        <v>1367</v>
      </c>
      <c r="X431" s="50"/>
      <c r="Y431" s="4" t="s">
        <v>1376</v>
      </c>
    </row>
    <row r="432" spans="1:25">
      <c r="A432" s="4">
        <v>100040006</v>
      </c>
      <c r="B432" s="4">
        <v>4</v>
      </c>
      <c r="C432" s="4" t="s">
        <v>1360</v>
      </c>
      <c r="I432" s="4" t="s">
        <v>1377</v>
      </c>
      <c r="K432" s="4" t="s">
        <v>1370</v>
      </c>
      <c r="P432" s="38"/>
      <c r="Q432" s="38">
        <v>3</v>
      </c>
      <c r="R432" s="38"/>
      <c r="S432" t="b">
        <v>0</v>
      </c>
      <c r="T432" s="38"/>
      <c r="U432" s="50">
        <v>4058156</v>
      </c>
      <c r="V432" s="50"/>
      <c r="W432" s="50" t="s">
        <v>1371</v>
      </c>
      <c r="X432" s="50"/>
      <c r="Y432" s="4" t="s">
        <v>1378</v>
      </c>
    </row>
    <row r="433" spans="1:25">
      <c r="A433" s="4">
        <v>100040007</v>
      </c>
      <c r="B433" s="4">
        <v>4</v>
      </c>
      <c r="C433" s="4" t="s">
        <v>1360</v>
      </c>
      <c r="I433" s="4" t="s">
        <v>1379</v>
      </c>
      <c r="K433" s="4" t="s">
        <v>1362</v>
      </c>
      <c r="P433" s="38"/>
      <c r="Q433" s="38">
        <v>1</v>
      </c>
      <c r="R433" s="38"/>
      <c r="S433" t="b">
        <v>0</v>
      </c>
      <c r="T433" s="38"/>
      <c r="U433" s="50">
        <v>4058163</v>
      </c>
      <c r="V433" s="50"/>
      <c r="W433" s="50" t="s">
        <v>1363</v>
      </c>
      <c r="X433" s="50"/>
      <c r="Y433" s="4" t="s">
        <v>1380</v>
      </c>
    </row>
    <row r="434" spans="1:25">
      <c r="A434" s="4">
        <v>100040008</v>
      </c>
      <c r="B434" s="4">
        <v>4</v>
      </c>
      <c r="C434" s="4" t="s">
        <v>1360</v>
      </c>
      <c r="I434" s="4" t="s">
        <v>1381</v>
      </c>
      <c r="K434" s="4" t="s">
        <v>1366</v>
      </c>
      <c r="P434" s="38"/>
      <c r="Q434" s="38">
        <v>2</v>
      </c>
      <c r="R434" s="38"/>
      <c r="S434" t="b">
        <v>0</v>
      </c>
      <c r="T434" s="38"/>
      <c r="U434" s="50">
        <v>4058164</v>
      </c>
      <c r="V434" s="50"/>
      <c r="W434" s="50" t="s">
        <v>1367</v>
      </c>
      <c r="X434" s="50"/>
      <c r="Y434" s="4" t="s">
        <v>1382</v>
      </c>
    </row>
    <row r="435" spans="1:25">
      <c r="A435" s="4">
        <v>100040009</v>
      </c>
      <c r="B435" s="4">
        <v>4</v>
      </c>
      <c r="C435" s="4" t="s">
        <v>1360</v>
      </c>
      <c r="I435" s="4" t="s">
        <v>1383</v>
      </c>
      <c r="K435" s="4" t="s">
        <v>1370</v>
      </c>
      <c r="P435" s="38"/>
      <c r="Q435" s="38">
        <v>3</v>
      </c>
      <c r="R435" s="38"/>
      <c r="S435" t="b">
        <v>0</v>
      </c>
      <c r="T435" s="38"/>
      <c r="U435" s="50">
        <v>4058165</v>
      </c>
      <c r="V435" s="50"/>
      <c r="W435" s="50" t="s">
        <v>1371</v>
      </c>
      <c r="X435" s="50"/>
      <c r="Y435" s="4" t="s">
        <v>1384</v>
      </c>
    </row>
    <row r="436" spans="1:25">
      <c r="A436" s="4">
        <v>100040010</v>
      </c>
      <c r="B436" s="4">
        <v>4</v>
      </c>
      <c r="C436" s="4" t="s">
        <v>1360</v>
      </c>
      <c r="I436" s="4" t="s">
        <v>1385</v>
      </c>
      <c r="K436" s="4" t="s">
        <v>1362</v>
      </c>
      <c r="P436" s="38"/>
      <c r="Q436" s="38">
        <v>1</v>
      </c>
      <c r="R436" s="38"/>
      <c r="S436" t="b">
        <v>0</v>
      </c>
      <c r="T436" s="38"/>
      <c r="U436" s="50">
        <v>4058172</v>
      </c>
      <c r="V436" s="50"/>
      <c r="W436" s="50" t="s">
        <v>1363</v>
      </c>
      <c r="X436" s="50"/>
      <c r="Y436" s="4" t="s">
        <v>1386</v>
      </c>
    </row>
    <row r="437" spans="1:25">
      <c r="A437" s="4">
        <v>100040011</v>
      </c>
      <c r="B437" s="4">
        <v>4</v>
      </c>
      <c r="C437" s="4" t="s">
        <v>1360</v>
      </c>
      <c r="I437" s="4" t="s">
        <v>1387</v>
      </c>
      <c r="K437" s="4" t="s">
        <v>1366</v>
      </c>
      <c r="P437" s="38"/>
      <c r="Q437" s="38">
        <v>2</v>
      </c>
      <c r="R437" s="38"/>
      <c r="S437" t="b">
        <v>0</v>
      </c>
      <c r="T437" s="38"/>
      <c r="U437" s="50">
        <v>4058173</v>
      </c>
      <c r="V437" s="50"/>
      <c r="W437" s="50" t="s">
        <v>1367</v>
      </c>
      <c r="X437" s="50"/>
      <c r="Y437" s="4" t="s">
        <v>1388</v>
      </c>
    </row>
    <row r="438" spans="1:25">
      <c r="A438" s="4">
        <v>100040012</v>
      </c>
      <c r="B438" s="4">
        <v>4</v>
      </c>
      <c r="C438" s="4" t="s">
        <v>1360</v>
      </c>
      <c r="I438" s="4" t="s">
        <v>1389</v>
      </c>
      <c r="K438" s="4" t="s">
        <v>1370</v>
      </c>
      <c r="P438" s="38"/>
      <c r="Q438" s="38">
        <v>3</v>
      </c>
      <c r="R438" s="38"/>
      <c r="S438" t="b">
        <v>0</v>
      </c>
      <c r="T438" s="38"/>
      <c r="U438" s="50">
        <v>4058174</v>
      </c>
      <c r="V438" s="50"/>
      <c r="W438" s="50" t="s">
        <v>1371</v>
      </c>
      <c r="X438" s="50"/>
      <c r="Y438" s="4" t="s">
        <v>1390</v>
      </c>
    </row>
    <row r="439" spans="1:25">
      <c r="A439" s="4">
        <v>100040013</v>
      </c>
      <c r="B439" s="4">
        <v>4</v>
      </c>
      <c r="C439" s="4" t="s">
        <v>1360</v>
      </c>
      <c r="I439" s="4" t="s">
        <v>1391</v>
      </c>
      <c r="K439" s="4" t="s">
        <v>1362</v>
      </c>
      <c r="P439" s="38"/>
      <c r="Q439" s="38">
        <v>1</v>
      </c>
      <c r="R439" s="38"/>
      <c r="S439" t="b">
        <v>0</v>
      </c>
      <c r="T439" s="38"/>
      <c r="U439" s="50">
        <v>4058175</v>
      </c>
      <c r="V439" s="50"/>
      <c r="W439" s="50" t="s">
        <v>1363</v>
      </c>
      <c r="X439" s="50"/>
      <c r="Y439" s="4" t="s">
        <v>1392</v>
      </c>
    </row>
    <row r="440" spans="1:25">
      <c r="A440" s="4">
        <v>100040014</v>
      </c>
      <c r="B440" s="4">
        <v>4</v>
      </c>
      <c r="C440" s="4" t="s">
        <v>1360</v>
      </c>
      <c r="I440" s="4" t="s">
        <v>1393</v>
      </c>
      <c r="K440" s="4" t="s">
        <v>1366</v>
      </c>
      <c r="P440" s="38"/>
      <c r="Q440" s="38">
        <v>2</v>
      </c>
      <c r="R440" s="38"/>
      <c r="S440" t="b">
        <v>0</v>
      </c>
      <c r="T440" s="38"/>
      <c r="U440" s="50">
        <v>4058176</v>
      </c>
      <c r="V440" s="50"/>
      <c r="W440" s="50" t="s">
        <v>1367</v>
      </c>
      <c r="X440" s="50"/>
      <c r="Y440" s="4" t="s">
        <v>1394</v>
      </c>
    </row>
    <row r="441" spans="1:25">
      <c r="A441" s="4">
        <v>100040015</v>
      </c>
      <c r="B441" s="4">
        <v>4</v>
      </c>
      <c r="C441" s="4" t="s">
        <v>1360</v>
      </c>
      <c r="I441" s="4" t="s">
        <v>1395</v>
      </c>
      <c r="K441" s="4" t="s">
        <v>1370</v>
      </c>
      <c r="P441" s="38"/>
      <c r="Q441" s="38">
        <v>3</v>
      </c>
      <c r="R441" s="38"/>
      <c r="S441" t="b">
        <v>0</v>
      </c>
      <c r="T441" s="38"/>
      <c r="U441" s="50">
        <v>4058177</v>
      </c>
      <c r="V441" s="50"/>
      <c r="W441" s="50" t="s">
        <v>1371</v>
      </c>
      <c r="X441" s="50"/>
      <c r="Y441" s="4" t="s">
        <v>1396</v>
      </c>
    </row>
    <row r="442" spans="1:25">
      <c r="A442" s="4">
        <v>100040016</v>
      </c>
      <c r="B442" s="4">
        <v>4</v>
      </c>
      <c r="C442" s="4" t="s">
        <v>1360</v>
      </c>
      <c r="I442" s="4" t="s">
        <v>1397</v>
      </c>
      <c r="K442" s="4" t="s">
        <v>1362</v>
      </c>
      <c r="P442" s="38"/>
      <c r="Q442" s="38">
        <v>1</v>
      </c>
      <c r="R442" s="38"/>
      <c r="S442" t="b">
        <v>0</v>
      </c>
      <c r="T442" s="38"/>
      <c r="U442" s="50">
        <v>4058178</v>
      </c>
      <c r="V442" s="50"/>
      <c r="W442" s="50" t="s">
        <v>1363</v>
      </c>
      <c r="X442" s="50"/>
      <c r="Y442" s="4" t="s">
        <v>1398</v>
      </c>
    </row>
    <row r="443" spans="1:25">
      <c r="A443" s="4">
        <v>100040017</v>
      </c>
      <c r="B443" s="4">
        <v>4</v>
      </c>
      <c r="C443" s="4" t="s">
        <v>1360</v>
      </c>
      <c r="I443" s="4" t="s">
        <v>1399</v>
      </c>
      <c r="K443" s="4" t="s">
        <v>1366</v>
      </c>
      <c r="P443" s="38"/>
      <c r="Q443" s="38">
        <v>2</v>
      </c>
      <c r="R443" s="38"/>
      <c r="S443" t="b">
        <v>0</v>
      </c>
      <c r="T443" s="38"/>
      <c r="U443" s="50">
        <v>4058179</v>
      </c>
      <c r="V443" s="50"/>
      <c r="W443" s="50" t="s">
        <v>1367</v>
      </c>
      <c r="X443" s="50"/>
      <c r="Y443" s="4" t="s">
        <v>1400</v>
      </c>
    </row>
    <row r="444" spans="1:25">
      <c r="A444" s="4">
        <v>100040018</v>
      </c>
      <c r="B444" s="4">
        <v>4</v>
      </c>
      <c r="C444" s="4" t="s">
        <v>1360</v>
      </c>
      <c r="I444" s="4" t="s">
        <v>1401</v>
      </c>
      <c r="K444" s="4" t="s">
        <v>1370</v>
      </c>
      <c r="P444" s="38"/>
      <c r="Q444" s="38">
        <v>3</v>
      </c>
      <c r="R444" s="38"/>
      <c r="S444" t="b">
        <v>0</v>
      </c>
      <c r="T444" s="38"/>
      <c r="U444" s="50">
        <v>4058180</v>
      </c>
      <c r="V444" s="50"/>
      <c r="W444" s="50" t="s">
        <v>1371</v>
      </c>
      <c r="X444" s="50"/>
      <c r="Y444" s="4" t="s">
        <v>1402</v>
      </c>
    </row>
    <row r="445" spans="1:25">
      <c r="A445" s="4">
        <v>100040019</v>
      </c>
      <c r="B445" s="4">
        <v>4</v>
      </c>
      <c r="C445" s="4" t="s">
        <v>1360</v>
      </c>
      <c r="I445" s="4" t="s">
        <v>1403</v>
      </c>
      <c r="K445" s="4" t="s">
        <v>1362</v>
      </c>
      <c r="P445" s="38"/>
      <c r="Q445" s="38">
        <v>1</v>
      </c>
      <c r="R445" s="38"/>
      <c r="S445" t="b">
        <v>0</v>
      </c>
      <c r="T445" s="38"/>
      <c r="U445" s="50">
        <v>4058181</v>
      </c>
      <c r="V445" s="50"/>
      <c r="W445" s="50" t="s">
        <v>1363</v>
      </c>
      <c r="X445" s="50"/>
      <c r="Y445" s="4" t="s">
        <v>1404</v>
      </c>
    </row>
    <row r="446" spans="1:25">
      <c r="A446" s="4">
        <v>100040020</v>
      </c>
      <c r="B446" s="4">
        <v>4</v>
      </c>
      <c r="C446" s="4" t="s">
        <v>1360</v>
      </c>
      <c r="I446" s="4" t="s">
        <v>1405</v>
      </c>
      <c r="K446" s="4" t="s">
        <v>1366</v>
      </c>
      <c r="P446" s="38"/>
      <c r="Q446" s="38">
        <v>2</v>
      </c>
      <c r="R446" s="38"/>
      <c r="S446" t="b">
        <v>0</v>
      </c>
      <c r="T446" s="38"/>
      <c r="U446" s="50">
        <v>4058182</v>
      </c>
      <c r="V446" s="50"/>
      <c r="W446" s="50" t="s">
        <v>1367</v>
      </c>
      <c r="X446" s="50"/>
      <c r="Y446" s="4" t="s">
        <v>1406</v>
      </c>
    </row>
    <row r="447" spans="1:25">
      <c r="A447" s="4">
        <v>100040021</v>
      </c>
      <c r="B447" s="4">
        <v>4</v>
      </c>
      <c r="C447" s="4" t="s">
        <v>1360</v>
      </c>
      <c r="I447" s="4" t="s">
        <v>1407</v>
      </c>
      <c r="K447" s="4" t="s">
        <v>1370</v>
      </c>
      <c r="P447" s="38"/>
      <c r="Q447" s="38">
        <v>3</v>
      </c>
      <c r="R447" s="38"/>
      <c r="S447" t="b">
        <v>0</v>
      </c>
      <c r="T447" s="38"/>
      <c r="U447" s="50">
        <v>4058183</v>
      </c>
      <c r="V447" s="50"/>
      <c r="W447" s="50" t="s">
        <v>1371</v>
      </c>
      <c r="X447" s="50"/>
      <c r="Y447" s="4" t="s">
        <v>1408</v>
      </c>
    </row>
    <row r="448" spans="1:25">
      <c r="A448" s="4">
        <v>100040022</v>
      </c>
      <c r="B448" s="4">
        <v>4</v>
      </c>
      <c r="C448" s="4" t="s">
        <v>1360</v>
      </c>
      <c r="I448" s="4" t="s">
        <v>1409</v>
      </c>
      <c r="K448" s="4" t="s">
        <v>1362</v>
      </c>
      <c r="P448" s="38"/>
      <c r="Q448" s="38">
        <v>1</v>
      </c>
      <c r="R448" s="38"/>
      <c r="S448" t="b">
        <v>0</v>
      </c>
      <c r="T448" s="38"/>
      <c r="U448" s="50">
        <v>4058190</v>
      </c>
      <c r="V448" s="50"/>
      <c r="W448" s="50" t="s">
        <v>1363</v>
      </c>
      <c r="X448" s="50"/>
      <c r="Y448" s="4" t="s">
        <v>1410</v>
      </c>
    </row>
    <row r="449" spans="1:25">
      <c r="A449" s="4">
        <v>100040023</v>
      </c>
      <c r="B449" s="4">
        <v>4</v>
      </c>
      <c r="C449" s="4" t="s">
        <v>1360</v>
      </c>
      <c r="I449" s="4" t="s">
        <v>1411</v>
      </c>
      <c r="K449" s="4" t="s">
        <v>1366</v>
      </c>
      <c r="P449" s="38"/>
      <c r="Q449" s="38">
        <v>2</v>
      </c>
      <c r="R449" s="38"/>
      <c r="S449" t="b">
        <v>0</v>
      </c>
      <c r="T449" s="38"/>
      <c r="U449" s="50">
        <v>4058191</v>
      </c>
      <c r="V449" s="50"/>
      <c r="W449" s="50" t="s">
        <v>1367</v>
      </c>
      <c r="X449" s="50"/>
      <c r="Y449" s="4" t="s">
        <v>1412</v>
      </c>
    </row>
    <row r="450" spans="1:25">
      <c r="A450" s="4">
        <v>100040024</v>
      </c>
      <c r="B450" s="4">
        <v>4</v>
      </c>
      <c r="C450" s="4" t="s">
        <v>1360</v>
      </c>
      <c r="I450" s="4" t="s">
        <v>1413</v>
      </c>
      <c r="K450" s="4" t="s">
        <v>1370</v>
      </c>
      <c r="P450" s="38"/>
      <c r="Q450" s="38">
        <v>3</v>
      </c>
      <c r="R450" s="38"/>
      <c r="S450" t="b">
        <v>0</v>
      </c>
      <c r="T450" s="38"/>
      <c r="U450" s="50">
        <v>4058192</v>
      </c>
      <c r="V450" s="50"/>
      <c r="W450" s="50" t="s">
        <v>1371</v>
      </c>
      <c r="X450" s="50"/>
      <c r="Y450" s="4" t="s">
        <v>1414</v>
      </c>
    </row>
    <row r="451" spans="1:25">
      <c r="A451" s="4">
        <v>100040025</v>
      </c>
      <c r="B451" s="4">
        <v>4</v>
      </c>
      <c r="C451" s="4" t="s">
        <v>1360</v>
      </c>
      <c r="I451" s="4" t="s">
        <v>1415</v>
      </c>
      <c r="K451" s="4" t="s">
        <v>1362</v>
      </c>
      <c r="P451" s="38"/>
      <c r="Q451" s="38">
        <v>1</v>
      </c>
      <c r="R451" s="38"/>
      <c r="S451" t="b">
        <v>0</v>
      </c>
      <c r="T451" s="38"/>
      <c r="U451" s="50">
        <v>4058193</v>
      </c>
      <c r="V451" s="50"/>
      <c r="W451" s="50" t="s">
        <v>1363</v>
      </c>
      <c r="X451" s="50"/>
      <c r="Y451" s="4" t="s">
        <v>1416</v>
      </c>
    </row>
    <row r="452" spans="1:25">
      <c r="A452" s="4">
        <v>100040026</v>
      </c>
      <c r="B452" s="4">
        <v>4</v>
      </c>
      <c r="C452" s="4" t="s">
        <v>1360</v>
      </c>
      <c r="I452" s="4" t="s">
        <v>1417</v>
      </c>
      <c r="K452" s="4" t="s">
        <v>1366</v>
      </c>
      <c r="P452" s="38"/>
      <c r="Q452" s="38">
        <v>2</v>
      </c>
      <c r="R452" s="38"/>
      <c r="S452" t="b">
        <v>0</v>
      </c>
      <c r="T452" s="38"/>
      <c r="U452" s="50">
        <v>4058194</v>
      </c>
      <c r="V452" s="50"/>
      <c r="W452" s="50" t="s">
        <v>1367</v>
      </c>
      <c r="X452" s="50"/>
      <c r="Y452" s="4" t="s">
        <v>1418</v>
      </c>
    </row>
    <row r="453" spans="1:25">
      <c r="A453" s="4">
        <v>100040027</v>
      </c>
      <c r="B453" s="4">
        <v>4</v>
      </c>
      <c r="C453" s="4" t="s">
        <v>1360</v>
      </c>
      <c r="I453" s="4" t="s">
        <v>1419</v>
      </c>
      <c r="K453" s="4" t="s">
        <v>1370</v>
      </c>
      <c r="P453" s="38"/>
      <c r="Q453" s="38">
        <v>3</v>
      </c>
      <c r="R453" s="38"/>
      <c r="S453" t="b">
        <v>0</v>
      </c>
      <c r="T453" s="38"/>
      <c r="U453" s="50">
        <v>4058195</v>
      </c>
      <c r="V453" s="50"/>
      <c r="W453" s="50" t="s">
        <v>1371</v>
      </c>
      <c r="X453" s="50"/>
      <c r="Y453" s="4" t="s">
        <v>1420</v>
      </c>
    </row>
    <row r="454" spans="1:25">
      <c r="A454" s="4">
        <v>100040028</v>
      </c>
      <c r="B454" s="4">
        <v>4</v>
      </c>
      <c r="C454" s="4" t="s">
        <v>1360</v>
      </c>
      <c r="I454" s="4" t="s">
        <v>1421</v>
      </c>
      <c r="K454" s="4" t="s">
        <v>1362</v>
      </c>
      <c r="P454" s="38"/>
      <c r="Q454" s="38">
        <v>1</v>
      </c>
      <c r="R454" s="38"/>
      <c r="S454" t="b">
        <v>0</v>
      </c>
      <c r="T454" s="38"/>
      <c r="U454" s="50">
        <v>4058196</v>
      </c>
      <c r="V454" s="50"/>
      <c r="W454" s="50" t="s">
        <v>1363</v>
      </c>
      <c r="X454" s="50"/>
      <c r="Y454" s="4" t="s">
        <v>1422</v>
      </c>
    </row>
    <row r="455" spans="1:25">
      <c r="A455" s="4">
        <v>100040029</v>
      </c>
      <c r="B455" s="4">
        <v>4</v>
      </c>
      <c r="C455" s="4" t="s">
        <v>1360</v>
      </c>
      <c r="I455" s="4" t="s">
        <v>1423</v>
      </c>
      <c r="K455" s="4" t="s">
        <v>1366</v>
      </c>
      <c r="P455" s="38"/>
      <c r="Q455" s="38">
        <v>2</v>
      </c>
      <c r="R455" s="38"/>
      <c r="S455" t="b">
        <v>0</v>
      </c>
      <c r="T455" s="38"/>
      <c r="U455" s="50">
        <v>4058197</v>
      </c>
      <c r="V455" s="50"/>
      <c r="W455" s="50" t="s">
        <v>1367</v>
      </c>
      <c r="X455" s="50"/>
      <c r="Y455" s="4" t="s">
        <v>1424</v>
      </c>
    </row>
    <row r="456" spans="1:25">
      <c r="A456" s="4">
        <v>100040030</v>
      </c>
      <c r="B456" s="4">
        <v>4</v>
      </c>
      <c r="C456" s="4" t="s">
        <v>1360</v>
      </c>
      <c r="I456" s="4" t="s">
        <v>1425</v>
      </c>
      <c r="K456" s="4" t="s">
        <v>1370</v>
      </c>
      <c r="P456" s="38"/>
      <c r="Q456" s="38">
        <v>3</v>
      </c>
      <c r="R456" s="38"/>
      <c r="S456" t="b">
        <v>0</v>
      </c>
      <c r="T456" s="38"/>
      <c r="U456" s="50">
        <v>4058198</v>
      </c>
      <c r="V456" s="50"/>
      <c r="W456" s="50" t="s">
        <v>1371</v>
      </c>
      <c r="X456" s="50"/>
      <c r="Y456" s="4" t="s">
        <v>1426</v>
      </c>
    </row>
    <row r="457" spans="1:25">
      <c r="A457" s="4">
        <v>100040031</v>
      </c>
      <c r="B457" s="4">
        <v>4</v>
      </c>
      <c r="C457" s="4" t="s">
        <v>1360</v>
      </c>
      <c r="I457" s="4" t="s">
        <v>1427</v>
      </c>
      <c r="K457" s="4" t="s">
        <v>1362</v>
      </c>
      <c r="P457" s="38"/>
      <c r="Q457" s="38">
        <v>1</v>
      </c>
      <c r="R457" s="38"/>
      <c r="S457" t="b">
        <v>0</v>
      </c>
      <c r="T457" s="38"/>
      <c r="U457" s="50">
        <v>4058193</v>
      </c>
      <c r="V457" s="50"/>
      <c r="W457" s="50" t="s">
        <v>1363</v>
      </c>
      <c r="X457" s="50"/>
      <c r="Y457" s="4" t="s">
        <v>1428</v>
      </c>
    </row>
    <row r="458" spans="1:25">
      <c r="A458" s="4">
        <v>100040032</v>
      </c>
      <c r="B458" s="4">
        <v>4</v>
      </c>
      <c r="C458" s="4" t="s">
        <v>1360</v>
      </c>
      <c r="I458" s="4" t="s">
        <v>1429</v>
      </c>
      <c r="K458" s="4" t="s">
        <v>1366</v>
      </c>
      <c r="P458" s="38"/>
      <c r="Q458" s="38">
        <v>2</v>
      </c>
      <c r="R458" s="38"/>
      <c r="S458" t="b">
        <v>0</v>
      </c>
      <c r="T458" s="38"/>
      <c r="U458" s="50">
        <v>4058194</v>
      </c>
      <c r="V458" s="50"/>
      <c r="W458" s="50" t="s">
        <v>1367</v>
      </c>
      <c r="X458" s="50"/>
      <c r="Y458" s="4" t="s">
        <v>1430</v>
      </c>
    </row>
    <row r="459" spans="1:25">
      <c r="A459" s="4">
        <v>100040033</v>
      </c>
      <c r="B459" s="4">
        <v>4</v>
      </c>
      <c r="C459" s="4" t="s">
        <v>1360</v>
      </c>
      <c r="I459" s="4" t="s">
        <v>1431</v>
      </c>
      <c r="K459" s="4" t="s">
        <v>1370</v>
      </c>
      <c r="P459" s="38"/>
      <c r="Q459" s="38">
        <v>3</v>
      </c>
      <c r="R459" s="38"/>
      <c r="S459" t="b">
        <v>0</v>
      </c>
      <c r="T459" s="38"/>
      <c r="U459" s="50">
        <v>4058195</v>
      </c>
      <c r="V459" s="50"/>
      <c r="W459" s="50" t="s">
        <v>1371</v>
      </c>
      <c r="X459" s="50"/>
      <c r="Y459" s="4" t="s">
        <v>1432</v>
      </c>
    </row>
    <row r="460" spans="1:25">
      <c r="A460" s="4">
        <v>100040034</v>
      </c>
      <c r="B460" s="4">
        <v>4</v>
      </c>
      <c r="C460" s="4" t="s">
        <v>1360</v>
      </c>
      <c r="I460" s="4" t="s">
        <v>1433</v>
      </c>
      <c r="K460" s="4" t="s">
        <v>1362</v>
      </c>
      <c r="P460" s="38"/>
      <c r="Q460" s="38">
        <v>1</v>
      </c>
      <c r="R460" s="38"/>
      <c r="S460" t="b">
        <v>0</v>
      </c>
      <c r="T460" s="38"/>
      <c r="U460" s="50">
        <v>4058196</v>
      </c>
      <c r="V460" s="50"/>
      <c r="W460" s="50" t="s">
        <v>1363</v>
      </c>
      <c r="X460" s="50"/>
      <c r="Y460" s="4" t="s">
        <v>1434</v>
      </c>
    </row>
    <row r="461" spans="1:25">
      <c r="A461" s="4">
        <v>100040035</v>
      </c>
      <c r="B461" s="4">
        <v>4</v>
      </c>
      <c r="C461" s="4" t="s">
        <v>1360</v>
      </c>
      <c r="I461" s="4" t="s">
        <v>1435</v>
      </c>
      <c r="K461" s="4" t="s">
        <v>1366</v>
      </c>
      <c r="P461" s="38"/>
      <c r="Q461" s="38">
        <v>2</v>
      </c>
      <c r="R461" s="38"/>
      <c r="S461" t="b">
        <v>0</v>
      </c>
      <c r="T461" s="38"/>
      <c r="U461" s="50">
        <v>4058197</v>
      </c>
      <c r="V461" s="50"/>
      <c r="W461" s="50" t="s">
        <v>1367</v>
      </c>
      <c r="X461" s="50"/>
      <c r="Y461" s="4" t="s">
        <v>1436</v>
      </c>
    </row>
    <row r="462" spans="1:25">
      <c r="A462" s="4">
        <v>100040036</v>
      </c>
      <c r="B462" s="4">
        <v>4</v>
      </c>
      <c r="C462" s="4" t="s">
        <v>1360</v>
      </c>
      <c r="I462" s="4" t="s">
        <v>1437</v>
      </c>
      <c r="K462" s="4" t="s">
        <v>1370</v>
      </c>
      <c r="P462" s="38"/>
      <c r="Q462" s="38">
        <v>3</v>
      </c>
      <c r="R462" s="38"/>
      <c r="S462" t="b">
        <v>0</v>
      </c>
      <c r="T462" s="38"/>
      <c r="U462" s="50">
        <v>4058198</v>
      </c>
      <c r="V462" s="50"/>
      <c r="W462" s="50" t="s">
        <v>1371</v>
      </c>
      <c r="X462" s="50"/>
      <c r="Y462" s="4" t="s">
        <v>1438</v>
      </c>
    </row>
    <row r="463" spans="1:25">
      <c r="A463" s="4">
        <v>100040037</v>
      </c>
      <c r="B463" s="4">
        <v>4</v>
      </c>
      <c r="C463" s="4" t="s">
        <v>1360</v>
      </c>
      <c r="I463" s="4" t="s">
        <v>1439</v>
      </c>
      <c r="K463" s="4" t="s">
        <v>1362</v>
      </c>
      <c r="P463" s="38"/>
      <c r="Q463" s="38">
        <v>1</v>
      </c>
      <c r="R463" s="38"/>
      <c r="S463" t="b">
        <v>0</v>
      </c>
      <c r="T463" s="38"/>
      <c r="U463" s="50">
        <v>4058211</v>
      </c>
      <c r="V463" s="50"/>
      <c r="W463" s="50" t="s">
        <v>1363</v>
      </c>
      <c r="X463" s="50"/>
      <c r="Y463" s="4" t="s">
        <v>1440</v>
      </c>
    </row>
    <row r="464" spans="1:25">
      <c r="A464" s="4">
        <v>100040038</v>
      </c>
      <c r="B464" s="4">
        <v>4</v>
      </c>
      <c r="C464" s="4" t="s">
        <v>1360</v>
      </c>
      <c r="I464" s="4" t="s">
        <v>1441</v>
      </c>
      <c r="K464" s="4" t="s">
        <v>1362</v>
      </c>
      <c r="P464" s="38"/>
      <c r="Q464" s="38">
        <v>1</v>
      </c>
      <c r="R464" s="38"/>
      <c r="S464" t="b">
        <v>0</v>
      </c>
      <c r="T464" s="38"/>
      <c r="U464" s="50">
        <v>4058212</v>
      </c>
      <c r="V464" s="50"/>
      <c r="W464" s="50" t="s">
        <v>1367</v>
      </c>
      <c r="X464" s="50"/>
      <c r="Y464" s="4" t="s">
        <v>1442</v>
      </c>
    </row>
    <row r="465" spans="1:25">
      <c r="A465" s="4">
        <v>100040039</v>
      </c>
      <c r="B465" s="4">
        <v>4</v>
      </c>
      <c r="C465" s="4" t="s">
        <v>1360</v>
      </c>
      <c r="I465" s="4" t="s">
        <v>1443</v>
      </c>
      <c r="K465" s="4" t="s">
        <v>1362</v>
      </c>
      <c r="P465" s="38"/>
      <c r="Q465" s="38">
        <v>1</v>
      </c>
      <c r="R465" s="38"/>
      <c r="S465" t="b">
        <v>0</v>
      </c>
      <c r="T465" s="38"/>
      <c r="U465" s="50">
        <v>4058213</v>
      </c>
      <c r="V465" s="50"/>
      <c r="W465" s="50" t="s">
        <v>1371</v>
      </c>
      <c r="X465" s="50"/>
      <c r="Y465" s="4" t="s">
        <v>1444</v>
      </c>
    </row>
    <row r="466" spans="1:25">
      <c r="A466" s="4">
        <v>100040040</v>
      </c>
      <c r="B466" s="4">
        <v>4</v>
      </c>
      <c r="C466" s="4" t="s">
        <v>1360</v>
      </c>
      <c r="I466" s="4" t="s">
        <v>1445</v>
      </c>
      <c r="K466" s="4" t="s">
        <v>1366</v>
      </c>
      <c r="P466" s="38"/>
      <c r="Q466" s="38">
        <v>2</v>
      </c>
      <c r="R466" s="38"/>
      <c r="S466" t="b">
        <v>0</v>
      </c>
      <c r="T466" s="38"/>
      <c r="U466" s="50">
        <v>4058214</v>
      </c>
      <c r="V466" s="50"/>
      <c r="W466" s="50" t="s">
        <v>1363</v>
      </c>
      <c r="X466" s="50"/>
      <c r="Y466" s="4" t="s">
        <v>1446</v>
      </c>
    </row>
    <row r="467" spans="1:25">
      <c r="A467" s="4">
        <v>100040041</v>
      </c>
      <c r="B467" s="4">
        <v>4</v>
      </c>
      <c r="C467" s="4" t="s">
        <v>1360</v>
      </c>
      <c r="I467" s="4" t="s">
        <v>1447</v>
      </c>
      <c r="K467" s="4" t="s">
        <v>1366</v>
      </c>
      <c r="P467" s="38"/>
      <c r="Q467" s="38">
        <v>2</v>
      </c>
      <c r="R467" s="38"/>
      <c r="S467" t="b">
        <v>0</v>
      </c>
      <c r="T467" s="38"/>
      <c r="U467" s="50">
        <v>4058215</v>
      </c>
      <c r="V467" s="50"/>
      <c r="W467" s="50" t="s">
        <v>1367</v>
      </c>
      <c r="X467" s="50"/>
      <c r="Y467" s="4" t="s">
        <v>1448</v>
      </c>
    </row>
    <row r="468" spans="1:25">
      <c r="A468" s="4">
        <v>100040042</v>
      </c>
      <c r="B468" s="4">
        <v>4</v>
      </c>
      <c r="C468" s="4" t="s">
        <v>1360</v>
      </c>
      <c r="I468" s="4" t="s">
        <v>1449</v>
      </c>
      <c r="K468" s="4" t="s">
        <v>1366</v>
      </c>
      <c r="P468" s="38"/>
      <c r="Q468" s="38">
        <v>2</v>
      </c>
      <c r="R468" s="38"/>
      <c r="S468" t="b">
        <v>0</v>
      </c>
      <c r="T468" s="38"/>
      <c r="U468" s="50">
        <v>4058216</v>
      </c>
      <c r="V468" s="50"/>
      <c r="W468" s="50" t="s">
        <v>1371</v>
      </c>
      <c r="X468" s="50"/>
      <c r="Y468" s="4" t="s">
        <v>1450</v>
      </c>
    </row>
    <row r="469" spans="1:25">
      <c r="A469" s="4">
        <v>100040043</v>
      </c>
      <c r="B469" s="4">
        <v>4</v>
      </c>
      <c r="C469" s="4" t="s">
        <v>1360</v>
      </c>
      <c r="I469" s="4" t="s">
        <v>1451</v>
      </c>
      <c r="K469" s="4" t="s">
        <v>1370</v>
      </c>
      <c r="P469" s="38"/>
      <c r="Q469" s="38">
        <v>3</v>
      </c>
      <c r="R469" s="38"/>
      <c r="S469" t="b">
        <v>0</v>
      </c>
      <c r="T469" s="38"/>
      <c r="U469" s="50">
        <v>4058217</v>
      </c>
      <c r="V469" s="50"/>
      <c r="W469" s="50" t="s">
        <v>1363</v>
      </c>
      <c r="X469" s="50"/>
      <c r="Y469" s="4" t="s">
        <v>1452</v>
      </c>
    </row>
    <row r="470" spans="1:25">
      <c r="A470" s="4">
        <v>100040044</v>
      </c>
      <c r="B470" s="4">
        <v>4</v>
      </c>
      <c r="C470" s="4" t="s">
        <v>1360</v>
      </c>
      <c r="I470" s="4" t="s">
        <v>1453</v>
      </c>
      <c r="K470" s="4" t="s">
        <v>1370</v>
      </c>
      <c r="P470" s="38"/>
      <c r="Q470" s="38">
        <v>3</v>
      </c>
      <c r="R470" s="38"/>
      <c r="S470" t="b">
        <v>0</v>
      </c>
      <c r="T470" s="38"/>
      <c r="U470" s="50">
        <v>4058218</v>
      </c>
      <c r="V470" s="50"/>
      <c r="W470" s="50" t="s">
        <v>1367</v>
      </c>
      <c r="X470" s="50"/>
      <c r="Y470" s="4" t="s">
        <v>1454</v>
      </c>
    </row>
    <row r="471" spans="1:25">
      <c r="A471" s="4">
        <v>100040045</v>
      </c>
      <c r="B471" s="4">
        <v>4</v>
      </c>
      <c r="C471" s="4" t="s">
        <v>1360</v>
      </c>
      <c r="I471" s="4" t="s">
        <v>1455</v>
      </c>
      <c r="K471" s="4" t="s">
        <v>1370</v>
      </c>
      <c r="P471" s="38"/>
      <c r="Q471" s="38">
        <v>3</v>
      </c>
      <c r="R471" s="38"/>
      <c r="S471" t="b">
        <v>0</v>
      </c>
      <c r="T471" s="38"/>
      <c r="U471" s="50">
        <v>4058219</v>
      </c>
      <c r="V471" s="50"/>
      <c r="W471" s="50" t="s">
        <v>1371</v>
      </c>
      <c r="X471" s="50"/>
      <c r="Y471" s="4" t="s">
        <v>1456</v>
      </c>
    </row>
    <row r="472" spans="1:25">
      <c r="A472" s="4">
        <v>100040046</v>
      </c>
      <c r="B472" s="4">
        <v>4</v>
      </c>
      <c r="C472" s="4" t="s">
        <v>1360</v>
      </c>
      <c r="I472" s="4" t="s">
        <v>1457</v>
      </c>
      <c r="K472" s="4" t="s">
        <v>1362</v>
      </c>
      <c r="P472" s="38"/>
      <c r="Q472" s="38">
        <v>1</v>
      </c>
      <c r="R472" s="38"/>
      <c r="S472" t="b">
        <v>0</v>
      </c>
      <c r="T472" s="38"/>
      <c r="U472" s="50">
        <v>4058220</v>
      </c>
      <c r="V472" s="50"/>
      <c r="W472" s="50" t="s">
        <v>1363</v>
      </c>
      <c r="X472" s="50"/>
      <c r="Y472" s="4" t="s">
        <v>1458</v>
      </c>
    </row>
    <row r="473" spans="1:25">
      <c r="A473" s="4">
        <v>100040047</v>
      </c>
      <c r="B473" s="4">
        <v>4</v>
      </c>
      <c r="C473" s="4" t="s">
        <v>1360</v>
      </c>
      <c r="I473" s="4" t="s">
        <v>1459</v>
      </c>
      <c r="K473" s="4" t="s">
        <v>1362</v>
      </c>
      <c r="P473" s="38"/>
      <c r="Q473" s="38">
        <v>1</v>
      </c>
      <c r="R473" s="38"/>
      <c r="S473" t="b">
        <v>0</v>
      </c>
      <c r="T473" s="38"/>
      <c r="U473" s="50">
        <v>4058221</v>
      </c>
      <c r="V473" s="50"/>
      <c r="W473" s="50" t="s">
        <v>1367</v>
      </c>
      <c r="X473" s="50"/>
      <c r="Y473" s="4" t="s">
        <v>1460</v>
      </c>
    </row>
    <row r="474" spans="1:25">
      <c r="A474" s="4">
        <v>100040048</v>
      </c>
      <c r="B474" s="4">
        <v>4</v>
      </c>
      <c r="C474" s="4" t="s">
        <v>1360</v>
      </c>
      <c r="I474" s="4" t="s">
        <v>1461</v>
      </c>
      <c r="K474" s="4" t="s">
        <v>1362</v>
      </c>
      <c r="P474" s="38"/>
      <c r="Q474" s="38">
        <v>1</v>
      </c>
      <c r="R474" s="38"/>
      <c r="S474" t="b">
        <v>0</v>
      </c>
      <c r="T474" s="38"/>
      <c r="U474" s="50">
        <v>4058222</v>
      </c>
      <c r="V474" s="50"/>
      <c r="W474" s="50" t="s">
        <v>1371</v>
      </c>
      <c r="X474" s="50"/>
      <c r="Y474" s="4" t="s">
        <v>1462</v>
      </c>
    </row>
    <row r="475" spans="1:25">
      <c r="A475" s="4">
        <v>100040049</v>
      </c>
      <c r="B475" s="4">
        <v>4</v>
      </c>
      <c r="C475" s="4" t="s">
        <v>1360</v>
      </c>
      <c r="I475" s="4" t="s">
        <v>1463</v>
      </c>
      <c r="K475" s="4" t="s">
        <v>1366</v>
      </c>
      <c r="P475" s="38"/>
      <c r="Q475" s="38">
        <v>2</v>
      </c>
      <c r="R475" s="38"/>
      <c r="S475" t="b">
        <v>0</v>
      </c>
      <c r="T475" s="38"/>
      <c r="U475" s="50">
        <v>4058223</v>
      </c>
      <c r="V475" s="50"/>
      <c r="W475" s="50" t="s">
        <v>1363</v>
      </c>
      <c r="X475" s="50"/>
      <c r="Y475" s="4" t="s">
        <v>1464</v>
      </c>
    </row>
    <row r="476" spans="1:25">
      <c r="A476" s="4">
        <v>100040050</v>
      </c>
      <c r="B476" s="4">
        <v>4</v>
      </c>
      <c r="C476" s="4" t="s">
        <v>1360</v>
      </c>
      <c r="I476" s="4" t="s">
        <v>1465</v>
      </c>
      <c r="K476" s="4" t="s">
        <v>1366</v>
      </c>
      <c r="P476" s="38"/>
      <c r="Q476" s="38">
        <v>2</v>
      </c>
      <c r="R476" s="38"/>
      <c r="S476" t="b">
        <v>0</v>
      </c>
      <c r="T476" s="38"/>
      <c r="U476" s="50">
        <v>4058224</v>
      </c>
      <c r="V476" s="50"/>
      <c r="W476" s="50" t="s">
        <v>1367</v>
      </c>
      <c r="X476" s="50"/>
      <c r="Y476" s="4" t="s">
        <v>1466</v>
      </c>
    </row>
    <row r="477" spans="1:25">
      <c r="A477" s="4">
        <v>100040051</v>
      </c>
      <c r="B477" s="4">
        <v>4</v>
      </c>
      <c r="C477" s="4" t="s">
        <v>1360</v>
      </c>
      <c r="I477" s="4" t="s">
        <v>1467</v>
      </c>
      <c r="K477" s="4" t="s">
        <v>1366</v>
      </c>
      <c r="P477" s="38"/>
      <c r="Q477" s="38">
        <v>2</v>
      </c>
      <c r="R477" s="38"/>
      <c r="S477" t="b">
        <v>0</v>
      </c>
      <c r="T477" s="38"/>
      <c r="U477" s="50">
        <v>4058225</v>
      </c>
      <c r="V477" s="50"/>
      <c r="W477" s="50" t="s">
        <v>1371</v>
      </c>
      <c r="X477" s="50"/>
      <c r="Y477" s="4" t="s">
        <v>1468</v>
      </c>
    </row>
    <row r="478" spans="1:25">
      <c r="A478" s="4">
        <v>100040052</v>
      </c>
      <c r="B478" s="4">
        <v>4</v>
      </c>
      <c r="C478" s="4" t="s">
        <v>1360</v>
      </c>
      <c r="I478" s="4" t="s">
        <v>1469</v>
      </c>
      <c r="K478" s="4" t="s">
        <v>1370</v>
      </c>
      <c r="P478" s="38"/>
      <c r="Q478" s="38">
        <v>3</v>
      </c>
      <c r="R478" s="38"/>
      <c r="S478" t="b">
        <v>0</v>
      </c>
      <c r="T478" s="38"/>
      <c r="U478" s="50">
        <v>4058226</v>
      </c>
      <c r="V478" s="50"/>
      <c r="W478" s="50" t="s">
        <v>1363</v>
      </c>
      <c r="X478" s="50"/>
      <c r="Y478" s="4" t="s">
        <v>1470</v>
      </c>
    </row>
    <row r="479" spans="1:25">
      <c r="A479" s="4">
        <v>100040053</v>
      </c>
      <c r="B479" s="4">
        <v>4</v>
      </c>
      <c r="C479" s="4" t="s">
        <v>1360</v>
      </c>
      <c r="I479" s="4" t="s">
        <v>1471</v>
      </c>
      <c r="K479" s="4" t="s">
        <v>1370</v>
      </c>
      <c r="P479" s="38"/>
      <c r="Q479" s="38">
        <v>3</v>
      </c>
      <c r="R479" s="38"/>
      <c r="S479" t="b">
        <v>0</v>
      </c>
      <c r="T479" s="38"/>
      <c r="U479" s="50">
        <v>4058227</v>
      </c>
      <c r="V479" s="50"/>
      <c r="W479" s="50" t="s">
        <v>1367</v>
      </c>
      <c r="X479" s="50"/>
      <c r="Y479" s="4" t="s">
        <v>1472</v>
      </c>
    </row>
    <row r="480" spans="1:25">
      <c r="A480" s="4">
        <v>100040054</v>
      </c>
      <c r="B480" s="4">
        <v>4</v>
      </c>
      <c r="C480" s="4" t="s">
        <v>1360</v>
      </c>
      <c r="I480" s="4" t="s">
        <v>1473</v>
      </c>
      <c r="K480" s="4" t="s">
        <v>1370</v>
      </c>
      <c r="P480" s="38"/>
      <c r="Q480" s="38">
        <v>3</v>
      </c>
      <c r="R480" s="38"/>
      <c r="S480" t="b">
        <v>0</v>
      </c>
      <c r="T480" s="38"/>
      <c r="U480" s="50">
        <v>4058228</v>
      </c>
      <c r="V480" s="50"/>
      <c r="W480" s="50" t="s">
        <v>1371</v>
      </c>
      <c r="X480" s="50"/>
      <c r="Y480" s="4" t="s">
        <v>1474</v>
      </c>
    </row>
    <row r="481" spans="1:25">
      <c r="A481" s="4">
        <v>100040055</v>
      </c>
      <c r="B481" s="4">
        <v>4</v>
      </c>
      <c r="C481" s="4" t="s">
        <v>1360</v>
      </c>
      <c r="I481" s="4" t="s">
        <v>1475</v>
      </c>
      <c r="K481" s="4" t="s">
        <v>1362</v>
      </c>
      <c r="P481" s="38"/>
      <c r="Q481" s="38">
        <v>1</v>
      </c>
      <c r="R481" s="38"/>
      <c r="S481" t="b">
        <v>0</v>
      </c>
      <c r="T481" s="38"/>
      <c r="U481" s="50">
        <v>4058229</v>
      </c>
      <c r="V481" s="50"/>
      <c r="W481" s="50" t="s">
        <v>1363</v>
      </c>
      <c r="X481" s="50"/>
      <c r="Y481" s="4" t="s">
        <v>1476</v>
      </c>
    </row>
    <row r="482" spans="1:25">
      <c r="A482" s="4">
        <v>100040056</v>
      </c>
      <c r="B482" s="4">
        <v>4</v>
      </c>
      <c r="C482" s="4" t="s">
        <v>1360</v>
      </c>
      <c r="I482" s="4" t="s">
        <v>1477</v>
      </c>
      <c r="K482" s="4" t="s">
        <v>1362</v>
      </c>
      <c r="P482" s="38"/>
      <c r="Q482" s="38">
        <v>1</v>
      </c>
      <c r="R482" s="38"/>
      <c r="S482" t="b">
        <v>0</v>
      </c>
      <c r="T482" s="38"/>
      <c r="U482" s="50">
        <v>4058230</v>
      </c>
      <c r="V482" s="50"/>
      <c r="W482" s="50" t="s">
        <v>1367</v>
      </c>
      <c r="X482" s="50"/>
      <c r="Y482" s="4" t="s">
        <v>1478</v>
      </c>
    </row>
    <row r="483" spans="1:25">
      <c r="A483" s="4">
        <v>100040057</v>
      </c>
      <c r="B483" s="4">
        <v>4</v>
      </c>
      <c r="C483" s="4" t="s">
        <v>1360</v>
      </c>
      <c r="I483" s="4" t="s">
        <v>1479</v>
      </c>
      <c r="K483" s="4" t="s">
        <v>1362</v>
      </c>
      <c r="P483" s="38"/>
      <c r="Q483" s="38">
        <v>1</v>
      </c>
      <c r="R483" s="38"/>
      <c r="S483" t="b">
        <v>0</v>
      </c>
      <c r="T483" s="38"/>
      <c r="U483" s="50">
        <v>4058231</v>
      </c>
      <c r="V483" s="50"/>
      <c r="W483" s="50" t="s">
        <v>1371</v>
      </c>
      <c r="X483" s="50"/>
      <c r="Y483" s="4" t="s">
        <v>1480</v>
      </c>
    </row>
    <row r="484" spans="1:25">
      <c r="A484" s="4">
        <v>100040058</v>
      </c>
      <c r="B484" s="4">
        <v>4</v>
      </c>
      <c r="C484" s="4" t="s">
        <v>1360</v>
      </c>
      <c r="I484" s="4" t="s">
        <v>1481</v>
      </c>
      <c r="K484" s="4" t="s">
        <v>1366</v>
      </c>
      <c r="P484" s="38"/>
      <c r="Q484" s="38">
        <v>2</v>
      </c>
      <c r="R484" s="38"/>
      <c r="S484" t="b">
        <v>0</v>
      </c>
      <c r="T484" s="38"/>
      <c r="U484" s="50">
        <v>4058232</v>
      </c>
      <c r="V484" s="50"/>
      <c r="W484" s="50" t="s">
        <v>1363</v>
      </c>
      <c r="X484" s="50"/>
      <c r="Y484" s="4" t="s">
        <v>1482</v>
      </c>
    </row>
    <row r="485" spans="1:25">
      <c r="A485" s="4">
        <v>100040059</v>
      </c>
      <c r="B485" s="4">
        <v>4</v>
      </c>
      <c r="C485" s="4" t="s">
        <v>1360</v>
      </c>
      <c r="I485" s="4" t="s">
        <v>1483</v>
      </c>
      <c r="K485" s="4" t="s">
        <v>1366</v>
      </c>
      <c r="P485" s="38"/>
      <c r="Q485" s="38">
        <v>2</v>
      </c>
      <c r="R485" s="38"/>
      <c r="S485" t="b">
        <v>0</v>
      </c>
      <c r="T485" s="38"/>
      <c r="U485" s="50">
        <v>4058233</v>
      </c>
      <c r="V485" s="50"/>
      <c r="W485" s="50" t="s">
        <v>1367</v>
      </c>
      <c r="X485" s="50"/>
      <c r="Y485" s="4" t="s">
        <v>1484</v>
      </c>
    </row>
    <row r="486" spans="1:25">
      <c r="A486" s="4">
        <v>100040060</v>
      </c>
      <c r="B486" s="4">
        <v>4</v>
      </c>
      <c r="C486" s="4" t="s">
        <v>1360</v>
      </c>
      <c r="I486" s="4" t="s">
        <v>1485</v>
      </c>
      <c r="K486" s="4" t="s">
        <v>1366</v>
      </c>
      <c r="P486" s="38"/>
      <c r="Q486" s="38">
        <v>2</v>
      </c>
      <c r="R486" s="38"/>
      <c r="S486" t="b">
        <v>0</v>
      </c>
      <c r="T486" s="38"/>
      <c r="U486" s="50">
        <v>4058234</v>
      </c>
      <c r="V486" s="50"/>
      <c r="W486" s="50" t="s">
        <v>1371</v>
      </c>
      <c r="X486" s="50"/>
      <c r="Y486" s="4" t="s">
        <v>1486</v>
      </c>
    </row>
    <row r="487" spans="1:25">
      <c r="A487" s="4">
        <v>100040061</v>
      </c>
      <c r="B487" s="4">
        <v>4</v>
      </c>
      <c r="C487" s="4" t="s">
        <v>1360</v>
      </c>
      <c r="I487" s="4" t="s">
        <v>1487</v>
      </c>
      <c r="K487" s="4" t="s">
        <v>1370</v>
      </c>
      <c r="P487" s="38"/>
      <c r="Q487" s="38">
        <v>3</v>
      </c>
      <c r="R487" s="38"/>
      <c r="S487" t="b">
        <v>0</v>
      </c>
      <c r="T487" s="38"/>
      <c r="U487" s="50">
        <v>4058235</v>
      </c>
      <c r="V487" s="50"/>
      <c r="W487" s="50" t="s">
        <v>1363</v>
      </c>
      <c r="X487" s="50"/>
      <c r="Y487" s="4" t="s">
        <v>1488</v>
      </c>
    </row>
    <row r="488" spans="1:25">
      <c r="A488" s="4">
        <v>100040062</v>
      </c>
      <c r="B488" s="4">
        <v>4</v>
      </c>
      <c r="C488" s="4" t="s">
        <v>1360</v>
      </c>
      <c r="I488" s="4" t="s">
        <v>1489</v>
      </c>
      <c r="K488" s="4" t="s">
        <v>1370</v>
      </c>
      <c r="P488" s="38"/>
      <c r="Q488" s="38">
        <v>3</v>
      </c>
      <c r="R488" s="38"/>
      <c r="S488" t="b">
        <v>0</v>
      </c>
      <c r="T488" s="38"/>
      <c r="U488" s="50">
        <v>4058236</v>
      </c>
      <c r="V488" s="50"/>
      <c r="W488" s="50" t="s">
        <v>1367</v>
      </c>
      <c r="X488" s="50"/>
      <c r="Y488" s="4" t="s">
        <v>1490</v>
      </c>
    </row>
    <row r="489" spans="1:25">
      <c r="A489" s="4">
        <v>100040063</v>
      </c>
      <c r="B489" s="4">
        <v>4</v>
      </c>
      <c r="C489" s="4" t="s">
        <v>1360</v>
      </c>
      <c r="I489" s="4" t="s">
        <v>1491</v>
      </c>
      <c r="K489" s="4" t="s">
        <v>1370</v>
      </c>
      <c r="P489" s="38"/>
      <c r="Q489" s="38">
        <v>3</v>
      </c>
      <c r="R489" s="38"/>
      <c r="S489" t="b">
        <v>0</v>
      </c>
      <c r="T489" s="38"/>
      <c r="U489" s="50">
        <v>4058237</v>
      </c>
      <c r="V489" s="50"/>
      <c r="W489" s="50" t="s">
        <v>1371</v>
      </c>
      <c r="X489" s="50"/>
      <c r="Y489" s="4" t="s">
        <v>1492</v>
      </c>
    </row>
    <row r="490" spans="1:25">
      <c r="A490" s="4">
        <v>100040064</v>
      </c>
      <c r="B490" s="4">
        <v>4</v>
      </c>
      <c r="C490" s="4" t="s">
        <v>1360</v>
      </c>
      <c r="I490" s="4" t="s">
        <v>1493</v>
      </c>
      <c r="K490" s="4" t="s">
        <v>1366</v>
      </c>
      <c r="P490" s="38"/>
      <c r="Q490" s="38">
        <v>2</v>
      </c>
      <c r="R490" s="38"/>
      <c r="S490" t="b">
        <v>0</v>
      </c>
      <c r="T490" s="38"/>
      <c r="U490" s="50">
        <v>4058238</v>
      </c>
      <c r="V490" s="50"/>
      <c r="W490" s="50" t="s">
        <v>1363</v>
      </c>
      <c r="X490" s="50"/>
      <c r="Y490" s="4" t="s">
        <v>1494</v>
      </c>
    </row>
    <row r="491" spans="1:25">
      <c r="A491" s="4">
        <v>100040065</v>
      </c>
      <c r="B491" s="4">
        <v>4</v>
      </c>
      <c r="C491" s="4" t="s">
        <v>1360</v>
      </c>
      <c r="I491" s="4" t="s">
        <v>1495</v>
      </c>
      <c r="K491" s="4" t="s">
        <v>1366</v>
      </c>
      <c r="P491" s="38"/>
      <c r="Q491" s="38">
        <v>2</v>
      </c>
      <c r="R491" s="38"/>
      <c r="S491" t="b">
        <v>0</v>
      </c>
      <c r="T491" s="38"/>
      <c r="U491" s="50">
        <v>4058239</v>
      </c>
      <c r="V491" s="50"/>
      <c r="W491" s="50" t="s">
        <v>1367</v>
      </c>
      <c r="X491" s="50"/>
      <c r="Y491" s="4" t="s">
        <v>1496</v>
      </c>
    </row>
    <row r="492" spans="1:25">
      <c r="A492" s="4">
        <v>100040066</v>
      </c>
      <c r="B492" s="4">
        <v>4</v>
      </c>
      <c r="C492" s="4" t="s">
        <v>1360</v>
      </c>
      <c r="I492" s="4" t="s">
        <v>1497</v>
      </c>
      <c r="K492" s="4" t="s">
        <v>1366</v>
      </c>
      <c r="P492" s="38"/>
      <c r="Q492" s="38">
        <v>2</v>
      </c>
      <c r="R492" s="38"/>
      <c r="S492" t="b">
        <v>0</v>
      </c>
      <c r="T492" s="38"/>
      <c r="U492" s="50">
        <v>4058240</v>
      </c>
      <c r="V492" s="50"/>
      <c r="W492" s="50" t="s">
        <v>1371</v>
      </c>
      <c r="X492" s="50"/>
      <c r="Y492" s="4" t="s">
        <v>1498</v>
      </c>
    </row>
    <row r="493" spans="1:25">
      <c r="A493" s="4">
        <v>100040067</v>
      </c>
      <c r="B493" s="4">
        <v>4</v>
      </c>
      <c r="C493" s="4" t="s">
        <v>1360</v>
      </c>
      <c r="I493" s="4" t="s">
        <v>1499</v>
      </c>
      <c r="K493" s="4" t="s">
        <v>1370</v>
      </c>
      <c r="P493" s="38"/>
      <c r="Q493" s="38">
        <v>3</v>
      </c>
      <c r="R493" s="38"/>
      <c r="S493" t="b">
        <v>0</v>
      </c>
      <c r="T493" s="38"/>
      <c r="U493" s="50">
        <v>4058241</v>
      </c>
      <c r="V493" s="50"/>
      <c r="W493" s="50" t="s">
        <v>1363</v>
      </c>
      <c r="X493" s="50"/>
      <c r="Y493" s="4" t="s">
        <v>1500</v>
      </c>
    </row>
    <row r="494" spans="1:25">
      <c r="A494" s="4">
        <v>100040068</v>
      </c>
      <c r="B494" s="4">
        <v>4</v>
      </c>
      <c r="C494" s="4" t="s">
        <v>1360</v>
      </c>
      <c r="I494" s="4" t="s">
        <v>1501</v>
      </c>
      <c r="K494" s="4" t="s">
        <v>1370</v>
      </c>
      <c r="P494" s="38"/>
      <c r="Q494" s="38">
        <v>3</v>
      </c>
      <c r="R494" s="38"/>
      <c r="S494" t="b">
        <v>0</v>
      </c>
      <c r="T494" s="38"/>
      <c r="U494" s="50">
        <v>4058242</v>
      </c>
      <c r="V494" s="50"/>
      <c r="W494" s="50" t="s">
        <v>1367</v>
      </c>
      <c r="X494" s="50"/>
      <c r="Y494" s="4" t="s">
        <v>1502</v>
      </c>
    </row>
    <row r="495" spans="1:25">
      <c r="A495" s="4">
        <v>100040069</v>
      </c>
      <c r="B495" s="4">
        <v>4</v>
      </c>
      <c r="C495" s="4" t="s">
        <v>1360</v>
      </c>
      <c r="I495" s="4" t="s">
        <v>1503</v>
      </c>
      <c r="K495" s="4" t="s">
        <v>1370</v>
      </c>
      <c r="P495" s="38"/>
      <c r="Q495" s="38">
        <v>3</v>
      </c>
      <c r="R495" s="38"/>
      <c r="S495" t="b">
        <v>0</v>
      </c>
      <c r="T495" s="38"/>
      <c r="U495" s="50">
        <v>4058243</v>
      </c>
      <c r="V495" s="50"/>
      <c r="W495" s="50" t="s">
        <v>1371</v>
      </c>
      <c r="X495" s="50"/>
      <c r="Y495" s="4" t="s">
        <v>1504</v>
      </c>
    </row>
    <row r="496" spans="1:25">
      <c r="A496" s="4">
        <v>100040070</v>
      </c>
      <c r="B496" s="4">
        <v>4</v>
      </c>
      <c r="C496" s="4" t="s">
        <v>1360</v>
      </c>
      <c r="I496" s="4" t="s">
        <v>1505</v>
      </c>
      <c r="K496" s="4" t="s">
        <v>1362</v>
      </c>
      <c r="P496" s="38"/>
      <c r="Q496" s="38">
        <v>1</v>
      </c>
      <c r="R496" s="38"/>
      <c r="S496" t="b">
        <v>0</v>
      </c>
      <c r="T496" s="38"/>
      <c r="U496" s="50">
        <v>4058244</v>
      </c>
      <c r="V496" s="50"/>
      <c r="W496" s="50" t="s">
        <v>1506</v>
      </c>
      <c r="X496" s="50"/>
      <c r="Y496" s="4" t="s">
        <v>1507</v>
      </c>
    </row>
    <row r="497" spans="1:25">
      <c r="A497" s="4">
        <v>100040071</v>
      </c>
      <c r="B497" s="4">
        <v>4</v>
      </c>
      <c r="C497" s="4" t="s">
        <v>1360</v>
      </c>
      <c r="I497" s="4" t="s">
        <v>1508</v>
      </c>
      <c r="K497" s="4" t="s">
        <v>1362</v>
      </c>
      <c r="P497" s="38"/>
      <c r="Q497" s="38">
        <v>1</v>
      </c>
      <c r="R497" s="38"/>
      <c r="S497" t="b">
        <v>0</v>
      </c>
      <c r="T497" s="38"/>
      <c r="U497" s="50">
        <v>4058245</v>
      </c>
      <c r="V497" s="50"/>
      <c r="W497" s="50" t="s">
        <v>1363</v>
      </c>
      <c r="X497" s="50"/>
      <c r="Y497" s="4" t="s">
        <v>1509</v>
      </c>
    </row>
    <row r="498" spans="1:25">
      <c r="A498" s="4">
        <v>100040072</v>
      </c>
      <c r="B498" s="4">
        <v>4</v>
      </c>
      <c r="C498" s="4" t="s">
        <v>1360</v>
      </c>
      <c r="I498" s="4" t="s">
        <v>1510</v>
      </c>
      <c r="K498" s="4" t="s">
        <v>1362</v>
      </c>
      <c r="P498" s="38"/>
      <c r="Q498" s="38">
        <v>1</v>
      </c>
      <c r="R498" s="38"/>
      <c r="S498" t="b">
        <v>0</v>
      </c>
      <c r="T498" s="38"/>
      <c r="U498" s="50">
        <v>4058246</v>
      </c>
      <c r="V498" s="50"/>
      <c r="W498" s="50" t="s">
        <v>1367</v>
      </c>
      <c r="X498" s="50"/>
      <c r="Y498" s="4" t="s">
        <v>1511</v>
      </c>
    </row>
    <row r="499" spans="1:25">
      <c r="A499" s="4">
        <v>100040073</v>
      </c>
      <c r="B499" s="4">
        <v>4</v>
      </c>
      <c r="C499" s="4" t="s">
        <v>1360</v>
      </c>
      <c r="I499" s="4" t="s">
        <v>1512</v>
      </c>
      <c r="K499" s="4" t="s">
        <v>1366</v>
      </c>
      <c r="P499" s="38"/>
      <c r="Q499" s="38">
        <v>2</v>
      </c>
      <c r="R499" s="38"/>
      <c r="S499" t="b">
        <v>0</v>
      </c>
      <c r="T499" s="38"/>
      <c r="U499" s="50">
        <v>4058247</v>
      </c>
      <c r="V499" s="50"/>
      <c r="W499" s="50" t="s">
        <v>1506</v>
      </c>
      <c r="X499" s="50"/>
      <c r="Y499" s="4" t="s">
        <v>1513</v>
      </c>
    </row>
    <row r="500" spans="1:25">
      <c r="A500" s="4">
        <v>100040074</v>
      </c>
      <c r="B500" s="4">
        <v>4</v>
      </c>
      <c r="C500" s="4" t="s">
        <v>1360</v>
      </c>
      <c r="I500" s="4" t="s">
        <v>1514</v>
      </c>
      <c r="K500" s="4" t="s">
        <v>1366</v>
      </c>
      <c r="P500" s="38"/>
      <c r="Q500" s="38">
        <v>2</v>
      </c>
      <c r="R500" s="38"/>
      <c r="S500" t="b">
        <v>0</v>
      </c>
      <c r="T500" s="38"/>
      <c r="U500" s="50">
        <v>4058248</v>
      </c>
      <c r="V500" s="50"/>
      <c r="W500" s="50" t="s">
        <v>1363</v>
      </c>
      <c r="X500" s="50"/>
      <c r="Y500" s="4" t="s">
        <v>1515</v>
      </c>
    </row>
    <row r="501" spans="1:25">
      <c r="A501" s="4">
        <v>100040075</v>
      </c>
      <c r="B501" s="4">
        <v>4</v>
      </c>
      <c r="C501" s="4" t="s">
        <v>1360</v>
      </c>
      <c r="I501" s="4" t="s">
        <v>1516</v>
      </c>
      <c r="K501" s="4" t="s">
        <v>1366</v>
      </c>
      <c r="P501" s="38"/>
      <c r="Q501" s="38">
        <v>2</v>
      </c>
      <c r="R501" s="38"/>
      <c r="S501" t="b">
        <v>0</v>
      </c>
      <c r="T501" s="38"/>
      <c r="U501" s="50">
        <v>4058249</v>
      </c>
      <c r="V501" s="50"/>
      <c r="W501" s="50" t="s">
        <v>1367</v>
      </c>
      <c r="X501" s="50"/>
      <c r="Y501" s="4" t="s">
        <v>1517</v>
      </c>
    </row>
    <row r="502" spans="1:25">
      <c r="A502" s="4">
        <v>100040076</v>
      </c>
      <c r="B502" s="4">
        <v>4</v>
      </c>
      <c r="C502" s="4" t="s">
        <v>1360</v>
      </c>
      <c r="I502" s="4" t="s">
        <v>1518</v>
      </c>
      <c r="K502" s="4" t="s">
        <v>1370</v>
      </c>
      <c r="P502" s="38"/>
      <c r="Q502" s="38">
        <v>3</v>
      </c>
      <c r="R502" s="38"/>
      <c r="S502" t="b">
        <v>0</v>
      </c>
      <c r="T502" s="38"/>
      <c r="U502" s="50">
        <v>4058250</v>
      </c>
      <c r="V502" s="50"/>
      <c r="W502" s="50" t="s">
        <v>1506</v>
      </c>
      <c r="X502" s="50"/>
      <c r="Y502" s="4" t="s">
        <v>1519</v>
      </c>
    </row>
    <row r="503" spans="1:25">
      <c r="A503" s="4">
        <v>100040077</v>
      </c>
      <c r="B503" s="4">
        <v>4</v>
      </c>
      <c r="C503" s="4" t="s">
        <v>1360</v>
      </c>
      <c r="I503" s="4" t="s">
        <v>1520</v>
      </c>
      <c r="K503" s="4" t="s">
        <v>1370</v>
      </c>
      <c r="P503" s="38"/>
      <c r="Q503" s="38">
        <v>3</v>
      </c>
      <c r="R503" s="38"/>
      <c r="S503" t="b">
        <v>0</v>
      </c>
      <c r="T503" s="38"/>
      <c r="U503" s="50">
        <v>4058251</v>
      </c>
      <c r="V503" s="50"/>
      <c r="W503" s="50" t="s">
        <v>1363</v>
      </c>
      <c r="X503" s="50"/>
      <c r="Y503" s="4" t="s">
        <v>1521</v>
      </c>
    </row>
    <row r="504" spans="1:25">
      <c r="A504" s="4">
        <v>100040078</v>
      </c>
      <c r="B504" s="4">
        <v>4</v>
      </c>
      <c r="C504" s="4" t="s">
        <v>1360</v>
      </c>
      <c r="I504" s="4" t="s">
        <v>1522</v>
      </c>
      <c r="K504" s="4" t="s">
        <v>1370</v>
      </c>
      <c r="P504" s="38"/>
      <c r="Q504" s="38">
        <v>3</v>
      </c>
      <c r="R504" s="38"/>
      <c r="S504" t="b">
        <v>0</v>
      </c>
      <c r="T504" s="38"/>
      <c r="U504" s="50">
        <v>4058252</v>
      </c>
      <c r="V504" s="50"/>
      <c r="W504" s="50" t="s">
        <v>1367</v>
      </c>
      <c r="X504" s="50"/>
      <c r="Y504" s="4" t="s">
        <v>1523</v>
      </c>
    </row>
    <row r="505" spans="1:25">
      <c r="A505" s="4">
        <v>100050001</v>
      </c>
      <c r="B505" s="4">
        <v>5</v>
      </c>
      <c r="C505" s="4" t="s">
        <v>1524</v>
      </c>
      <c r="I505" s="4" t="s">
        <v>1525</v>
      </c>
      <c r="K505" s="4" t="s">
        <v>1526</v>
      </c>
      <c r="P505" s="38"/>
      <c r="Q505" s="38">
        <v>1</v>
      </c>
      <c r="R505" s="38">
        <v>120</v>
      </c>
      <c r="S505" t="b">
        <v>1</v>
      </c>
      <c r="T505" s="38">
        <v>300</v>
      </c>
      <c r="U505" s="50">
        <v>78001</v>
      </c>
      <c r="V505" s="50"/>
      <c r="W505" s="50"/>
      <c r="X505" s="50"/>
      <c r="Y505" s="4" t="s">
        <v>1527</v>
      </c>
    </row>
    <row r="506" spans="1:25">
      <c r="A506" s="4">
        <v>100050002</v>
      </c>
      <c r="B506" s="4">
        <v>5</v>
      </c>
      <c r="C506" s="4" t="s">
        <v>1524</v>
      </c>
      <c r="I506" s="4" t="s">
        <v>1528</v>
      </c>
      <c r="K506" s="4" t="s">
        <v>1529</v>
      </c>
      <c r="P506" s="38"/>
      <c r="Q506" s="38">
        <v>1</v>
      </c>
      <c r="R506" s="38">
        <v>120</v>
      </c>
      <c r="S506" t="b">
        <v>1</v>
      </c>
      <c r="T506" s="38">
        <v>300</v>
      </c>
      <c r="U506" s="50">
        <v>78002</v>
      </c>
      <c r="V506" s="50"/>
      <c r="W506" s="50"/>
      <c r="X506" s="50"/>
      <c r="Y506" s="4" t="s">
        <v>1530</v>
      </c>
    </row>
    <row r="507" spans="1:25">
      <c r="A507" s="4">
        <v>100050003</v>
      </c>
      <c r="B507" s="4">
        <v>5</v>
      </c>
      <c r="C507" s="4" t="s">
        <v>1524</v>
      </c>
      <c r="I507" s="4" t="s">
        <v>1531</v>
      </c>
      <c r="K507" s="4" t="s">
        <v>1532</v>
      </c>
      <c r="P507" s="38"/>
      <c r="Q507" s="38">
        <v>1</v>
      </c>
      <c r="R507" s="38">
        <v>120</v>
      </c>
      <c r="S507" t="b">
        <v>1</v>
      </c>
      <c r="T507" s="38">
        <v>300</v>
      </c>
      <c r="U507" s="50">
        <v>78003</v>
      </c>
      <c r="V507" s="50"/>
      <c r="W507" s="50"/>
      <c r="X507" s="50"/>
      <c r="Y507" s="4" t="s">
        <v>1533</v>
      </c>
    </row>
    <row r="508" spans="1:25">
      <c r="A508" s="4">
        <v>100050004</v>
      </c>
      <c r="B508" s="4">
        <v>5</v>
      </c>
      <c r="C508" s="4" t="s">
        <v>1524</v>
      </c>
      <c r="I508" s="4" t="s">
        <v>1534</v>
      </c>
      <c r="K508" s="4" t="s">
        <v>1535</v>
      </c>
      <c r="P508" s="38"/>
      <c r="Q508" s="38">
        <v>2</v>
      </c>
      <c r="R508" s="38">
        <v>1440</v>
      </c>
      <c r="S508" t="b">
        <v>1</v>
      </c>
      <c r="T508" s="38">
        <v>300</v>
      </c>
      <c r="U508" s="50">
        <v>78004</v>
      </c>
      <c r="V508" s="50"/>
      <c r="W508" s="50"/>
      <c r="X508" s="50"/>
      <c r="Y508" s="4" t="s">
        <v>1536</v>
      </c>
    </row>
    <row r="509" spans="1:25">
      <c r="A509" s="4">
        <v>100050005</v>
      </c>
      <c r="B509" s="4">
        <v>5</v>
      </c>
      <c r="C509" s="4" t="s">
        <v>1524</v>
      </c>
      <c r="I509" s="4" t="s">
        <v>1537</v>
      </c>
      <c r="K509" s="4" t="s">
        <v>1538</v>
      </c>
      <c r="P509" s="38"/>
      <c r="Q509" s="38">
        <v>2</v>
      </c>
      <c r="R509" s="38">
        <v>1440</v>
      </c>
      <c r="S509" t="b">
        <v>1</v>
      </c>
      <c r="T509" s="38">
        <v>300</v>
      </c>
      <c r="U509" s="50">
        <v>78005</v>
      </c>
      <c r="V509" s="50"/>
      <c r="W509" s="50"/>
      <c r="X509" s="50"/>
      <c r="Y509" s="4" t="s">
        <v>1539</v>
      </c>
    </row>
    <row r="510" spans="1:25">
      <c r="A510" s="4">
        <v>100050006</v>
      </c>
      <c r="B510" s="4">
        <v>5</v>
      </c>
      <c r="C510" s="4" t="s">
        <v>1524</v>
      </c>
      <c r="I510" s="4" t="s">
        <v>1540</v>
      </c>
      <c r="K510" s="4" t="s">
        <v>1541</v>
      </c>
      <c r="P510" s="38"/>
      <c r="Q510" s="38">
        <v>3</v>
      </c>
      <c r="R510" s="38">
        <v>2880</v>
      </c>
      <c r="S510" t="b">
        <v>1</v>
      </c>
      <c r="T510" s="38">
        <v>300</v>
      </c>
      <c r="U510" s="50">
        <v>78006</v>
      </c>
      <c r="V510" s="50"/>
      <c r="W510" s="50"/>
      <c r="X510" s="50"/>
      <c r="Y510" s="4" t="s">
        <v>1542</v>
      </c>
    </row>
    <row r="511" spans="1:25">
      <c r="A511" s="4">
        <v>100050007</v>
      </c>
      <c r="B511" s="4">
        <v>5</v>
      </c>
      <c r="C511" s="4" t="s">
        <v>1524</v>
      </c>
      <c r="I511" s="4" t="s">
        <v>1543</v>
      </c>
      <c r="K511" s="4" t="s">
        <v>1544</v>
      </c>
      <c r="P511" s="38"/>
      <c r="Q511" s="38">
        <v>3</v>
      </c>
      <c r="R511" s="38">
        <v>2880</v>
      </c>
      <c r="S511" t="b">
        <v>1</v>
      </c>
      <c r="T511" s="38">
        <v>300</v>
      </c>
      <c r="U511" s="50">
        <v>78007</v>
      </c>
      <c r="V511" s="50"/>
      <c r="W511" s="50"/>
      <c r="X511" s="50"/>
      <c r="Y511" s="4" t="s">
        <v>1545</v>
      </c>
    </row>
    <row r="512" spans="1:25">
      <c r="A512" s="4">
        <v>100050008</v>
      </c>
      <c r="B512" s="4">
        <v>5</v>
      </c>
      <c r="C512" s="4" t="s">
        <v>1524</v>
      </c>
      <c r="I512" s="4" t="s">
        <v>1546</v>
      </c>
      <c r="K512" s="4" t="s">
        <v>1547</v>
      </c>
      <c r="P512" s="38"/>
      <c r="Q512" s="38">
        <v>1</v>
      </c>
      <c r="R512" s="38">
        <v>120</v>
      </c>
      <c r="S512" t="b">
        <v>1</v>
      </c>
      <c r="T512" s="38">
        <v>300</v>
      </c>
      <c r="U512" s="50">
        <v>78008</v>
      </c>
      <c r="V512" s="50"/>
      <c r="W512" s="50"/>
      <c r="X512" s="50"/>
      <c r="Y512" s="4" t="s">
        <v>1548</v>
      </c>
    </row>
    <row r="513" spans="1:25">
      <c r="A513" s="4">
        <v>100050009</v>
      </c>
      <c r="B513" s="4">
        <v>5</v>
      </c>
      <c r="C513" s="4" t="s">
        <v>1524</v>
      </c>
      <c r="I513" s="4" t="s">
        <v>1549</v>
      </c>
      <c r="K513" s="4" t="s">
        <v>1550</v>
      </c>
      <c r="P513" s="38"/>
      <c r="Q513" s="38">
        <v>1</v>
      </c>
      <c r="R513" s="38">
        <v>120</v>
      </c>
      <c r="S513" t="b">
        <v>1</v>
      </c>
      <c r="T513" s="38">
        <v>300</v>
      </c>
      <c r="U513" s="50">
        <v>78009</v>
      </c>
      <c r="V513" s="50"/>
      <c r="W513" s="50"/>
      <c r="X513" s="50"/>
      <c r="Y513" s="4" t="s">
        <v>1551</v>
      </c>
    </row>
    <row r="514" spans="1:25">
      <c r="A514" s="4">
        <v>100050010</v>
      </c>
      <c r="B514" s="4">
        <v>5</v>
      </c>
      <c r="C514" s="4" t="s">
        <v>1524</v>
      </c>
      <c r="I514" s="4" t="s">
        <v>1552</v>
      </c>
      <c r="K514" s="4" t="s">
        <v>1535</v>
      </c>
      <c r="P514" s="38"/>
      <c r="Q514" s="38">
        <v>1</v>
      </c>
      <c r="R514" s="38">
        <v>120</v>
      </c>
      <c r="S514" t="b">
        <v>1</v>
      </c>
      <c r="T514" s="38">
        <v>300</v>
      </c>
      <c r="U514" s="50">
        <v>78010</v>
      </c>
      <c r="V514" s="50"/>
      <c r="W514" s="50"/>
      <c r="X514" s="50"/>
      <c r="Y514" s="4" t="s">
        <v>1553</v>
      </c>
    </row>
    <row r="515" spans="1:25">
      <c r="A515" s="4">
        <v>100050011</v>
      </c>
      <c r="B515" s="4">
        <v>5</v>
      </c>
      <c r="C515" s="4" t="s">
        <v>1524</v>
      </c>
      <c r="I515" s="4" t="s">
        <v>1554</v>
      </c>
      <c r="K515" s="4" t="s">
        <v>1538</v>
      </c>
      <c r="P515" s="38"/>
      <c r="Q515" s="38">
        <v>2</v>
      </c>
      <c r="R515" s="38">
        <v>1440</v>
      </c>
      <c r="S515" t="b">
        <v>1</v>
      </c>
      <c r="T515" s="38">
        <v>300</v>
      </c>
      <c r="U515" s="50">
        <v>78011</v>
      </c>
      <c r="V515" s="50"/>
      <c r="W515" s="50"/>
      <c r="X515" s="50"/>
      <c r="Y515" s="4" t="s">
        <v>1555</v>
      </c>
    </row>
    <row r="516" spans="1:25">
      <c r="A516" s="4">
        <v>100050012</v>
      </c>
      <c r="B516" s="4">
        <v>5</v>
      </c>
      <c r="C516" s="4" t="s">
        <v>1524</v>
      </c>
      <c r="I516" s="4" t="s">
        <v>1556</v>
      </c>
      <c r="K516" s="4" t="s">
        <v>1557</v>
      </c>
      <c r="P516" s="38"/>
      <c r="Q516" s="38">
        <v>2</v>
      </c>
      <c r="R516" s="38">
        <v>1440</v>
      </c>
      <c r="S516" t="b">
        <v>1</v>
      </c>
      <c r="T516" s="38">
        <v>300</v>
      </c>
      <c r="U516" s="50">
        <v>78012</v>
      </c>
      <c r="V516" s="50"/>
      <c r="W516" s="50"/>
      <c r="X516" s="50"/>
      <c r="Y516" s="4" t="s">
        <v>1558</v>
      </c>
    </row>
    <row r="517" spans="1:25">
      <c r="A517" s="4">
        <v>100050013</v>
      </c>
      <c r="B517" s="4">
        <v>5</v>
      </c>
      <c r="C517" s="4" t="s">
        <v>1524</v>
      </c>
      <c r="I517" s="4" t="s">
        <v>1559</v>
      </c>
      <c r="K517" s="4" t="s">
        <v>1560</v>
      </c>
      <c r="P517" s="38"/>
      <c r="Q517" s="38">
        <v>3</v>
      </c>
      <c r="R517" s="38">
        <v>2880</v>
      </c>
      <c r="S517" t="b">
        <v>1</v>
      </c>
      <c r="T517" s="38">
        <v>300</v>
      </c>
      <c r="U517" s="50">
        <v>78013</v>
      </c>
      <c r="V517" s="50"/>
      <c r="W517" s="50"/>
      <c r="X517" s="50"/>
      <c r="Y517" s="4" t="s">
        <v>1561</v>
      </c>
    </row>
    <row r="518" spans="1:25">
      <c r="A518" s="4">
        <v>100050014</v>
      </c>
      <c r="B518" s="4">
        <v>5</v>
      </c>
      <c r="C518" s="4" t="s">
        <v>1524</v>
      </c>
      <c r="I518" s="4" t="s">
        <v>1562</v>
      </c>
      <c r="K518" s="4" t="s">
        <v>1563</v>
      </c>
      <c r="P518" s="38"/>
      <c r="Q518" s="38">
        <v>3</v>
      </c>
      <c r="R518" s="38">
        <v>2880</v>
      </c>
      <c r="S518" t="b">
        <v>1</v>
      </c>
      <c r="T518" s="38">
        <v>300</v>
      </c>
      <c r="U518" s="50">
        <v>78014</v>
      </c>
      <c r="V518" s="50"/>
      <c r="W518" s="50"/>
      <c r="X518" s="50"/>
      <c r="Y518" s="4" t="s">
        <v>1564</v>
      </c>
    </row>
    <row r="519" spans="1:25">
      <c r="A519" s="4">
        <v>100050015</v>
      </c>
      <c r="B519" s="4">
        <v>5</v>
      </c>
      <c r="C519" s="4" t="s">
        <v>1524</v>
      </c>
      <c r="I519" s="4" t="s">
        <v>1565</v>
      </c>
      <c r="K519" s="4" t="s">
        <v>1566</v>
      </c>
      <c r="P519" s="38"/>
      <c r="Q519" s="38">
        <v>1</v>
      </c>
      <c r="R519" s="38">
        <v>120</v>
      </c>
      <c r="S519" t="b">
        <v>1</v>
      </c>
      <c r="T519" s="38">
        <v>300</v>
      </c>
      <c r="U519" s="50">
        <v>78015</v>
      </c>
      <c r="V519" s="50"/>
      <c r="W519" s="50"/>
      <c r="X519" s="50"/>
      <c r="Y519" s="4" t="s">
        <v>1567</v>
      </c>
    </row>
    <row r="520" spans="1:25">
      <c r="A520" s="4">
        <v>100050016</v>
      </c>
      <c r="B520" s="4">
        <v>5</v>
      </c>
      <c r="C520" s="4" t="s">
        <v>1524</v>
      </c>
      <c r="I520" s="4" t="s">
        <v>1568</v>
      </c>
      <c r="K520" s="4" t="s">
        <v>1569</v>
      </c>
      <c r="P520" s="38"/>
      <c r="Q520" s="38">
        <v>1</v>
      </c>
      <c r="R520" s="38">
        <v>120</v>
      </c>
      <c r="S520" t="b">
        <v>1</v>
      </c>
      <c r="T520" s="38">
        <v>300</v>
      </c>
      <c r="U520" s="50">
        <v>78016</v>
      </c>
      <c r="V520" s="50"/>
      <c r="W520" s="50"/>
      <c r="X520" s="50"/>
      <c r="Y520" s="4" t="s">
        <v>1570</v>
      </c>
    </row>
    <row r="521" spans="1:25">
      <c r="A521" s="4">
        <v>100050017</v>
      </c>
      <c r="B521" s="4">
        <v>5</v>
      </c>
      <c r="C521" s="4" t="s">
        <v>1524</v>
      </c>
      <c r="I521" s="4" t="s">
        <v>1571</v>
      </c>
      <c r="K521" s="4" t="s">
        <v>1572</v>
      </c>
      <c r="P521" s="38"/>
      <c r="Q521" s="38">
        <v>2</v>
      </c>
      <c r="R521" s="38">
        <v>120</v>
      </c>
      <c r="S521" t="b">
        <v>1</v>
      </c>
      <c r="T521" s="38">
        <v>300</v>
      </c>
      <c r="U521" s="50">
        <v>78017</v>
      </c>
      <c r="V521" s="50"/>
      <c r="W521" s="50"/>
      <c r="X521" s="50"/>
      <c r="Y521" s="4" t="s">
        <v>1573</v>
      </c>
    </row>
    <row r="522" spans="1:25">
      <c r="A522" s="4">
        <v>100050018</v>
      </c>
      <c r="B522" s="4">
        <v>5</v>
      </c>
      <c r="C522" s="4" t="s">
        <v>1524</v>
      </c>
      <c r="I522" s="4" t="s">
        <v>1574</v>
      </c>
      <c r="K522" s="4" t="s">
        <v>1575</v>
      </c>
      <c r="P522" s="38"/>
      <c r="Q522" s="38">
        <v>2</v>
      </c>
      <c r="R522" s="38">
        <v>1440</v>
      </c>
      <c r="S522" t="b">
        <v>1</v>
      </c>
      <c r="T522" s="38">
        <v>300</v>
      </c>
      <c r="U522" s="50">
        <v>78018</v>
      </c>
      <c r="V522" s="50"/>
      <c r="W522" s="50"/>
      <c r="X522" s="50"/>
      <c r="Y522" s="4" t="s">
        <v>1576</v>
      </c>
    </row>
    <row r="523" spans="1:25">
      <c r="A523" s="4">
        <v>100050019</v>
      </c>
      <c r="B523" s="4">
        <v>5</v>
      </c>
      <c r="C523" s="4" t="s">
        <v>1524</v>
      </c>
      <c r="I523" s="4" t="s">
        <v>1577</v>
      </c>
      <c r="K523" s="4" t="s">
        <v>1578</v>
      </c>
      <c r="P523" s="38"/>
      <c r="Q523" s="38">
        <v>3</v>
      </c>
      <c r="R523" s="38">
        <v>1440</v>
      </c>
      <c r="S523" t="b">
        <v>1</v>
      </c>
      <c r="T523" s="38">
        <v>300</v>
      </c>
      <c r="U523" s="50">
        <v>78019</v>
      </c>
      <c r="V523" s="50"/>
      <c r="W523" s="50"/>
      <c r="X523" s="50"/>
      <c r="Y523" s="4" t="s">
        <v>1579</v>
      </c>
    </row>
    <row r="524" spans="1:25">
      <c r="A524" s="4">
        <v>100050020</v>
      </c>
      <c r="B524" s="4">
        <v>5</v>
      </c>
      <c r="C524" s="4" t="s">
        <v>1524</v>
      </c>
      <c r="I524" s="4" t="s">
        <v>1580</v>
      </c>
      <c r="K524" s="4" t="s">
        <v>1581</v>
      </c>
      <c r="P524" s="38"/>
      <c r="Q524" s="38">
        <v>3</v>
      </c>
      <c r="R524" s="38">
        <v>2880</v>
      </c>
      <c r="S524" t="b">
        <v>1</v>
      </c>
      <c r="T524" s="38">
        <v>300</v>
      </c>
      <c r="U524" s="50">
        <v>78020</v>
      </c>
      <c r="V524" s="50"/>
      <c r="W524" s="50"/>
      <c r="X524" s="50"/>
      <c r="Y524" s="4" t="s">
        <v>1582</v>
      </c>
    </row>
    <row r="525" spans="1:25">
      <c r="A525" s="4">
        <v>100050021</v>
      </c>
      <c r="B525" s="4">
        <v>5</v>
      </c>
      <c r="C525" s="4" t="s">
        <v>1524</v>
      </c>
      <c r="I525" s="4" t="s">
        <v>1583</v>
      </c>
      <c r="K525" s="4" t="s">
        <v>1584</v>
      </c>
      <c r="P525" s="38"/>
      <c r="Q525" s="38">
        <v>3</v>
      </c>
      <c r="R525" s="38">
        <v>2880</v>
      </c>
      <c r="S525" t="b">
        <v>1</v>
      </c>
      <c r="T525" s="38">
        <v>300</v>
      </c>
      <c r="U525" s="50">
        <v>78021</v>
      </c>
      <c r="V525" s="50"/>
      <c r="W525" s="50"/>
      <c r="X525" s="50"/>
      <c r="Y525" s="4" t="s">
        <v>1585</v>
      </c>
    </row>
    <row r="526" spans="1:25">
      <c r="A526" s="4">
        <v>100050022</v>
      </c>
      <c r="B526" s="4">
        <v>5</v>
      </c>
      <c r="C526" s="4" t="s">
        <v>1524</v>
      </c>
      <c r="I526" s="4" t="s">
        <v>1586</v>
      </c>
      <c r="K526" s="4" t="s">
        <v>1587</v>
      </c>
      <c r="P526" s="38"/>
      <c r="Q526" s="38">
        <v>1</v>
      </c>
      <c r="R526" s="38">
        <v>120</v>
      </c>
      <c r="S526" t="b">
        <v>1</v>
      </c>
      <c r="T526" s="38">
        <v>300</v>
      </c>
      <c r="U526" s="50">
        <v>78022</v>
      </c>
      <c r="V526" s="50"/>
      <c r="W526" s="50"/>
      <c r="X526" s="50"/>
      <c r="Y526" s="4" t="s">
        <v>1588</v>
      </c>
    </row>
    <row r="527" spans="1:25">
      <c r="A527" s="4">
        <v>100050023</v>
      </c>
      <c r="B527" s="4">
        <v>5</v>
      </c>
      <c r="C527" s="4" t="s">
        <v>1524</v>
      </c>
      <c r="I527" s="4" t="s">
        <v>1589</v>
      </c>
      <c r="K527" s="4" t="s">
        <v>1590</v>
      </c>
      <c r="P527" s="38"/>
      <c r="Q527" s="38">
        <v>1</v>
      </c>
      <c r="R527" s="38">
        <v>120</v>
      </c>
      <c r="S527" t="b">
        <v>1</v>
      </c>
      <c r="T527" s="38">
        <v>300</v>
      </c>
      <c r="U527" s="50">
        <v>78023</v>
      </c>
      <c r="V527" s="50"/>
      <c r="W527" s="50"/>
      <c r="X527" s="50"/>
      <c r="Y527" s="4" t="s">
        <v>1591</v>
      </c>
    </row>
    <row r="528" spans="1:25">
      <c r="A528" s="4">
        <v>100050024</v>
      </c>
      <c r="B528" s="4">
        <v>5</v>
      </c>
      <c r="C528" s="4" t="s">
        <v>1524</v>
      </c>
      <c r="I528" s="4" t="s">
        <v>1592</v>
      </c>
      <c r="K528" s="4" t="s">
        <v>1547</v>
      </c>
      <c r="P528" s="38"/>
      <c r="Q528" s="38">
        <v>1</v>
      </c>
      <c r="R528" s="38">
        <v>120</v>
      </c>
      <c r="S528" t="b">
        <v>1</v>
      </c>
      <c r="T528" s="38">
        <v>300</v>
      </c>
      <c r="U528" s="50">
        <v>78024</v>
      </c>
      <c r="V528" s="50"/>
      <c r="W528" s="50"/>
      <c r="X528" s="50"/>
      <c r="Y528" s="4" t="s">
        <v>1593</v>
      </c>
    </row>
    <row r="529" spans="1:25">
      <c r="A529" s="4">
        <v>100050025</v>
      </c>
      <c r="B529" s="4">
        <v>5</v>
      </c>
      <c r="C529" s="4" t="s">
        <v>1524</v>
      </c>
      <c r="I529" s="4" t="s">
        <v>1594</v>
      </c>
      <c r="K529" s="4" t="s">
        <v>1595</v>
      </c>
      <c r="P529" s="38"/>
      <c r="Q529" s="38">
        <v>1</v>
      </c>
      <c r="R529" s="38">
        <v>120</v>
      </c>
      <c r="S529" t="b">
        <v>1</v>
      </c>
      <c r="T529" s="38">
        <v>300</v>
      </c>
      <c r="U529" s="50">
        <v>78025</v>
      </c>
      <c r="V529" s="50"/>
      <c r="W529" s="50"/>
      <c r="X529" s="50"/>
      <c r="Y529" s="4" t="s">
        <v>1596</v>
      </c>
    </row>
    <row r="530" spans="1:25">
      <c r="A530" s="4">
        <v>100050026</v>
      </c>
      <c r="B530" s="4">
        <v>5</v>
      </c>
      <c r="C530" s="4" t="s">
        <v>1524</v>
      </c>
      <c r="I530" s="4" t="s">
        <v>1597</v>
      </c>
      <c r="K530" s="4" t="s">
        <v>1598</v>
      </c>
      <c r="P530" s="38"/>
      <c r="Q530" s="38">
        <v>2</v>
      </c>
      <c r="R530" s="38">
        <v>1440</v>
      </c>
      <c r="S530" t="b">
        <v>1</v>
      </c>
      <c r="T530" s="38">
        <v>300</v>
      </c>
      <c r="U530" s="50">
        <v>78026</v>
      </c>
      <c r="V530" s="50"/>
      <c r="W530" s="50"/>
      <c r="X530" s="50"/>
      <c r="Y530" s="4" t="s">
        <v>1599</v>
      </c>
    </row>
    <row r="531" spans="1:25">
      <c r="A531" s="4">
        <v>100050027</v>
      </c>
      <c r="B531" s="4">
        <v>5</v>
      </c>
      <c r="C531" s="4" t="s">
        <v>1524</v>
      </c>
      <c r="I531" s="4" t="s">
        <v>1600</v>
      </c>
      <c r="K531" s="4" t="s">
        <v>1601</v>
      </c>
      <c r="P531" s="38"/>
      <c r="Q531" s="38">
        <v>2</v>
      </c>
      <c r="R531" s="38">
        <v>1440</v>
      </c>
      <c r="S531" t="b">
        <v>1</v>
      </c>
      <c r="T531" s="38">
        <v>300</v>
      </c>
      <c r="U531" s="50">
        <v>78027</v>
      </c>
      <c r="V531" s="50"/>
      <c r="W531" s="50"/>
      <c r="X531" s="50"/>
      <c r="Y531" s="4" t="s">
        <v>1602</v>
      </c>
    </row>
    <row r="532" spans="1:25">
      <c r="A532" s="4">
        <v>100050028</v>
      </c>
      <c r="B532" s="4">
        <v>5</v>
      </c>
      <c r="C532" s="4" t="s">
        <v>1524</v>
      </c>
      <c r="I532" s="4" t="s">
        <v>1603</v>
      </c>
      <c r="K532" s="4" t="s">
        <v>1604</v>
      </c>
      <c r="P532" s="38"/>
      <c r="Q532" s="38">
        <v>2</v>
      </c>
      <c r="R532" s="38">
        <v>1440</v>
      </c>
      <c r="S532" t="b">
        <v>1</v>
      </c>
      <c r="T532" s="38">
        <v>300</v>
      </c>
      <c r="U532" s="50">
        <v>78028</v>
      </c>
      <c r="V532" s="50"/>
      <c r="W532" s="50"/>
      <c r="X532" s="50"/>
      <c r="Y532" s="4" t="s">
        <v>1605</v>
      </c>
    </row>
    <row r="533" spans="1:25">
      <c r="A533" s="4">
        <v>100050029</v>
      </c>
      <c r="B533" s="4">
        <v>5</v>
      </c>
      <c r="C533" s="4" t="s">
        <v>1524</v>
      </c>
      <c r="I533" s="4" t="s">
        <v>1606</v>
      </c>
      <c r="K533" s="4" t="s">
        <v>1538</v>
      </c>
      <c r="P533" s="38"/>
      <c r="Q533" s="38">
        <v>3</v>
      </c>
      <c r="R533" s="38">
        <v>2880</v>
      </c>
      <c r="S533" t="b">
        <v>1</v>
      </c>
      <c r="T533" s="38">
        <v>300</v>
      </c>
      <c r="U533" s="50">
        <v>78029</v>
      </c>
      <c r="V533" s="50"/>
      <c r="W533" s="50"/>
      <c r="X533" s="50"/>
      <c r="Y533" s="4" t="s">
        <v>1607</v>
      </c>
    </row>
    <row r="534" spans="1:25">
      <c r="A534" s="4">
        <v>100050030</v>
      </c>
      <c r="B534" s="4">
        <v>5</v>
      </c>
      <c r="C534" s="4" t="s">
        <v>1524</v>
      </c>
      <c r="I534" s="4" t="s">
        <v>1608</v>
      </c>
      <c r="K534" s="4" t="s">
        <v>1609</v>
      </c>
      <c r="P534" s="38"/>
      <c r="Q534" s="38">
        <v>3</v>
      </c>
      <c r="R534" s="38">
        <v>2880</v>
      </c>
      <c r="S534" t="b">
        <v>1</v>
      </c>
      <c r="T534" s="38">
        <v>300</v>
      </c>
      <c r="U534" s="50">
        <v>78030</v>
      </c>
      <c r="V534" s="50"/>
      <c r="W534" s="50"/>
      <c r="X534" s="50"/>
      <c r="Y534" s="4" t="s">
        <v>1610</v>
      </c>
    </row>
    <row r="535" spans="1:25">
      <c r="A535" s="4">
        <v>100050031</v>
      </c>
      <c r="B535" s="4">
        <v>5</v>
      </c>
      <c r="C535" s="4" t="s">
        <v>1524</v>
      </c>
      <c r="I535" s="4" t="s">
        <v>1611</v>
      </c>
      <c r="K535" s="4" t="s">
        <v>1557</v>
      </c>
      <c r="P535" s="38"/>
      <c r="Q535" s="38">
        <v>3</v>
      </c>
      <c r="R535" s="38">
        <v>2880</v>
      </c>
      <c r="S535" t="b">
        <v>1</v>
      </c>
      <c r="T535" s="38">
        <v>300</v>
      </c>
      <c r="U535" s="50">
        <v>78031</v>
      </c>
      <c r="V535" s="50"/>
      <c r="W535" s="50"/>
      <c r="X535" s="50"/>
      <c r="Y535" s="4" t="s">
        <v>1612</v>
      </c>
    </row>
    <row r="536" spans="1:25">
      <c r="A536" s="4">
        <v>100050032</v>
      </c>
      <c r="B536" s="4">
        <v>5</v>
      </c>
      <c r="C536" s="4" t="s">
        <v>1524</v>
      </c>
      <c r="I536" s="4" t="s">
        <v>1613</v>
      </c>
      <c r="K536" s="4" t="s">
        <v>1526</v>
      </c>
      <c r="P536" s="38"/>
      <c r="Q536" s="38">
        <v>1</v>
      </c>
      <c r="R536" s="38">
        <v>120</v>
      </c>
      <c r="S536" t="b">
        <v>1</v>
      </c>
      <c r="T536" s="38">
        <v>300</v>
      </c>
      <c r="U536" s="50">
        <v>78032</v>
      </c>
      <c r="V536" s="50"/>
      <c r="W536" s="50"/>
      <c r="X536" s="50"/>
      <c r="Y536" s="4" t="s">
        <v>1614</v>
      </c>
    </row>
    <row r="537" spans="1:25">
      <c r="A537" s="4">
        <v>100050033</v>
      </c>
      <c r="B537" s="4">
        <v>5</v>
      </c>
      <c r="C537" s="4" t="s">
        <v>1524</v>
      </c>
      <c r="I537" s="4" t="s">
        <v>1615</v>
      </c>
      <c r="K537" s="4" t="s">
        <v>1547</v>
      </c>
      <c r="P537" s="38"/>
      <c r="Q537" s="38">
        <v>1</v>
      </c>
      <c r="R537" s="38">
        <v>120</v>
      </c>
      <c r="S537" t="b">
        <v>1</v>
      </c>
      <c r="T537" s="38">
        <v>300</v>
      </c>
      <c r="U537" s="50">
        <v>78033</v>
      </c>
      <c r="V537" s="50"/>
      <c r="W537" s="50"/>
      <c r="X537" s="50"/>
      <c r="Y537" s="4" t="s">
        <v>1616</v>
      </c>
    </row>
    <row r="538" spans="1:25">
      <c r="A538" s="4">
        <v>100050034</v>
      </c>
      <c r="B538" s="4">
        <v>5</v>
      </c>
      <c r="C538" s="4" t="s">
        <v>1524</v>
      </c>
      <c r="I538" s="4" t="s">
        <v>1617</v>
      </c>
      <c r="K538" s="4" t="s">
        <v>1598</v>
      </c>
      <c r="P538" s="38"/>
      <c r="Q538" s="38">
        <v>1</v>
      </c>
      <c r="R538" s="38">
        <v>120</v>
      </c>
      <c r="S538" t="b">
        <v>1</v>
      </c>
      <c r="T538" s="38">
        <v>300</v>
      </c>
      <c r="U538" s="50">
        <v>78034</v>
      </c>
      <c r="V538" s="50"/>
      <c r="W538" s="50"/>
      <c r="X538" s="50"/>
      <c r="Y538" s="4" t="s">
        <v>1618</v>
      </c>
    </row>
    <row r="539" spans="1:25">
      <c r="A539" s="4">
        <v>100050035</v>
      </c>
      <c r="B539" s="4">
        <v>5</v>
      </c>
      <c r="C539" s="4" t="s">
        <v>1524</v>
      </c>
      <c r="I539" s="4" t="s">
        <v>1619</v>
      </c>
      <c r="K539" s="4" t="s">
        <v>1550</v>
      </c>
      <c r="P539" s="38"/>
      <c r="Q539" s="38">
        <v>2</v>
      </c>
      <c r="R539" s="38">
        <v>1440</v>
      </c>
      <c r="S539" t="b">
        <v>1</v>
      </c>
      <c r="T539" s="38">
        <v>300</v>
      </c>
      <c r="U539" s="50">
        <v>78035</v>
      </c>
      <c r="V539" s="50"/>
      <c r="W539" s="50"/>
      <c r="X539" s="50"/>
      <c r="Y539" s="4" t="s">
        <v>1620</v>
      </c>
    </row>
    <row r="540" spans="1:25">
      <c r="A540" s="4">
        <v>100050036</v>
      </c>
      <c r="B540" s="4">
        <v>5</v>
      </c>
      <c r="C540" s="4" t="s">
        <v>1524</v>
      </c>
      <c r="I540" s="4" t="s">
        <v>1621</v>
      </c>
      <c r="K540" s="4" t="s">
        <v>1535</v>
      </c>
      <c r="P540" s="38"/>
      <c r="Q540" s="38">
        <v>2</v>
      </c>
      <c r="R540" s="38">
        <v>1440</v>
      </c>
      <c r="S540" t="b">
        <v>1</v>
      </c>
      <c r="T540" s="38">
        <v>300</v>
      </c>
      <c r="U540" s="50">
        <v>78036</v>
      </c>
      <c r="V540" s="50"/>
      <c r="W540" s="50"/>
      <c r="X540" s="50"/>
      <c r="Y540" s="4" t="s">
        <v>1622</v>
      </c>
    </row>
    <row r="541" spans="1:25">
      <c r="A541" s="4">
        <v>100050037</v>
      </c>
      <c r="B541" s="4">
        <v>5</v>
      </c>
      <c r="C541" s="4" t="s">
        <v>1524</v>
      </c>
      <c r="I541" s="4" t="s">
        <v>1623</v>
      </c>
      <c r="K541" s="4" t="s">
        <v>1538</v>
      </c>
      <c r="P541" s="38"/>
      <c r="Q541" s="38">
        <v>3</v>
      </c>
      <c r="R541" s="38">
        <v>2880</v>
      </c>
      <c r="S541" t="b">
        <v>1</v>
      </c>
      <c r="T541" s="38">
        <v>300</v>
      </c>
      <c r="U541" s="50">
        <v>78037</v>
      </c>
      <c r="V541" s="50"/>
      <c r="W541" s="50"/>
      <c r="X541" s="50"/>
      <c r="Y541" s="4" t="s">
        <v>1624</v>
      </c>
    </row>
    <row r="542" spans="1:25">
      <c r="A542" s="4">
        <v>100050038</v>
      </c>
      <c r="B542" s="4">
        <v>5</v>
      </c>
      <c r="C542" s="4" t="s">
        <v>1524</v>
      </c>
      <c r="I542" s="4" t="s">
        <v>1625</v>
      </c>
      <c r="K542" s="4" t="s">
        <v>1541</v>
      </c>
      <c r="P542" s="38"/>
      <c r="Q542" s="38">
        <v>3</v>
      </c>
      <c r="R542" s="38">
        <v>2880</v>
      </c>
      <c r="S542" t="b">
        <v>1</v>
      </c>
      <c r="T542" s="38">
        <v>300</v>
      </c>
      <c r="U542" s="50">
        <v>78038</v>
      </c>
      <c r="V542" s="50"/>
      <c r="W542" s="50"/>
      <c r="X542" s="50"/>
      <c r="Y542" s="4" t="s">
        <v>1626</v>
      </c>
    </row>
    <row r="543" spans="1:25">
      <c r="A543" s="4">
        <v>100050039</v>
      </c>
      <c r="B543" s="4">
        <v>5</v>
      </c>
      <c r="C543" s="4" t="s">
        <v>1524</v>
      </c>
      <c r="I543" s="4" t="s">
        <v>1627</v>
      </c>
      <c r="K543" s="4" t="s">
        <v>1547</v>
      </c>
      <c r="P543" s="38"/>
      <c r="Q543" s="38">
        <v>1</v>
      </c>
      <c r="R543" s="38">
        <v>120</v>
      </c>
      <c r="S543" t="b">
        <v>1</v>
      </c>
      <c r="T543" s="38">
        <v>300</v>
      </c>
      <c r="U543" s="50">
        <v>78039</v>
      </c>
      <c r="V543" s="50"/>
      <c r="W543" s="50"/>
      <c r="X543" s="50"/>
      <c r="Y543" s="4" t="s">
        <v>1628</v>
      </c>
    </row>
    <row r="544" spans="1:25">
      <c r="A544" s="4">
        <v>100050040</v>
      </c>
      <c r="B544" s="4">
        <v>5</v>
      </c>
      <c r="C544" s="4" t="s">
        <v>1524</v>
      </c>
      <c r="I544" s="4" t="s">
        <v>1629</v>
      </c>
      <c r="K544" s="4" t="s">
        <v>1598</v>
      </c>
      <c r="P544" s="38"/>
      <c r="Q544" s="38">
        <v>1</v>
      </c>
      <c r="R544" s="38">
        <v>120</v>
      </c>
      <c r="S544" t="b">
        <v>1</v>
      </c>
      <c r="T544" s="38">
        <v>300</v>
      </c>
      <c r="U544" s="50">
        <v>78040</v>
      </c>
      <c r="V544" s="50"/>
      <c r="W544" s="50"/>
      <c r="X544" s="50"/>
      <c r="Y544" s="4" t="s">
        <v>1630</v>
      </c>
    </row>
    <row r="545" spans="1:25">
      <c r="A545" s="4">
        <v>100050041</v>
      </c>
      <c r="B545" s="4">
        <v>5</v>
      </c>
      <c r="C545" s="4" t="s">
        <v>1524</v>
      </c>
      <c r="I545" s="4" t="s">
        <v>1631</v>
      </c>
      <c r="K545" s="4" t="s">
        <v>1550</v>
      </c>
      <c r="P545" s="38"/>
      <c r="Q545" s="38">
        <v>2</v>
      </c>
      <c r="R545" s="38">
        <v>2880</v>
      </c>
      <c r="S545" t="b">
        <v>1</v>
      </c>
      <c r="T545" s="38">
        <v>300</v>
      </c>
      <c r="U545" s="50">
        <v>78041</v>
      </c>
      <c r="V545" s="50"/>
      <c r="W545" s="50"/>
      <c r="X545" s="50"/>
      <c r="Y545" s="4" t="s">
        <v>1632</v>
      </c>
    </row>
    <row r="546" spans="1:25">
      <c r="A546" s="4">
        <v>100050042</v>
      </c>
      <c r="B546" s="4">
        <v>5</v>
      </c>
      <c r="C546" s="4" t="s">
        <v>1524</v>
      </c>
      <c r="I546" s="4" t="s">
        <v>1633</v>
      </c>
      <c r="K546" s="4" t="s">
        <v>1601</v>
      </c>
      <c r="P546" s="38"/>
      <c r="Q546" s="38">
        <v>2</v>
      </c>
      <c r="R546" s="38">
        <v>2880</v>
      </c>
      <c r="S546" t="b">
        <v>1</v>
      </c>
      <c r="T546" s="38">
        <v>300</v>
      </c>
      <c r="U546" s="50">
        <v>78042</v>
      </c>
      <c r="V546" s="50"/>
      <c r="W546" s="50"/>
      <c r="X546" s="50"/>
      <c r="Y546" s="4" t="s">
        <v>1634</v>
      </c>
    </row>
    <row r="547" spans="1:25">
      <c r="A547" s="4">
        <v>100050043</v>
      </c>
      <c r="B547" s="4">
        <v>5</v>
      </c>
      <c r="C547" s="4" t="s">
        <v>1524</v>
      </c>
      <c r="I547" s="4" t="s">
        <v>1635</v>
      </c>
      <c r="K547" s="4" t="s">
        <v>1535</v>
      </c>
      <c r="P547" s="38"/>
      <c r="Q547" s="38">
        <v>2</v>
      </c>
      <c r="R547" s="38">
        <v>2880</v>
      </c>
      <c r="S547" t="b">
        <v>1</v>
      </c>
      <c r="T547" s="38">
        <v>300</v>
      </c>
      <c r="U547" s="50">
        <v>78043</v>
      </c>
      <c r="V547" s="50"/>
      <c r="W547" s="50"/>
      <c r="X547" s="50"/>
      <c r="Y547" s="4" t="s">
        <v>1636</v>
      </c>
    </row>
    <row r="548" spans="1:25">
      <c r="A548" s="4">
        <v>100050044</v>
      </c>
      <c r="B548" s="4">
        <v>5</v>
      </c>
      <c r="C548" s="4" t="s">
        <v>1524</v>
      </c>
      <c r="I548" s="4" t="s">
        <v>1637</v>
      </c>
      <c r="K548" s="4" t="s">
        <v>1604</v>
      </c>
      <c r="P548" s="38"/>
      <c r="Q548" s="38">
        <v>3</v>
      </c>
      <c r="R548" s="38">
        <f>R539*3</f>
        <v>4320</v>
      </c>
      <c r="S548" t="b">
        <v>1</v>
      </c>
      <c r="T548" s="38">
        <v>300</v>
      </c>
      <c r="U548" s="50">
        <v>78044</v>
      </c>
      <c r="V548" s="50"/>
      <c r="W548" s="50"/>
      <c r="X548" s="50"/>
      <c r="Y548" s="4" t="s">
        <v>1638</v>
      </c>
    </row>
    <row r="549" spans="1:25">
      <c r="A549" s="4">
        <v>100050045</v>
      </c>
      <c r="B549" s="4">
        <v>5</v>
      </c>
      <c r="C549" s="4" t="s">
        <v>1524</v>
      </c>
      <c r="I549" s="4" t="s">
        <v>1639</v>
      </c>
      <c r="K549" s="4" t="s">
        <v>1640</v>
      </c>
      <c r="P549" s="38"/>
      <c r="Q549" s="38">
        <v>3</v>
      </c>
      <c r="R549" s="38">
        <f>R540*3</f>
        <v>4320</v>
      </c>
      <c r="S549" t="b">
        <v>1</v>
      </c>
      <c r="T549" s="38">
        <v>300</v>
      </c>
      <c r="U549" s="50">
        <v>78045</v>
      </c>
      <c r="V549" s="50"/>
      <c r="W549" s="50"/>
      <c r="X549" s="50"/>
      <c r="Y549" s="4" t="s">
        <v>1641</v>
      </c>
    </row>
    <row r="550" spans="1:25">
      <c r="A550" s="4">
        <v>100050046</v>
      </c>
      <c r="B550" s="4">
        <v>5</v>
      </c>
      <c r="C550" s="4" t="s">
        <v>1524</v>
      </c>
      <c r="I550" s="4" t="s">
        <v>1642</v>
      </c>
      <c r="K550" s="4" t="s">
        <v>1598</v>
      </c>
      <c r="P550" s="38"/>
      <c r="Q550" s="38">
        <v>1</v>
      </c>
      <c r="R550" s="38">
        <v>120</v>
      </c>
      <c r="S550" t="b">
        <v>1</v>
      </c>
      <c r="T550" s="38">
        <v>300</v>
      </c>
      <c r="U550" s="50">
        <v>78046</v>
      </c>
      <c r="V550" s="50"/>
      <c r="W550" s="50"/>
      <c r="X550" s="50"/>
      <c r="Y550" s="4" t="s">
        <v>1643</v>
      </c>
    </row>
    <row r="551" spans="1:25">
      <c r="A551" s="4">
        <v>100050047</v>
      </c>
      <c r="B551" s="4">
        <v>5</v>
      </c>
      <c r="C551" s="4" t="s">
        <v>1524</v>
      </c>
      <c r="I551" s="4" t="s">
        <v>1644</v>
      </c>
      <c r="K551" s="4" t="s">
        <v>1601</v>
      </c>
      <c r="P551" s="38"/>
      <c r="Q551" s="38">
        <v>1</v>
      </c>
      <c r="R551" s="38">
        <v>120</v>
      </c>
      <c r="S551" t="b">
        <v>1</v>
      </c>
      <c r="T551" s="38">
        <v>300</v>
      </c>
      <c r="U551" s="50">
        <v>78047</v>
      </c>
      <c r="V551" s="50"/>
      <c r="W551" s="50"/>
      <c r="X551" s="50"/>
      <c r="Y551" s="4" t="s">
        <v>1645</v>
      </c>
    </row>
    <row r="552" spans="1:25">
      <c r="A552" s="4">
        <v>100050048</v>
      </c>
      <c r="B552" s="4">
        <v>5</v>
      </c>
      <c r="C552" s="4" t="s">
        <v>1524</v>
      </c>
      <c r="I552" s="4" t="s">
        <v>1646</v>
      </c>
      <c r="K552" s="4" t="s">
        <v>1604</v>
      </c>
      <c r="P552" s="38"/>
      <c r="Q552" s="38">
        <v>2</v>
      </c>
      <c r="R552" s="38">
        <v>1440</v>
      </c>
      <c r="S552" t="b">
        <v>1</v>
      </c>
      <c r="T552" s="38">
        <v>300</v>
      </c>
      <c r="U552" s="50">
        <v>78048</v>
      </c>
      <c r="V552" s="50"/>
      <c r="W552" s="50"/>
      <c r="X552" s="50"/>
      <c r="Y552" s="4" t="s">
        <v>1647</v>
      </c>
    </row>
    <row r="553" spans="1:25">
      <c r="A553" s="4">
        <v>100050049</v>
      </c>
      <c r="B553" s="4">
        <v>5</v>
      </c>
      <c r="C553" s="4" t="s">
        <v>1524</v>
      </c>
      <c r="I553" s="4" t="s">
        <v>1648</v>
      </c>
      <c r="K553" s="4" t="s">
        <v>1649</v>
      </c>
      <c r="P553" s="38"/>
      <c r="Q553" s="38">
        <v>2</v>
      </c>
      <c r="R553" s="38">
        <v>1440</v>
      </c>
      <c r="S553" t="b">
        <v>1</v>
      </c>
      <c r="T553" s="38">
        <v>300</v>
      </c>
      <c r="U553" s="50">
        <v>78049</v>
      </c>
      <c r="V553" s="50"/>
      <c r="W553" s="50"/>
      <c r="X553" s="50"/>
      <c r="Y553" s="4" t="s">
        <v>1650</v>
      </c>
    </row>
    <row r="554" spans="1:25">
      <c r="A554" s="4">
        <v>100050050</v>
      </c>
      <c r="B554" s="4">
        <v>5</v>
      </c>
      <c r="C554" s="4" t="s">
        <v>1524</v>
      </c>
      <c r="I554" s="4" t="s">
        <v>1651</v>
      </c>
      <c r="K554" s="4" t="s">
        <v>1538</v>
      </c>
      <c r="P554" s="38"/>
      <c r="Q554" s="38">
        <v>3</v>
      </c>
      <c r="R554" s="38">
        <v>2880</v>
      </c>
      <c r="S554" t="b">
        <v>1</v>
      </c>
      <c r="T554" s="38">
        <v>300</v>
      </c>
      <c r="U554" s="50">
        <v>78050</v>
      </c>
      <c r="V554" s="50"/>
      <c r="W554" s="50"/>
      <c r="X554" s="50"/>
      <c r="Y554" s="4" t="s">
        <v>1652</v>
      </c>
    </row>
    <row r="555" spans="1:25">
      <c r="A555" s="4">
        <v>100050051</v>
      </c>
      <c r="B555" s="4">
        <v>5</v>
      </c>
      <c r="C555" s="4" t="s">
        <v>1524</v>
      </c>
      <c r="I555" s="4" t="s">
        <v>1653</v>
      </c>
      <c r="K555" s="4" t="s">
        <v>1654</v>
      </c>
      <c r="P555" s="38"/>
      <c r="Q555" s="38">
        <v>3</v>
      </c>
      <c r="R555" s="38">
        <v>2880</v>
      </c>
      <c r="S555" t="b">
        <v>1</v>
      </c>
      <c r="T555" s="38">
        <v>300</v>
      </c>
      <c r="U555" s="50">
        <v>78051</v>
      </c>
      <c r="V555" s="50"/>
      <c r="W555" s="50"/>
      <c r="X555" s="50"/>
      <c r="Y555" s="4" t="s">
        <v>1655</v>
      </c>
    </row>
    <row r="556" spans="1:25">
      <c r="A556" s="4">
        <v>100050052</v>
      </c>
      <c r="B556" s="4">
        <v>5</v>
      </c>
      <c r="C556" s="4" t="s">
        <v>1524</v>
      </c>
      <c r="I556" s="4" t="s">
        <v>1656</v>
      </c>
      <c r="K556" s="4" t="s">
        <v>1547</v>
      </c>
      <c r="P556" s="38"/>
      <c r="Q556" s="38">
        <v>1</v>
      </c>
      <c r="R556" s="38">
        <v>120</v>
      </c>
      <c r="S556" t="b">
        <v>1</v>
      </c>
      <c r="T556" s="38">
        <v>300</v>
      </c>
      <c r="U556" s="50">
        <v>78052</v>
      </c>
      <c r="V556" s="50"/>
      <c r="W556" s="50"/>
      <c r="X556" s="50"/>
      <c r="Y556" s="4" t="s">
        <v>1657</v>
      </c>
    </row>
    <row r="557" spans="1:25">
      <c r="A557" s="4">
        <v>100050053</v>
      </c>
      <c r="B557" s="4">
        <v>5</v>
      </c>
      <c r="C557" s="4" t="s">
        <v>1524</v>
      </c>
      <c r="I557" s="4" t="s">
        <v>1658</v>
      </c>
      <c r="K557" s="4" t="s">
        <v>1598</v>
      </c>
      <c r="P557" s="38"/>
      <c r="Q557" s="38">
        <v>1</v>
      </c>
      <c r="R557" s="38">
        <v>120</v>
      </c>
      <c r="S557" t="b">
        <v>1</v>
      </c>
      <c r="T557" s="38">
        <v>300</v>
      </c>
      <c r="U557" s="50">
        <v>78053</v>
      </c>
      <c r="V557" s="50"/>
      <c r="W557" s="50"/>
      <c r="X557" s="50"/>
      <c r="Y557" s="4" t="s">
        <v>1659</v>
      </c>
    </row>
    <row r="558" spans="1:25">
      <c r="A558" s="4">
        <v>100050054</v>
      </c>
      <c r="B558" s="4">
        <v>5</v>
      </c>
      <c r="C558" s="4" t="s">
        <v>1524</v>
      </c>
      <c r="I558" s="4" t="s">
        <v>1660</v>
      </c>
      <c r="K558" s="4" t="s">
        <v>1550</v>
      </c>
      <c r="P558" s="38"/>
      <c r="Q558" s="38">
        <v>2</v>
      </c>
      <c r="R558" s="38">
        <v>1440</v>
      </c>
      <c r="S558" t="b">
        <v>1</v>
      </c>
      <c r="T558" s="38">
        <v>300</v>
      </c>
      <c r="U558" s="50">
        <v>78054</v>
      </c>
      <c r="V558" s="50"/>
      <c r="W558" s="50"/>
      <c r="X558" s="50"/>
      <c r="Y558" s="4" t="s">
        <v>1661</v>
      </c>
    </row>
    <row r="559" spans="1:25">
      <c r="A559" s="4">
        <v>100050055</v>
      </c>
      <c r="B559" s="4">
        <v>5</v>
      </c>
      <c r="C559" s="4" t="s">
        <v>1524</v>
      </c>
      <c r="I559" s="4" t="s">
        <v>1662</v>
      </c>
      <c r="K559" s="4" t="s">
        <v>1601</v>
      </c>
      <c r="P559" s="38"/>
      <c r="Q559" s="38">
        <v>2</v>
      </c>
      <c r="R559" s="38">
        <v>1440</v>
      </c>
      <c r="S559" t="b">
        <v>1</v>
      </c>
      <c r="T559" s="38">
        <v>300</v>
      </c>
      <c r="U559" s="50">
        <v>78055</v>
      </c>
      <c r="V559" s="50"/>
      <c r="W559" s="50"/>
      <c r="X559" s="50"/>
      <c r="Y559" s="4" t="s">
        <v>1663</v>
      </c>
    </row>
    <row r="560" spans="1:25">
      <c r="A560" s="4">
        <v>100050056</v>
      </c>
      <c r="B560" s="4">
        <v>5</v>
      </c>
      <c r="C560" s="4" t="s">
        <v>1524</v>
      </c>
      <c r="I560" s="4" t="s">
        <v>1664</v>
      </c>
      <c r="K560" s="4" t="s">
        <v>1535</v>
      </c>
      <c r="P560" s="38"/>
      <c r="Q560" s="38">
        <v>3</v>
      </c>
      <c r="R560" s="38">
        <v>2880</v>
      </c>
      <c r="S560" t="b">
        <v>1</v>
      </c>
      <c r="T560" s="38">
        <v>300</v>
      </c>
      <c r="U560" s="50">
        <v>78056</v>
      </c>
      <c r="V560" s="50"/>
      <c r="W560" s="50"/>
      <c r="X560" s="50"/>
      <c r="Y560" s="4" t="s">
        <v>1665</v>
      </c>
    </row>
    <row r="561" spans="1:25">
      <c r="A561" s="4">
        <v>100050057</v>
      </c>
      <c r="B561" s="4">
        <v>5</v>
      </c>
      <c r="C561" s="4" t="s">
        <v>1524</v>
      </c>
      <c r="I561" s="4" t="s">
        <v>1666</v>
      </c>
      <c r="K561" s="4" t="s">
        <v>1604</v>
      </c>
      <c r="P561" s="38"/>
      <c r="Q561" s="38">
        <v>3</v>
      </c>
      <c r="R561" s="38">
        <v>2880</v>
      </c>
      <c r="S561" t="b">
        <v>1</v>
      </c>
      <c r="T561" s="38">
        <v>300</v>
      </c>
      <c r="U561" s="50">
        <v>78057</v>
      </c>
      <c r="V561" s="50"/>
      <c r="W561" s="50"/>
      <c r="X561" s="50"/>
      <c r="Y561" s="4" t="s">
        <v>1667</v>
      </c>
    </row>
    <row r="562" spans="1:25">
      <c r="A562" s="4">
        <v>100050058</v>
      </c>
      <c r="B562" s="4">
        <v>5</v>
      </c>
      <c r="C562" s="4" t="s">
        <v>1524</v>
      </c>
      <c r="I562" s="4" t="s">
        <v>1668</v>
      </c>
      <c r="K562" s="4" t="s">
        <v>1587</v>
      </c>
      <c r="P562" s="38"/>
      <c r="Q562" s="38">
        <v>1</v>
      </c>
      <c r="R562" s="38">
        <v>120</v>
      </c>
      <c r="S562" t="b">
        <v>1</v>
      </c>
      <c r="T562" s="38">
        <v>300</v>
      </c>
      <c r="U562" s="50">
        <v>78058</v>
      </c>
      <c r="V562" s="50"/>
      <c r="W562" s="50"/>
      <c r="X562" s="50"/>
      <c r="Y562" s="4" t="s">
        <v>1669</v>
      </c>
    </row>
    <row r="563" spans="1:25">
      <c r="A563" s="4">
        <v>100050059</v>
      </c>
      <c r="B563" s="4">
        <v>5</v>
      </c>
      <c r="C563" s="4" t="s">
        <v>1524</v>
      </c>
      <c r="I563" s="4" t="s">
        <v>1670</v>
      </c>
      <c r="K563" s="4" t="s">
        <v>1590</v>
      </c>
      <c r="P563" s="38"/>
      <c r="Q563" s="38">
        <v>1</v>
      </c>
      <c r="R563" s="38">
        <v>120</v>
      </c>
      <c r="S563" t="b">
        <v>1</v>
      </c>
      <c r="T563" s="38">
        <v>300</v>
      </c>
      <c r="U563" s="50">
        <v>78059</v>
      </c>
      <c r="V563" s="50"/>
      <c r="W563" s="50"/>
      <c r="X563" s="50"/>
      <c r="Y563" s="4" t="s">
        <v>1671</v>
      </c>
    </row>
    <row r="564" spans="1:25">
      <c r="A564" s="4">
        <v>100050060</v>
      </c>
      <c r="B564" s="4">
        <v>5</v>
      </c>
      <c r="C564" s="4" t="s">
        <v>1524</v>
      </c>
      <c r="I564" s="4" t="s">
        <v>1672</v>
      </c>
      <c r="K564" s="4" t="s">
        <v>1673</v>
      </c>
      <c r="P564" s="38"/>
      <c r="Q564" s="38">
        <v>1</v>
      </c>
      <c r="R564" s="38">
        <v>120</v>
      </c>
      <c r="S564" t="b">
        <v>1</v>
      </c>
      <c r="T564" s="38">
        <v>300</v>
      </c>
      <c r="U564" s="50">
        <v>78060</v>
      </c>
      <c r="V564" s="50"/>
      <c r="W564" s="50"/>
      <c r="X564" s="50"/>
      <c r="Y564" s="4" t="s">
        <v>1674</v>
      </c>
    </row>
    <row r="565" spans="1:25">
      <c r="A565" s="4">
        <v>100050061</v>
      </c>
      <c r="B565" s="4">
        <v>5</v>
      </c>
      <c r="C565" s="4" t="s">
        <v>1524</v>
      </c>
      <c r="I565" s="4" t="s">
        <v>1675</v>
      </c>
      <c r="K565" s="4" t="s">
        <v>1547</v>
      </c>
      <c r="P565" s="38"/>
      <c r="Q565" s="38">
        <v>1</v>
      </c>
      <c r="R565" s="38">
        <v>120</v>
      </c>
      <c r="S565" t="b">
        <v>1</v>
      </c>
      <c r="T565" s="38">
        <v>300</v>
      </c>
      <c r="U565" s="50">
        <v>78061</v>
      </c>
      <c r="V565" s="50"/>
      <c r="W565" s="50"/>
      <c r="X565" s="50"/>
      <c r="Y565" s="4" t="s">
        <v>1676</v>
      </c>
    </row>
    <row r="566" spans="1:25">
      <c r="A566" s="4">
        <v>100050062</v>
      </c>
      <c r="B566" s="4">
        <v>5</v>
      </c>
      <c r="C566" s="4" t="s">
        <v>1524</v>
      </c>
      <c r="I566" s="4" t="s">
        <v>1677</v>
      </c>
      <c r="K566" s="4" t="s">
        <v>1595</v>
      </c>
      <c r="P566" s="38"/>
      <c r="Q566" s="38">
        <v>2</v>
      </c>
      <c r="R566" s="38">
        <v>1440</v>
      </c>
      <c r="S566" t="b">
        <v>1</v>
      </c>
      <c r="T566" s="38">
        <v>300</v>
      </c>
      <c r="U566" s="50">
        <v>78062</v>
      </c>
      <c r="V566" s="50"/>
      <c r="W566" s="50"/>
      <c r="X566" s="50"/>
      <c r="Y566" s="4" t="s">
        <v>1678</v>
      </c>
    </row>
    <row r="567" spans="1:25">
      <c r="A567" s="4">
        <v>100050063</v>
      </c>
      <c r="B567" s="4">
        <v>5</v>
      </c>
      <c r="C567" s="4" t="s">
        <v>1524</v>
      </c>
      <c r="I567" s="4" t="s">
        <v>1679</v>
      </c>
      <c r="K567" s="4" t="s">
        <v>1598</v>
      </c>
      <c r="P567" s="38"/>
      <c r="Q567" s="38">
        <v>2</v>
      </c>
      <c r="R567" s="38">
        <v>1440</v>
      </c>
      <c r="S567" t="b">
        <v>1</v>
      </c>
      <c r="T567" s="38">
        <v>300</v>
      </c>
      <c r="U567" s="50">
        <v>78063</v>
      </c>
      <c r="V567" s="50"/>
      <c r="W567" s="50"/>
      <c r="X567" s="50"/>
      <c r="Y567" s="4" t="s">
        <v>1680</v>
      </c>
    </row>
    <row r="568" spans="1:25">
      <c r="A568" s="4">
        <v>100050064</v>
      </c>
      <c r="B568" s="4">
        <v>5</v>
      </c>
      <c r="C568" s="4" t="s">
        <v>1524</v>
      </c>
      <c r="I568" s="4" t="s">
        <v>1681</v>
      </c>
      <c r="K568" s="4" t="s">
        <v>1550</v>
      </c>
      <c r="P568" s="38"/>
      <c r="Q568" s="38">
        <v>2</v>
      </c>
      <c r="R568" s="38">
        <v>1440</v>
      </c>
      <c r="S568" t="b">
        <v>1</v>
      </c>
      <c r="T568" s="38">
        <v>300</v>
      </c>
      <c r="U568" s="50">
        <v>78064</v>
      </c>
      <c r="V568" s="50"/>
      <c r="W568" s="50"/>
      <c r="X568" s="50"/>
      <c r="Y568" s="4" t="s">
        <v>1682</v>
      </c>
    </row>
    <row r="569" spans="1:25">
      <c r="A569" s="4">
        <v>100050065</v>
      </c>
      <c r="B569" s="4">
        <v>5</v>
      </c>
      <c r="C569" s="4" t="s">
        <v>1524</v>
      </c>
      <c r="I569" s="4" t="s">
        <v>1683</v>
      </c>
      <c r="K569" s="4" t="s">
        <v>1601</v>
      </c>
      <c r="P569" s="38"/>
      <c r="Q569" s="38">
        <v>2</v>
      </c>
      <c r="R569" s="38">
        <v>1440</v>
      </c>
      <c r="S569" t="b">
        <v>1</v>
      </c>
      <c r="T569" s="38">
        <v>300</v>
      </c>
      <c r="U569" s="50">
        <v>78065</v>
      </c>
      <c r="V569" s="50"/>
      <c r="W569" s="50"/>
      <c r="X569" s="50"/>
      <c r="Y569" s="4" t="s">
        <v>1684</v>
      </c>
    </row>
    <row r="570" spans="1:25">
      <c r="A570" s="4">
        <v>100050066</v>
      </c>
      <c r="B570" s="4">
        <v>5</v>
      </c>
      <c r="C570" s="4" t="s">
        <v>1524</v>
      </c>
      <c r="I570" s="4" t="s">
        <v>1685</v>
      </c>
      <c r="K570" s="4" t="s">
        <v>1535</v>
      </c>
      <c r="P570" s="38"/>
      <c r="Q570" s="38">
        <v>3</v>
      </c>
      <c r="R570" s="38">
        <v>2880</v>
      </c>
      <c r="S570" t="b">
        <v>1</v>
      </c>
      <c r="T570" s="38">
        <v>300</v>
      </c>
      <c r="U570" s="50">
        <v>78066</v>
      </c>
      <c r="V570" s="50"/>
      <c r="W570" s="50"/>
      <c r="X570" s="50"/>
      <c r="Y570" s="4" t="s">
        <v>1686</v>
      </c>
    </row>
    <row r="571" spans="1:25">
      <c r="A571" s="4">
        <v>100050067</v>
      </c>
      <c r="B571" s="4">
        <v>5</v>
      </c>
      <c r="C571" s="4" t="s">
        <v>1524</v>
      </c>
      <c r="I571" s="4" t="s">
        <v>1687</v>
      </c>
      <c r="K571" s="4" t="s">
        <v>1604</v>
      </c>
      <c r="P571" s="38"/>
      <c r="Q571" s="38">
        <v>3</v>
      </c>
      <c r="R571" s="38">
        <v>2880</v>
      </c>
      <c r="S571" t="b">
        <v>1</v>
      </c>
      <c r="T571" s="38">
        <v>300</v>
      </c>
      <c r="U571" s="50">
        <v>78067</v>
      </c>
      <c r="V571" s="50"/>
      <c r="W571" s="50"/>
      <c r="X571" s="50"/>
      <c r="Y571" s="4" t="s">
        <v>1688</v>
      </c>
    </row>
    <row r="572" spans="1:25">
      <c r="A572" s="4">
        <v>100050068</v>
      </c>
      <c r="B572" s="4">
        <v>5</v>
      </c>
      <c r="C572" s="4" t="s">
        <v>1524</v>
      </c>
      <c r="I572" s="4" t="s">
        <v>1689</v>
      </c>
      <c r="K572" s="4" t="s">
        <v>1649</v>
      </c>
      <c r="P572" s="38"/>
      <c r="Q572" s="38">
        <v>3</v>
      </c>
      <c r="R572" s="38">
        <v>2880</v>
      </c>
      <c r="S572" t="b">
        <v>1</v>
      </c>
      <c r="T572" s="38">
        <v>300</v>
      </c>
      <c r="U572" s="50">
        <v>78068</v>
      </c>
      <c r="V572" s="50"/>
      <c r="W572" s="50"/>
      <c r="X572" s="50"/>
      <c r="Y572" s="4" t="s">
        <v>1690</v>
      </c>
    </row>
    <row r="573" spans="1:25">
      <c r="A573" s="4">
        <v>100050069</v>
      </c>
      <c r="B573" s="4">
        <v>5</v>
      </c>
      <c r="C573" s="4" t="s">
        <v>1524</v>
      </c>
      <c r="I573" s="4" t="s">
        <v>1691</v>
      </c>
      <c r="K573" s="4" t="s">
        <v>1538</v>
      </c>
      <c r="P573" s="38"/>
      <c r="Q573" s="38">
        <v>3</v>
      </c>
      <c r="R573" s="38">
        <v>2880</v>
      </c>
      <c r="S573" t="b">
        <v>1</v>
      </c>
      <c r="T573" s="38">
        <v>300</v>
      </c>
      <c r="U573" s="50">
        <v>78069</v>
      </c>
      <c r="V573" s="50"/>
      <c r="W573" s="50"/>
      <c r="X573" s="50"/>
      <c r="Y573" s="4" t="s">
        <v>1692</v>
      </c>
    </row>
    <row r="574" spans="1:25">
      <c r="A574" s="4">
        <v>100050070</v>
      </c>
      <c r="B574" s="4">
        <v>5</v>
      </c>
      <c r="C574" s="4" t="s">
        <v>1524</v>
      </c>
      <c r="I574" s="4" t="s">
        <v>1693</v>
      </c>
      <c r="K574" s="4" t="s">
        <v>1598</v>
      </c>
      <c r="P574" s="38"/>
      <c r="Q574" s="38">
        <v>1</v>
      </c>
      <c r="R574" s="38">
        <v>120</v>
      </c>
      <c r="S574" t="b">
        <v>1</v>
      </c>
      <c r="T574" s="38">
        <v>300</v>
      </c>
      <c r="U574" s="50">
        <v>78070</v>
      </c>
      <c r="V574" s="50"/>
      <c r="W574" s="50"/>
      <c r="X574" s="50"/>
      <c r="Y574" s="4" t="s">
        <v>1694</v>
      </c>
    </row>
    <row r="575" spans="1:25">
      <c r="A575" s="4">
        <v>100050071</v>
      </c>
      <c r="B575" s="4">
        <v>5</v>
      </c>
      <c r="C575" s="4" t="s">
        <v>1524</v>
      </c>
      <c r="I575" s="4" t="s">
        <v>1695</v>
      </c>
      <c r="K575" s="4" t="s">
        <v>1601</v>
      </c>
      <c r="P575" s="38"/>
      <c r="Q575" s="38">
        <v>1</v>
      </c>
      <c r="R575" s="38">
        <v>120</v>
      </c>
      <c r="S575" t="b">
        <v>1</v>
      </c>
      <c r="T575" s="38">
        <v>300</v>
      </c>
      <c r="U575" s="50">
        <v>78071</v>
      </c>
      <c r="V575" s="50"/>
      <c r="W575" s="50"/>
      <c r="X575" s="50"/>
      <c r="Y575" s="4" t="s">
        <v>1696</v>
      </c>
    </row>
    <row r="576" spans="1:25">
      <c r="A576" s="4">
        <v>100050072</v>
      </c>
      <c r="B576" s="4">
        <v>5</v>
      </c>
      <c r="C576" s="4" t="s">
        <v>1524</v>
      </c>
      <c r="I576" s="4" t="s">
        <v>1697</v>
      </c>
      <c r="K576" s="4" t="s">
        <v>1649</v>
      </c>
      <c r="P576" s="38"/>
      <c r="Q576" s="38">
        <v>2</v>
      </c>
      <c r="R576" s="38">
        <v>1440</v>
      </c>
      <c r="S576" t="b">
        <v>1</v>
      </c>
      <c r="T576" s="38">
        <v>300</v>
      </c>
      <c r="U576" s="50">
        <v>78072</v>
      </c>
      <c r="V576" s="50"/>
      <c r="W576" s="50"/>
      <c r="X576" s="50"/>
      <c r="Y576" s="4" t="s">
        <v>1698</v>
      </c>
    </row>
    <row r="577" spans="1:25">
      <c r="A577" s="4">
        <v>100050073</v>
      </c>
      <c r="B577" s="4">
        <v>5</v>
      </c>
      <c r="C577" s="4" t="s">
        <v>1524</v>
      </c>
      <c r="I577" s="4" t="s">
        <v>1699</v>
      </c>
      <c r="K577" s="4" t="s">
        <v>1654</v>
      </c>
      <c r="P577" s="38"/>
      <c r="Q577" s="38">
        <v>2</v>
      </c>
      <c r="R577" s="38">
        <v>1440</v>
      </c>
      <c r="S577" t="b">
        <v>1</v>
      </c>
      <c r="T577" s="38">
        <v>300</v>
      </c>
      <c r="U577" s="50">
        <v>78073</v>
      </c>
      <c r="V577" s="50"/>
      <c r="W577" s="50"/>
      <c r="X577" s="50"/>
      <c r="Y577" s="4" t="s">
        <v>1700</v>
      </c>
    </row>
    <row r="578" spans="1:25">
      <c r="A578" s="4">
        <v>100050074</v>
      </c>
      <c r="B578" s="4">
        <v>5</v>
      </c>
      <c r="C578" s="4" t="s">
        <v>1524</v>
      </c>
      <c r="I578" s="4" t="s">
        <v>1701</v>
      </c>
      <c r="K578" s="4" t="s">
        <v>1557</v>
      </c>
      <c r="P578" s="38"/>
      <c r="Q578" s="38">
        <v>3</v>
      </c>
      <c r="R578" s="38">
        <v>2880</v>
      </c>
      <c r="S578" t="b">
        <v>1</v>
      </c>
      <c r="T578" s="38">
        <v>300</v>
      </c>
      <c r="U578" s="50">
        <v>78074</v>
      </c>
      <c r="V578" s="50"/>
      <c r="W578" s="50"/>
      <c r="X578" s="50"/>
      <c r="Y578" s="4" t="s">
        <v>1702</v>
      </c>
    </row>
    <row r="579" spans="1:25">
      <c r="A579" s="4">
        <v>100050075</v>
      </c>
      <c r="B579" s="4">
        <v>5</v>
      </c>
      <c r="C579" s="4" t="s">
        <v>1524</v>
      </c>
      <c r="I579" s="4" t="s">
        <v>1703</v>
      </c>
      <c r="K579" s="4" t="s">
        <v>1704</v>
      </c>
      <c r="P579" s="38"/>
      <c r="Q579" s="38">
        <v>3</v>
      </c>
      <c r="R579" s="38">
        <v>2880</v>
      </c>
      <c r="S579" t="b">
        <v>1</v>
      </c>
      <c r="T579" s="38">
        <v>300</v>
      </c>
      <c r="U579" s="50">
        <v>78075</v>
      </c>
      <c r="V579" s="50"/>
      <c r="W579" s="50"/>
      <c r="X579" s="50"/>
      <c r="Y579" s="4" t="s">
        <v>1705</v>
      </c>
    </row>
    <row r="580" spans="1:25">
      <c r="A580" s="4">
        <v>100060001</v>
      </c>
      <c r="B580" s="4">
        <v>6</v>
      </c>
      <c r="C580" s="4" t="s">
        <v>1706</v>
      </c>
      <c r="I580" s="1" t="s">
        <v>1707</v>
      </c>
      <c r="K580" s="4" t="s">
        <v>1708</v>
      </c>
      <c r="P580" s="38"/>
      <c r="Q580" s="38">
        <v>1</v>
      </c>
      <c r="R580" s="38"/>
      <c r="S580" t="b">
        <v>0</v>
      </c>
      <c r="T580" s="38"/>
      <c r="U580" s="61">
        <v>79001</v>
      </c>
      <c r="V580" s="38">
        <v>1</v>
      </c>
      <c r="Y580" s="4" t="s">
        <v>1709</v>
      </c>
    </row>
    <row r="581" spans="1:25">
      <c r="A581" s="4">
        <v>100060002</v>
      </c>
      <c r="B581" s="4">
        <v>6</v>
      </c>
      <c r="C581" s="4" t="s">
        <v>1706</v>
      </c>
      <c r="I581" s="1" t="s">
        <v>1710</v>
      </c>
      <c r="K581" s="4" t="s">
        <v>1711</v>
      </c>
      <c r="Q581" s="50">
        <v>2</v>
      </c>
      <c r="S581" t="b">
        <v>0</v>
      </c>
      <c r="U581" s="61">
        <v>79002</v>
      </c>
      <c r="V581" s="38">
        <v>1</v>
      </c>
      <c r="Y581" s="4" t="s">
        <v>1712</v>
      </c>
    </row>
    <row r="582" spans="1:25">
      <c r="A582" s="4">
        <v>100060003</v>
      </c>
      <c r="B582" s="4">
        <v>6</v>
      </c>
      <c r="C582" s="4" t="s">
        <v>1706</v>
      </c>
      <c r="I582" s="1" t="s">
        <v>1713</v>
      </c>
      <c r="K582" s="4" t="s">
        <v>1714</v>
      </c>
      <c r="Q582" s="50">
        <v>3</v>
      </c>
      <c r="S582" t="b">
        <v>0</v>
      </c>
      <c r="U582" s="61">
        <v>79003</v>
      </c>
      <c r="V582" s="38">
        <v>1</v>
      </c>
      <c r="Y582" s="4" t="s">
        <v>1715</v>
      </c>
    </row>
    <row r="583" spans="1:25">
      <c r="A583" s="4">
        <v>100060004</v>
      </c>
      <c r="B583" s="4">
        <v>6</v>
      </c>
      <c r="C583" s="4" t="s">
        <v>1706</v>
      </c>
      <c r="I583" s="1" t="s">
        <v>1716</v>
      </c>
      <c r="K583" s="4" t="s">
        <v>1708</v>
      </c>
      <c r="Q583" s="38">
        <v>1</v>
      </c>
      <c r="S583" t="b">
        <v>0</v>
      </c>
      <c r="U583" s="61">
        <v>79004</v>
      </c>
      <c r="V583" s="38">
        <v>1</v>
      </c>
      <c r="Y583" s="4" t="s">
        <v>1717</v>
      </c>
    </row>
    <row r="584" spans="1:25">
      <c r="A584" s="4">
        <v>100060005</v>
      </c>
      <c r="B584" s="4">
        <v>6</v>
      </c>
      <c r="C584" s="4" t="s">
        <v>1706</v>
      </c>
      <c r="I584" s="1" t="s">
        <v>1718</v>
      </c>
      <c r="K584" s="4" t="s">
        <v>1711</v>
      </c>
      <c r="Q584" s="50">
        <v>2</v>
      </c>
      <c r="S584" t="b">
        <v>0</v>
      </c>
      <c r="U584" s="61">
        <v>79005</v>
      </c>
      <c r="V584" s="38">
        <v>1</v>
      </c>
      <c r="Y584" s="4" t="s">
        <v>1719</v>
      </c>
    </row>
    <row r="585" spans="1:25">
      <c r="A585" s="4">
        <v>100060006</v>
      </c>
      <c r="B585" s="4">
        <v>6</v>
      </c>
      <c r="C585" s="4" t="s">
        <v>1706</v>
      </c>
      <c r="I585" s="1" t="s">
        <v>1720</v>
      </c>
      <c r="K585" s="4" t="s">
        <v>1714</v>
      </c>
      <c r="Q585" s="50">
        <v>3</v>
      </c>
      <c r="S585" t="b">
        <v>0</v>
      </c>
      <c r="U585" s="61">
        <v>79006</v>
      </c>
      <c r="V585" s="38">
        <v>1</v>
      </c>
      <c r="Y585" s="4" t="s">
        <v>1721</v>
      </c>
    </row>
    <row r="586" spans="1:25">
      <c r="A586" s="4">
        <v>100060007</v>
      </c>
      <c r="B586" s="4">
        <v>6</v>
      </c>
      <c r="C586" s="4" t="s">
        <v>1706</v>
      </c>
      <c r="I586" s="1" t="s">
        <v>1722</v>
      </c>
      <c r="K586" s="4" t="s">
        <v>1708</v>
      </c>
      <c r="Q586" s="38">
        <v>1</v>
      </c>
      <c r="S586" t="b">
        <v>0</v>
      </c>
      <c r="U586" s="61">
        <v>79007</v>
      </c>
      <c r="V586" s="38">
        <v>1</v>
      </c>
      <c r="Y586" s="4" t="s">
        <v>1723</v>
      </c>
    </row>
    <row r="587" spans="1:25">
      <c r="A587" s="4">
        <v>100060008</v>
      </c>
      <c r="B587" s="4">
        <v>6</v>
      </c>
      <c r="C587" s="4" t="s">
        <v>1706</v>
      </c>
      <c r="I587" s="1" t="s">
        <v>1724</v>
      </c>
      <c r="K587" s="4" t="s">
        <v>1711</v>
      </c>
      <c r="Q587" s="50">
        <v>2</v>
      </c>
      <c r="S587" t="b">
        <v>0</v>
      </c>
      <c r="U587" s="61">
        <v>79008</v>
      </c>
      <c r="V587" s="38">
        <v>1</v>
      </c>
      <c r="Y587" s="4" t="s">
        <v>1725</v>
      </c>
    </row>
    <row r="588" spans="1:25">
      <c r="A588" s="4">
        <v>100060009</v>
      </c>
      <c r="B588" s="4">
        <v>6</v>
      </c>
      <c r="C588" s="4" t="s">
        <v>1706</v>
      </c>
      <c r="I588" s="1" t="s">
        <v>1726</v>
      </c>
      <c r="K588" s="4" t="s">
        <v>1714</v>
      </c>
      <c r="Q588" s="50">
        <v>3</v>
      </c>
      <c r="S588" t="b">
        <v>0</v>
      </c>
      <c r="U588" s="61">
        <v>79009</v>
      </c>
      <c r="V588" s="38">
        <v>1</v>
      </c>
      <c r="Y588" s="4" t="s">
        <v>1727</v>
      </c>
    </row>
    <row r="589" spans="1:25">
      <c r="A589" s="4">
        <v>100060010</v>
      </c>
      <c r="B589" s="4">
        <v>6</v>
      </c>
      <c r="C589" s="4" t="s">
        <v>1706</v>
      </c>
      <c r="I589" s="1" t="s">
        <v>1728</v>
      </c>
      <c r="K589" s="4" t="s">
        <v>1708</v>
      </c>
      <c r="Q589" s="38">
        <v>1</v>
      </c>
      <c r="S589" t="b">
        <v>0</v>
      </c>
      <c r="U589" s="61">
        <v>79010</v>
      </c>
      <c r="V589" s="50">
        <v>2</v>
      </c>
      <c r="Y589" s="4" t="s">
        <v>1729</v>
      </c>
    </row>
    <row r="590" spans="1:25">
      <c r="A590" s="4">
        <v>100060011</v>
      </c>
      <c r="B590" s="4">
        <v>6</v>
      </c>
      <c r="C590" s="4" t="s">
        <v>1706</v>
      </c>
      <c r="I590" s="1" t="s">
        <v>1730</v>
      </c>
      <c r="K590" s="4" t="s">
        <v>1711</v>
      </c>
      <c r="Q590" s="50">
        <v>2</v>
      </c>
      <c r="S590" t="b">
        <v>0</v>
      </c>
      <c r="U590" s="61">
        <v>79011</v>
      </c>
      <c r="V590" s="50">
        <v>2</v>
      </c>
      <c r="Y590" s="4" t="s">
        <v>1731</v>
      </c>
    </row>
    <row r="591" spans="1:25">
      <c r="A591" s="4">
        <v>100060012</v>
      </c>
      <c r="B591" s="4">
        <v>6</v>
      </c>
      <c r="C591" s="4" t="s">
        <v>1706</v>
      </c>
      <c r="I591" s="1" t="s">
        <v>1732</v>
      </c>
      <c r="K591" s="4" t="s">
        <v>1714</v>
      </c>
      <c r="Q591" s="50">
        <v>3</v>
      </c>
      <c r="S591" t="b">
        <v>0</v>
      </c>
      <c r="U591" s="61">
        <v>79012</v>
      </c>
      <c r="V591" s="50">
        <v>2</v>
      </c>
      <c r="Y591" s="4" t="s">
        <v>1733</v>
      </c>
    </row>
    <row r="592" spans="1:25">
      <c r="A592" s="4">
        <v>100060013</v>
      </c>
      <c r="B592" s="4">
        <v>6</v>
      </c>
      <c r="C592" s="4" t="s">
        <v>1706</v>
      </c>
      <c r="I592" s="1" t="s">
        <v>1734</v>
      </c>
      <c r="K592" s="4" t="s">
        <v>1708</v>
      </c>
      <c r="Q592" s="38">
        <v>1</v>
      </c>
      <c r="S592" t="b">
        <v>0</v>
      </c>
      <c r="U592" s="61">
        <v>79013</v>
      </c>
      <c r="V592" s="50">
        <v>2</v>
      </c>
      <c r="Y592" s="4" t="s">
        <v>1735</v>
      </c>
    </row>
    <row r="593" spans="1:25">
      <c r="A593" s="4">
        <v>100060014</v>
      </c>
      <c r="B593" s="4">
        <v>6</v>
      </c>
      <c r="C593" s="4" t="s">
        <v>1706</v>
      </c>
      <c r="I593" s="1" t="s">
        <v>1736</v>
      </c>
      <c r="K593" s="4" t="s">
        <v>1711</v>
      </c>
      <c r="Q593" s="50">
        <v>2</v>
      </c>
      <c r="S593" t="b">
        <v>0</v>
      </c>
      <c r="U593" s="61">
        <v>79014</v>
      </c>
      <c r="V593" s="50">
        <v>2</v>
      </c>
      <c r="Y593" s="4" t="s">
        <v>1737</v>
      </c>
    </row>
    <row r="594" spans="1:25">
      <c r="A594" s="4">
        <v>100060015</v>
      </c>
      <c r="B594" s="4">
        <v>6</v>
      </c>
      <c r="C594" s="4" t="s">
        <v>1706</v>
      </c>
      <c r="I594" s="1" t="s">
        <v>1738</v>
      </c>
      <c r="K594" s="4" t="s">
        <v>1714</v>
      </c>
      <c r="Q594" s="50">
        <v>3</v>
      </c>
      <c r="S594" t="b">
        <v>0</v>
      </c>
      <c r="U594" s="61">
        <v>79015</v>
      </c>
      <c r="V594" s="50">
        <v>2</v>
      </c>
      <c r="Y594" s="4" t="s">
        <v>1739</v>
      </c>
    </row>
    <row r="595" spans="1:25">
      <c r="A595" s="4">
        <v>100060016</v>
      </c>
      <c r="B595" s="4">
        <v>6</v>
      </c>
      <c r="C595" s="4" t="s">
        <v>1706</v>
      </c>
      <c r="I595" s="1" t="s">
        <v>1740</v>
      </c>
      <c r="K595" s="4" t="s">
        <v>1708</v>
      </c>
      <c r="Q595" s="38">
        <v>1</v>
      </c>
      <c r="S595" t="b">
        <v>0</v>
      </c>
      <c r="U595" s="61">
        <v>79016</v>
      </c>
      <c r="V595" s="50">
        <v>2</v>
      </c>
      <c r="Y595" s="4" t="s">
        <v>1741</v>
      </c>
    </row>
    <row r="596" spans="1:25">
      <c r="A596" s="4">
        <v>100060017</v>
      </c>
      <c r="B596" s="4">
        <v>6</v>
      </c>
      <c r="C596" s="4" t="s">
        <v>1706</v>
      </c>
      <c r="I596" s="1" t="s">
        <v>1742</v>
      </c>
      <c r="K596" s="4" t="s">
        <v>1711</v>
      </c>
      <c r="Q596" s="50">
        <v>2</v>
      </c>
      <c r="S596" t="b">
        <v>0</v>
      </c>
      <c r="U596" s="61">
        <v>79017</v>
      </c>
      <c r="V596" s="50">
        <v>2</v>
      </c>
      <c r="Y596" s="4" t="s">
        <v>1743</v>
      </c>
    </row>
    <row r="597" spans="1:25">
      <c r="A597" s="4">
        <v>100060018</v>
      </c>
      <c r="B597" s="4">
        <v>6</v>
      </c>
      <c r="C597" s="4" t="s">
        <v>1706</v>
      </c>
      <c r="I597" s="1" t="s">
        <v>1744</v>
      </c>
      <c r="K597" s="4" t="s">
        <v>1714</v>
      </c>
      <c r="Q597" s="50">
        <v>3</v>
      </c>
      <c r="S597" t="b">
        <v>0</v>
      </c>
      <c r="U597" s="61">
        <v>79018</v>
      </c>
      <c r="V597" s="50">
        <v>2</v>
      </c>
      <c r="Y597" s="4" t="s">
        <v>1745</v>
      </c>
    </row>
    <row r="598" ht="17.25" spans="1:25">
      <c r="A598" s="4">
        <v>100060019</v>
      </c>
      <c r="B598" s="4">
        <v>6</v>
      </c>
      <c r="C598" s="4" t="s">
        <v>1706</v>
      </c>
      <c r="I598" s="1" t="s">
        <v>1713</v>
      </c>
      <c r="K598" s="4" t="s">
        <v>1708</v>
      </c>
      <c r="Q598" s="38">
        <v>1</v>
      </c>
      <c r="S598" t="b">
        <v>0</v>
      </c>
      <c r="U598" s="61">
        <v>79019</v>
      </c>
      <c r="V598" s="50">
        <v>3</v>
      </c>
      <c r="Y598" s="4" t="s">
        <v>1746</v>
      </c>
    </row>
    <row r="599" ht="17.25" spans="1:25">
      <c r="A599" s="4">
        <v>100060020</v>
      </c>
      <c r="B599" s="4">
        <v>6</v>
      </c>
      <c r="C599" s="4" t="s">
        <v>1706</v>
      </c>
      <c r="I599" s="1" t="s">
        <v>1747</v>
      </c>
      <c r="K599" s="4" t="s">
        <v>1711</v>
      </c>
      <c r="Q599" s="50">
        <v>2</v>
      </c>
      <c r="S599" t="b">
        <v>0</v>
      </c>
      <c r="U599" s="61">
        <v>79020</v>
      </c>
      <c r="V599" s="50">
        <v>3</v>
      </c>
      <c r="Y599" s="4" t="s">
        <v>1748</v>
      </c>
    </row>
    <row r="600" spans="1:25">
      <c r="A600" s="4">
        <v>100060021</v>
      </c>
      <c r="B600" s="4">
        <v>6</v>
      </c>
      <c r="C600" s="4" t="s">
        <v>1706</v>
      </c>
      <c r="I600" s="1" t="s">
        <v>1749</v>
      </c>
      <c r="K600" s="4" t="s">
        <v>1714</v>
      </c>
      <c r="Q600" s="50">
        <v>3</v>
      </c>
      <c r="S600" t="b">
        <v>0</v>
      </c>
      <c r="U600" s="61">
        <v>79021</v>
      </c>
      <c r="V600" s="50">
        <v>3</v>
      </c>
      <c r="Y600" s="4" t="s">
        <v>1750</v>
      </c>
    </row>
    <row r="601" ht="17.25" spans="1:25">
      <c r="A601" s="4">
        <v>100060022</v>
      </c>
      <c r="B601" s="4">
        <v>6</v>
      </c>
      <c r="C601" s="4" t="s">
        <v>1706</v>
      </c>
      <c r="I601" s="1" t="s">
        <v>1751</v>
      </c>
      <c r="K601" s="4" t="s">
        <v>1708</v>
      </c>
      <c r="Q601" s="38">
        <v>1</v>
      </c>
      <c r="S601" t="b">
        <v>0</v>
      </c>
      <c r="U601" s="61">
        <v>79022</v>
      </c>
      <c r="V601" s="50">
        <v>3</v>
      </c>
      <c r="Y601" s="4" t="s">
        <v>1752</v>
      </c>
    </row>
    <row r="602" ht="17.25" spans="1:25">
      <c r="A602" s="4">
        <v>100060023</v>
      </c>
      <c r="B602" s="4">
        <v>6</v>
      </c>
      <c r="C602" s="4" t="s">
        <v>1706</v>
      </c>
      <c r="I602" s="1" t="s">
        <v>1753</v>
      </c>
      <c r="K602" s="4" t="s">
        <v>1711</v>
      </c>
      <c r="Q602" s="50">
        <v>2</v>
      </c>
      <c r="S602" t="b">
        <v>0</v>
      </c>
      <c r="U602" s="61">
        <v>79023</v>
      </c>
      <c r="V602" s="50">
        <v>3</v>
      </c>
      <c r="Y602" s="4" t="s">
        <v>1754</v>
      </c>
    </row>
    <row r="603" ht="17.25" spans="1:25">
      <c r="A603" s="4">
        <v>100060024</v>
      </c>
      <c r="B603" s="4">
        <v>6</v>
      </c>
      <c r="C603" s="4" t="s">
        <v>1706</v>
      </c>
      <c r="I603" s="1" t="s">
        <v>1755</v>
      </c>
      <c r="K603" s="4" t="s">
        <v>1714</v>
      </c>
      <c r="Q603" s="50">
        <v>3</v>
      </c>
      <c r="S603" t="b">
        <v>0</v>
      </c>
      <c r="U603" s="61">
        <v>79024</v>
      </c>
      <c r="V603" s="50">
        <v>3</v>
      </c>
      <c r="Y603" s="4" t="s">
        <v>1756</v>
      </c>
    </row>
    <row r="604" spans="1:25">
      <c r="A604" s="4">
        <v>100060025</v>
      </c>
      <c r="B604" s="4">
        <v>6</v>
      </c>
      <c r="C604" s="4" t="s">
        <v>1706</v>
      </c>
      <c r="I604" s="1" t="s">
        <v>1757</v>
      </c>
      <c r="K604" s="4" t="s">
        <v>1708</v>
      </c>
      <c r="Q604" s="38">
        <v>1</v>
      </c>
      <c r="S604" t="b">
        <v>0</v>
      </c>
      <c r="U604" s="61">
        <v>79025</v>
      </c>
      <c r="V604" s="50">
        <v>3</v>
      </c>
      <c r="Y604" s="4" t="s">
        <v>1694</v>
      </c>
    </row>
    <row r="605" spans="1:25">
      <c r="A605" s="4">
        <v>100060026</v>
      </c>
      <c r="B605" s="4">
        <v>6</v>
      </c>
      <c r="C605" s="4" t="s">
        <v>1706</v>
      </c>
      <c r="I605" s="1" t="s">
        <v>1758</v>
      </c>
      <c r="K605" s="4" t="s">
        <v>1711</v>
      </c>
      <c r="Q605" s="50">
        <v>2</v>
      </c>
      <c r="S605" t="b">
        <v>0</v>
      </c>
      <c r="U605" s="61">
        <v>79026</v>
      </c>
      <c r="V605" s="50">
        <v>3</v>
      </c>
      <c r="Y605" s="4" t="s">
        <v>1696</v>
      </c>
    </row>
    <row r="606" spans="1:25">
      <c r="A606" s="4">
        <v>100060027</v>
      </c>
      <c r="B606" s="4">
        <v>6</v>
      </c>
      <c r="C606" s="4" t="s">
        <v>1706</v>
      </c>
      <c r="I606" s="1" t="s">
        <v>1759</v>
      </c>
      <c r="K606" s="4" t="s">
        <v>1714</v>
      </c>
      <c r="Q606" s="50">
        <v>3</v>
      </c>
      <c r="S606" t="b">
        <v>0</v>
      </c>
      <c r="U606" s="61">
        <v>79027</v>
      </c>
      <c r="V606" s="50">
        <v>3</v>
      </c>
      <c r="Y606" s="4" t="s">
        <v>1698</v>
      </c>
    </row>
    <row r="607" spans="1:25">
      <c r="A607" s="4">
        <v>100070101</v>
      </c>
      <c r="B607" s="4">
        <v>7</v>
      </c>
      <c r="C607" s="4" t="s">
        <v>1760</v>
      </c>
      <c r="D607" s="4">
        <v>1</v>
      </c>
      <c r="E607" s="4" t="s">
        <v>1761</v>
      </c>
      <c r="F607" s="4">
        <v>70101</v>
      </c>
      <c r="H607" s="4">
        <f>A608</f>
        <v>100070102</v>
      </c>
      <c r="I607" s="4" t="s">
        <v>1762</v>
      </c>
      <c r="K607" s="4" t="s">
        <v>1763</v>
      </c>
      <c r="N607" s="38">
        <v>3201</v>
      </c>
      <c r="Q607" s="50">
        <v>1</v>
      </c>
      <c r="U607" s="61">
        <v>76001</v>
      </c>
      <c r="Y607" s="4" t="s">
        <v>1764</v>
      </c>
    </row>
    <row r="608" spans="1:25">
      <c r="A608" s="4">
        <v>100070102</v>
      </c>
      <c r="B608" s="4">
        <v>7</v>
      </c>
      <c r="C608" s="4" t="s">
        <v>1760</v>
      </c>
      <c r="D608" s="4">
        <v>1</v>
      </c>
      <c r="E608" s="4" t="s">
        <v>1761</v>
      </c>
      <c r="F608" s="4">
        <v>70101</v>
      </c>
      <c r="H608" s="4">
        <f>A609</f>
        <v>100070103</v>
      </c>
      <c r="I608" s="4" t="s">
        <v>1765</v>
      </c>
      <c r="K608" s="4" t="s">
        <v>1766</v>
      </c>
      <c r="N608" s="38">
        <v>3201</v>
      </c>
      <c r="Q608" s="50">
        <v>1</v>
      </c>
      <c r="U608" s="61">
        <v>76001</v>
      </c>
      <c r="Y608" s="4" t="s">
        <v>1767</v>
      </c>
    </row>
    <row r="609" spans="1:25">
      <c r="A609" s="4">
        <v>100070103</v>
      </c>
      <c r="B609" s="4">
        <v>7</v>
      </c>
      <c r="C609" s="4" t="s">
        <v>1760</v>
      </c>
      <c r="D609" s="4">
        <v>1</v>
      </c>
      <c r="E609" s="4" t="s">
        <v>1761</v>
      </c>
      <c r="F609" s="4">
        <v>70101</v>
      </c>
      <c r="H609" s="4">
        <f>A610</f>
        <v>100070104</v>
      </c>
      <c r="I609" s="4" t="s">
        <v>1768</v>
      </c>
      <c r="K609" s="4" t="s">
        <v>1769</v>
      </c>
      <c r="N609" s="38">
        <v>3201</v>
      </c>
      <c r="Q609" s="50">
        <v>1</v>
      </c>
      <c r="U609" s="61">
        <v>76001</v>
      </c>
      <c r="Y609" s="4" t="s">
        <v>1770</v>
      </c>
    </row>
    <row r="610" spans="1:25">
      <c r="A610" s="4">
        <v>100070104</v>
      </c>
      <c r="B610" s="4">
        <v>7</v>
      </c>
      <c r="C610" s="4" t="s">
        <v>1760</v>
      </c>
      <c r="D610" s="4">
        <v>1</v>
      </c>
      <c r="E610" s="4" t="s">
        <v>1761</v>
      </c>
      <c r="F610" s="4">
        <v>70101</v>
      </c>
      <c r="H610" s="4">
        <f>A611</f>
        <v>100070105</v>
      </c>
      <c r="I610" s="4" t="s">
        <v>1771</v>
      </c>
      <c r="K610" s="4" t="s">
        <v>1772</v>
      </c>
      <c r="N610" s="38">
        <v>3201</v>
      </c>
      <c r="Q610" s="50">
        <v>1</v>
      </c>
      <c r="U610" s="61">
        <v>76001</v>
      </c>
      <c r="Y610" s="4" t="s">
        <v>1773</v>
      </c>
    </row>
    <row r="611" spans="1:25">
      <c r="A611" s="4">
        <v>100070105</v>
      </c>
      <c r="B611" s="4">
        <v>7</v>
      </c>
      <c r="C611" s="4" t="s">
        <v>1760</v>
      </c>
      <c r="D611" s="4">
        <v>1</v>
      </c>
      <c r="E611" s="4" t="s">
        <v>1761</v>
      </c>
      <c r="F611" s="4">
        <v>70101</v>
      </c>
      <c r="H611" s="4">
        <f>A612</f>
        <v>100070106</v>
      </c>
      <c r="I611" s="4" t="s">
        <v>1774</v>
      </c>
      <c r="K611" s="4" t="s">
        <v>1775</v>
      </c>
      <c r="N611" s="38">
        <v>3201</v>
      </c>
      <c r="Q611" s="50">
        <v>1</v>
      </c>
      <c r="U611" s="61">
        <v>76001</v>
      </c>
      <c r="Y611" s="4" t="s">
        <v>1776</v>
      </c>
    </row>
    <row r="612" spans="1:25">
      <c r="A612" s="4">
        <v>100070106</v>
      </c>
      <c r="B612" s="4">
        <v>7</v>
      </c>
      <c r="C612" s="4" t="s">
        <v>1760</v>
      </c>
      <c r="D612" s="4">
        <v>1</v>
      </c>
      <c r="E612" s="4" t="s">
        <v>1761</v>
      </c>
      <c r="F612" s="4">
        <v>70101</v>
      </c>
      <c r="I612" s="4" t="s">
        <v>1777</v>
      </c>
      <c r="K612" s="4" t="s">
        <v>1778</v>
      </c>
      <c r="N612" s="38">
        <v>3201</v>
      </c>
      <c r="Q612" s="50">
        <v>1</v>
      </c>
      <c r="U612" s="61">
        <v>76001</v>
      </c>
      <c r="Y612" s="4" t="s">
        <v>1779</v>
      </c>
    </row>
    <row r="613" spans="1:25">
      <c r="A613" s="4">
        <v>100070111</v>
      </c>
      <c r="B613" s="4">
        <v>7</v>
      </c>
      <c r="D613" s="4">
        <v>1</v>
      </c>
      <c r="E613" s="4" t="s">
        <v>1761</v>
      </c>
      <c r="F613" s="4">
        <v>70111</v>
      </c>
      <c r="H613" s="4">
        <f>A614</f>
        <v>100070112</v>
      </c>
      <c r="I613" s="4" t="s">
        <v>1780</v>
      </c>
      <c r="K613" s="4" t="s">
        <v>1763</v>
      </c>
      <c r="N613" s="38">
        <v>3301</v>
      </c>
      <c r="Q613" s="50">
        <v>1</v>
      </c>
      <c r="U613" s="50">
        <v>76002</v>
      </c>
      <c r="Y613" s="4" t="s">
        <v>1781</v>
      </c>
    </row>
    <row r="614" spans="1:25">
      <c r="A614" s="4">
        <v>100070112</v>
      </c>
      <c r="B614" s="4">
        <v>7</v>
      </c>
      <c r="D614" s="4">
        <v>1</v>
      </c>
      <c r="E614" s="4" t="s">
        <v>1761</v>
      </c>
      <c r="F614" s="4">
        <v>70111</v>
      </c>
      <c r="H614" s="4">
        <f>A615</f>
        <v>100070113</v>
      </c>
      <c r="I614" s="4" t="s">
        <v>1782</v>
      </c>
      <c r="K614" s="4" t="s">
        <v>1766</v>
      </c>
      <c r="N614" s="38">
        <v>3301</v>
      </c>
      <c r="Q614" s="50">
        <v>1</v>
      </c>
      <c r="U614" s="50">
        <v>76002</v>
      </c>
      <c r="Y614" s="4" t="s">
        <v>1783</v>
      </c>
    </row>
    <row r="615" spans="1:25">
      <c r="A615" s="4">
        <v>100070113</v>
      </c>
      <c r="B615" s="4">
        <v>7</v>
      </c>
      <c r="D615" s="4">
        <v>1</v>
      </c>
      <c r="E615" s="4" t="s">
        <v>1761</v>
      </c>
      <c r="F615" s="4">
        <v>70111</v>
      </c>
      <c r="H615" s="4">
        <f>A616</f>
        <v>100070114</v>
      </c>
      <c r="I615" s="4" t="s">
        <v>1784</v>
      </c>
      <c r="K615" s="4" t="s">
        <v>1769</v>
      </c>
      <c r="N615" s="38">
        <v>3301</v>
      </c>
      <c r="Q615" s="50">
        <v>1</v>
      </c>
      <c r="U615" s="50">
        <v>76002</v>
      </c>
      <c r="Y615" s="4" t="s">
        <v>1785</v>
      </c>
    </row>
    <row r="616" spans="1:25">
      <c r="A616" s="4">
        <v>100070114</v>
      </c>
      <c r="B616" s="4">
        <v>7</v>
      </c>
      <c r="D616" s="4">
        <v>1</v>
      </c>
      <c r="E616" s="4" t="s">
        <v>1761</v>
      </c>
      <c r="F616" s="4">
        <v>70111</v>
      </c>
      <c r="H616" s="4">
        <f>A617</f>
        <v>100070115</v>
      </c>
      <c r="I616" s="4" t="s">
        <v>1786</v>
      </c>
      <c r="K616" s="4" t="s">
        <v>1772</v>
      </c>
      <c r="N616" s="38">
        <v>3301</v>
      </c>
      <c r="Q616" s="50">
        <v>1</v>
      </c>
      <c r="U616" s="50">
        <v>76002</v>
      </c>
      <c r="Y616" s="4" t="s">
        <v>1787</v>
      </c>
    </row>
    <row r="617" spans="1:25">
      <c r="A617" s="4">
        <v>100070115</v>
      </c>
      <c r="B617" s="4">
        <v>7</v>
      </c>
      <c r="D617" s="4">
        <v>1</v>
      </c>
      <c r="E617" s="4" t="s">
        <v>1761</v>
      </c>
      <c r="F617" s="4">
        <v>70111</v>
      </c>
      <c r="H617" s="4">
        <f>A618</f>
        <v>100070116</v>
      </c>
      <c r="I617" s="4" t="s">
        <v>1788</v>
      </c>
      <c r="K617" s="4" t="s">
        <v>1775</v>
      </c>
      <c r="N617" s="38">
        <v>3301</v>
      </c>
      <c r="Q617" s="50">
        <v>1</v>
      </c>
      <c r="U617" s="50">
        <v>76002</v>
      </c>
      <c r="Y617" s="4" t="s">
        <v>1789</v>
      </c>
    </row>
    <row r="618" spans="1:25">
      <c r="A618" s="4">
        <v>100070116</v>
      </c>
      <c r="B618" s="4">
        <v>7</v>
      </c>
      <c r="D618" s="4">
        <v>1</v>
      </c>
      <c r="E618" s="4" t="s">
        <v>1761</v>
      </c>
      <c r="F618" s="4">
        <v>70111</v>
      </c>
      <c r="I618" s="4" t="s">
        <v>1790</v>
      </c>
      <c r="K618" s="4" t="s">
        <v>1778</v>
      </c>
      <c r="N618" s="38">
        <v>3301</v>
      </c>
      <c r="Q618" s="50">
        <v>1</v>
      </c>
      <c r="U618" s="50">
        <v>76002</v>
      </c>
      <c r="Y618" s="4" t="s">
        <v>1791</v>
      </c>
    </row>
    <row r="619" spans="1:25">
      <c r="A619" s="4">
        <v>100070121</v>
      </c>
      <c r="B619" s="4">
        <v>7</v>
      </c>
      <c r="D619" s="4">
        <v>1</v>
      </c>
      <c r="E619" s="4" t="s">
        <v>1761</v>
      </c>
      <c r="F619" s="4">
        <v>70121</v>
      </c>
      <c r="H619" s="4">
        <f>A620</f>
        <v>100070122</v>
      </c>
      <c r="I619" s="4" t="s">
        <v>1792</v>
      </c>
      <c r="K619" s="4" t="s">
        <v>1763</v>
      </c>
      <c r="N619" s="38">
        <v>11041</v>
      </c>
      <c r="Q619" s="50">
        <v>1</v>
      </c>
      <c r="U619" s="50">
        <v>76003</v>
      </c>
      <c r="Y619" s="4" t="s">
        <v>1793</v>
      </c>
    </row>
    <row r="620" spans="1:25">
      <c r="A620" s="4">
        <v>100070122</v>
      </c>
      <c r="B620" s="4">
        <v>7</v>
      </c>
      <c r="D620" s="4">
        <v>1</v>
      </c>
      <c r="E620" s="4" t="s">
        <v>1761</v>
      </c>
      <c r="F620" s="4">
        <v>70121</v>
      </c>
      <c r="H620" s="4">
        <f>A621</f>
        <v>100070123</v>
      </c>
      <c r="I620" s="4" t="s">
        <v>1794</v>
      </c>
      <c r="K620" s="4" t="s">
        <v>1766</v>
      </c>
      <c r="N620" s="38">
        <v>11041</v>
      </c>
      <c r="Q620" s="50">
        <v>1</v>
      </c>
      <c r="U620" s="50">
        <v>76003</v>
      </c>
      <c r="Y620" s="4" t="s">
        <v>1795</v>
      </c>
    </row>
    <row r="621" spans="1:25">
      <c r="A621" s="4">
        <v>100070123</v>
      </c>
      <c r="B621" s="4">
        <v>7</v>
      </c>
      <c r="D621" s="4">
        <v>1</v>
      </c>
      <c r="E621" s="4" t="s">
        <v>1761</v>
      </c>
      <c r="F621" s="4">
        <v>70121</v>
      </c>
      <c r="H621" s="4">
        <f>A622</f>
        <v>100070124</v>
      </c>
      <c r="I621" s="4" t="s">
        <v>1796</v>
      </c>
      <c r="K621" s="4" t="s">
        <v>1769</v>
      </c>
      <c r="N621" s="38">
        <v>11041</v>
      </c>
      <c r="Q621" s="50">
        <v>1</v>
      </c>
      <c r="U621" s="50">
        <v>76003</v>
      </c>
      <c r="Y621" s="4" t="s">
        <v>1797</v>
      </c>
    </row>
    <row r="622" spans="1:25">
      <c r="A622" s="4">
        <v>100070124</v>
      </c>
      <c r="B622" s="4">
        <v>7</v>
      </c>
      <c r="D622" s="4">
        <v>1</v>
      </c>
      <c r="E622" s="4" t="s">
        <v>1761</v>
      </c>
      <c r="F622" s="4">
        <v>70121</v>
      </c>
      <c r="H622" s="4">
        <f>A623</f>
        <v>100070125</v>
      </c>
      <c r="I622" s="4" t="s">
        <v>1798</v>
      </c>
      <c r="K622" s="4" t="s">
        <v>1772</v>
      </c>
      <c r="N622" s="38">
        <v>11041</v>
      </c>
      <c r="Q622" s="50">
        <v>1</v>
      </c>
      <c r="U622" s="50">
        <v>76003</v>
      </c>
      <c r="Y622" s="4" t="s">
        <v>1799</v>
      </c>
    </row>
    <row r="623" spans="1:25">
      <c r="A623" s="4">
        <v>100070125</v>
      </c>
      <c r="B623" s="4">
        <v>7</v>
      </c>
      <c r="D623" s="4">
        <v>1</v>
      </c>
      <c r="E623" s="4" t="s">
        <v>1761</v>
      </c>
      <c r="F623" s="4">
        <v>70121</v>
      </c>
      <c r="H623" s="4">
        <f>A624</f>
        <v>100070126</v>
      </c>
      <c r="I623" s="4" t="s">
        <v>1800</v>
      </c>
      <c r="K623" s="4" t="s">
        <v>1775</v>
      </c>
      <c r="N623" s="38">
        <v>11041</v>
      </c>
      <c r="Q623" s="50">
        <v>1</v>
      </c>
      <c r="U623" s="50">
        <v>76003</v>
      </c>
      <c r="Y623" s="4" t="s">
        <v>1801</v>
      </c>
    </row>
    <row r="624" spans="1:25">
      <c r="A624" s="4">
        <v>100070126</v>
      </c>
      <c r="B624" s="4">
        <v>7</v>
      </c>
      <c r="D624" s="4">
        <v>1</v>
      </c>
      <c r="E624" s="4" t="s">
        <v>1761</v>
      </c>
      <c r="F624" s="4">
        <v>70121</v>
      </c>
      <c r="I624" s="4" t="s">
        <v>1802</v>
      </c>
      <c r="K624" s="4" t="s">
        <v>1778</v>
      </c>
      <c r="N624" s="38">
        <v>11041</v>
      </c>
      <c r="Q624" s="50">
        <v>1</v>
      </c>
      <c r="U624" s="50">
        <v>76003</v>
      </c>
      <c r="Y624" s="4" t="s">
        <v>1803</v>
      </c>
    </row>
    <row r="625" spans="1:25">
      <c r="A625" s="4">
        <v>100070131</v>
      </c>
      <c r="B625" s="4">
        <v>7</v>
      </c>
      <c r="D625" s="4">
        <v>1</v>
      </c>
      <c r="E625" s="4" t="s">
        <v>1761</v>
      </c>
      <c r="F625" s="4">
        <v>70131</v>
      </c>
      <c r="H625" s="4">
        <f>A626</f>
        <v>100070132</v>
      </c>
      <c r="I625" s="4" t="s">
        <v>1804</v>
      </c>
      <c r="K625" s="4" t="s">
        <v>1763</v>
      </c>
      <c r="N625" s="38">
        <v>11041</v>
      </c>
      <c r="Q625" s="50">
        <v>1</v>
      </c>
      <c r="U625" s="50">
        <v>76004</v>
      </c>
      <c r="Y625" s="4" t="s">
        <v>1805</v>
      </c>
    </row>
    <row r="626" spans="1:25">
      <c r="A626" s="4">
        <v>100070132</v>
      </c>
      <c r="B626" s="4">
        <v>7</v>
      </c>
      <c r="D626" s="4">
        <v>1</v>
      </c>
      <c r="E626" s="4" t="s">
        <v>1761</v>
      </c>
      <c r="F626" s="4">
        <v>70131</v>
      </c>
      <c r="H626" s="4">
        <f>A627</f>
        <v>100070133</v>
      </c>
      <c r="I626" s="4" t="s">
        <v>1806</v>
      </c>
      <c r="K626" s="4" t="s">
        <v>1766</v>
      </c>
      <c r="N626" s="38">
        <v>11041</v>
      </c>
      <c r="Q626" s="50">
        <v>1</v>
      </c>
      <c r="U626" s="50">
        <v>76004</v>
      </c>
      <c r="Y626" s="4" t="s">
        <v>1807</v>
      </c>
    </row>
    <row r="627" spans="1:25">
      <c r="A627" s="4">
        <v>100070133</v>
      </c>
      <c r="B627" s="4">
        <v>7</v>
      </c>
      <c r="D627" s="4">
        <v>1</v>
      </c>
      <c r="E627" s="4" t="s">
        <v>1761</v>
      </c>
      <c r="F627" s="4">
        <v>70131</v>
      </c>
      <c r="H627" s="4">
        <f>A628</f>
        <v>100070134</v>
      </c>
      <c r="I627" s="4" t="s">
        <v>1808</v>
      </c>
      <c r="K627" s="4" t="s">
        <v>1769</v>
      </c>
      <c r="N627" s="38">
        <v>11041</v>
      </c>
      <c r="Q627" s="50">
        <v>1</v>
      </c>
      <c r="U627" s="50">
        <v>76004</v>
      </c>
      <c r="Y627" s="4" t="s">
        <v>1809</v>
      </c>
    </row>
    <row r="628" spans="1:25">
      <c r="A628" s="4">
        <v>100070134</v>
      </c>
      <c r="B628" s="4">
        <v>7</v>
      </c>
      <c r="D628" s="4">
        <v>1</v>
      </c>
      <c r="E628" s="4" t="s">
        <v>1761</v>
      </c>
      <c r="F628" s="4">
        <v>70131</v>
      </c>
      <c r="H628" s="4">
        <f>A629</f>
        <v>100070135</v>
      </c>
      <c r="I628" s="4" t="s">
        <v>1810</v>
      </c>
      <c r="K628" s="4" t="s">
        <v>1772</v>
      </c>
      <c r="N628" s="38">
        <v>11041</v>
      </c>
      <c r="Q628" s="50">
        <v>1</v>
      </c>
      <c r="U628" s="50">
        <v>76004</v>
      </c>
      <c r="Y628" s="4" t="s">
        <v>1811</v>
      </c>
    </row>
    <row r="629" spans="1:25">
      <c r="A629" s="4">
        <v>100070135</v>
      </c>
      <c r="B629" s="4">
        <v>7</v>
      </c>
      <c r="D629" s="4">
        <v>1</v>
      </c>
      <c r="E629" s="4" t="s">
        <v>1761</v>
      </c>
      <c r="F629" s="4">
        <v>70131</v>
      </c>
      <c r="H629" s="4">
        <f>A630</f>
        <v>100070136</v>
      </c>
      <c r="I629" s="4" t="s">
        <v>1812</v>
      </c>
      <c r="K629" s="4" t="s">
        <v>1775</v>
      </c>
      <c r="N629" s="38">
        <v>11041</v>
      </c>
      <c r="Q629" s="50">
        <v>1</v>
      </c>
      <c r="U629" s="50">
        <v>76004</v>
      </c>
      <c r="Y629" s="4" t="s">
        <v>1813</v>
      </c>
    </row>
    <row r="630" spans="1:25">
      <c r="A630" s="4">
        <v>100070136</v>
      </c>
      <c r="B630" s="4">
        <v>7</v>
      </c>
      <c r="D630" s="4">
        <v>1</v>
      </c>
      <c r="E630" s="4" t="s">
        <v>1761</v>
      </c>
      <c r="F630" s="4">
        <v>70131</v>
      </c>
      <c r="I630" s="4" t="s">
        <v>1814</v>
      </c>
      <c r="K630" s="4" t="s">
        <v>1778</v>
      </c>
      <c r="N630" s="38">
        <v>11041</v>
      </c>
      <c r="Q630" s="50">
        <v>1</v>
      </c>
      <c r="U630" s="50">
        <v>76004</v>
      </c>
      <c r="Y630" s="4" t="s">
        <v>1815</v>
      </c>
    </row>
    <row r="631" spans="1:25">
      <c r="A631" s="4">
        <v>100070141</v>
      </c>
      <c r="B631" s="4">
        <v>7</v>
      </c>
      <c r="D631" s="4">
        <v>1</v>
      </c>
      <c r="E631" s="4" t="s">
        <v>1761</v>
      </c>
      <c r="F631" s="4">
        <v>70141</v>
      </c>
      <c r="H631" s="4">
        <f>A632</f>
        <v>100070142</v>
      </c>
      <c r="I631" s="4" t="s">
        <v>1816</v>
      </c>
      <c r="K631" s="4" t="s">
        <v>1763</v>
      </c>
      <c r="N631" s="38">
        <v>11041</v>
      </c>
      <c r="Q631" s="50">
        <v>1</v>
      </c>
      <c r="U631" s="50">
        <v>76005</v>
      </c>
      <c r="Y631" s="4" t="s">
        <v>1817</v>
      </c>
    </row>
    <row r="632" spans="1:25">
      <c r="A632" s="4">
        <v>100070142</v>
      </c>
      <c r="B632" s="4">
        <v>7</v>
      </c>
      <c r="D632" s="4">
        <v>1</v>
      </c>
      <c r="E632" s="4" t="s">
        <v>1761</v>
      </c>
      <c r="F632" s="4">
        <v>70141</v>
      </c>
      <c r="H632" s="4">
        <f>A633</f>
        <v>100070143</v>
      </c>
      <c r="I632" s="4" t="s">
        <v>1818</v>
      </c>
      <c r="K632" s="4" t="s">
        <v>1766</v>
      </c>
      <c r="N632" s="38">
        <v>11041</v>
      </c>
      <c r="Q632" s="50">
        <v>1</v>
      </c>
      <c r="U632" s="50">
        <v>76005</v>
      </c>
      <c r="Y632" s="4" t="s">
        <v>1819</v>
      </c>
    </row>
    <row r="633" spans="1:25">
      <c r="A633" s="4">
        <v>100070143</v>
      </c>
      <c r="B633" s="4">
        <v>7</v>
      </c>
      <c r="D633" s="4">
        <v>1</v>
      </c>
      <c r="E633" s="4" t="s">
        <v>1761</v>
      </c>
      <c r="F633" s="4">
        <v>70141</v>
      </c>
      <c r="H633" s="4">
        <f>A634</f>
        <v>100070144</v>
      </c>
      <c r="I633" s="4" t="s">
        <v>1820</v>
      </c>
      <c r="K633" s="4" t="s">
        <v>1769</v>
      </c>
      <c r="N633" s="38">
        <v>11041</v>
      </c>
      <c r="Q633" s="50">
        <v>1</v>
      </c>
      <c r="U633" s="50">
        <v>76005</v>
      </c>
      <c r="Y633" s="4" t="s">
        <v>1821</v>
      </c>
    </row>
    <row r="634" spans="1:25">
      <c r="A634" s="4">
        <v>100070144</v>
      </c>
      <c r="B634" s="4">
        <v>7</v>
      </c>
      <c r="D634" s="4">
        <v>1</v>
      </c>
      <c r="E634" s="4" t="s">
        <v>1761</v>
      </c>
      <c r="F634" s="4">
        <v>70141</v>
      </c>
      <c r="H634" s="4">
        <f>A635</f>
        <v>100070145</v>
      </c>
      <c r="I634" s="4" t="s">
        <v>1822</v>
      </c>
      <c r="K634" s="4" t="s">
        <v>1772</v>
      </c>
      <c r="N634" s="38">
        <v>11041</v>
      </c>
      <c r="Q634" s="50">
        <v>1</v>
      </c>
      <c r="U634" s="50">
        <v>76005</v>
      </c>
      <c r="Y634" s="4" t="s">
        <v>1823</v>
      </c>
    </row>
    <row r="635" spans="1:25">
      <c r="A635" s="4">
        <v>100070145</v>
      </c>
      <c r="B635" s="4">
        <v>7</v>
      </c>
      <c r="D635" s="4">
        <v>1</v>
      </c>
      <c r="E635" s="4" t="s">
        <v>1761</v>
      </c>
      <c r="F635" s="4">
        <v>70141</v>
      </c>
      <c r="H635" s="4">
        <f>A636</f>
        <v>100070146</v>
      </c>
      <c r="I635" s="4" t="s">
        <v>1824</v>
      </c>
      <c r="K635" s="4" t="s">
        <v>1775</v>
      </c>
      <c r="N635" s="38">
        <v>11041</v>
      </c>
      <c r="Q635" s="50">
        <v>1</v>
      </c>
      <c r="U635" s="50">
        <v>76005</v>
      </c>
      <c r="Y635" s="4" t="s">
        <v>1825</v>
      </c>
    </row>
    <row r="636" spans="1:25">
      <c r="A636" s="4">
        <v>100070146</v>
      </c>
      <c r="B636" s="4">
        <v>7</v>
      </c>
      <c r="D636" s="4">
        <v>1</v>
      </c>
      <c r="E636" s="4" t="s">
        <v>1761</v>
      </c>
      <c r="F636" s="4">
        <v>70141</v>
      </c>
      <c r="I636" s="4" t="s">
        <v>1826</v>
      </c>
      <c r="K636" s="4" t="s">
        <v>1778</v>
      </c>
      <c r="N636" s="38">
        <v>11041</v>
      </c>
      <c r="Q636" s="50">
        <v>1</v>
      </c>
      <c r="U636" s="50">
        <v>76005</v>
      </c>
      <c r="Y636" s="4" t="s">
        <v>1827</v>
      </c>
    </row>
    <row r="637" spans="1:25">
      <c r="A637" s="4">
        <v>100070151</v>
      </c>
      <c r="B637" s="4">
        <v>7</v>
      </c>
      <c r="D637" s="4">
        <v>1</v>
      </c>
      <c r="E637" s="4" t="s">
        <v>1761</v>
      </c>
      <c r="F637" s="4">
        <v>70151</v>
      </c>
      <c r="H637" s="4">
        <f>A638</f>
        <v>100070152</v>
      </c>
      <c r="I637" s="4" t="s">
        <v>1828</v>
      </c>
      <c r="K637" s="4" t="s">
        <v>1763</v>
      </c>
      <c r="N637" s="38">
        <v>11041</v>
      </c>
      <c r="Q637" s="50">
        <v>1</v>
      </c>
      <c r="U637" s="50">
        <v>76006</v>
      </c>
      <c r="Y637" s="4" t="s">
        <v>1829</v>
      </c>
    </row>
    <row r="638" spans="1:25">
      <c r="A638" s="4">
        <v>100070152</v>
      </c>
      <c r="B638" s="4">
        <v>7</v>
      </c>
      <c r="D638" s="4">
        <v>1</v>
      </c>
      <c r="E638" s="4" t="s">
        <v>1761</v>
      </c>
      <c r="F638" s="4">
        <v>70151</v>
      </c>
      <c r="H638" s="4">
        <f>A639</f>
        <v>100070153</v>
      </c>
      <c r="I638" s="4" t="s">
        <v>1830</v>
      </c>
      <c r="K638" s="4" t="s">
        <v>1766</v>
      </c>
      <c r="N638" s="38">
        <v>11041</v>
      </c>
      <c r="Q638" s="50">
        <v>1</v>
      </c>
      <c r="U638" s="50">
        <v>76006</v>
      </c>
      <c r="Y638" s="4" t="s">
        <v>1831</v>
      </c>
    </row>
    <row r="639" spans="1:25">
      <c r="A639" s="4">
        <v>100070153</v>
      </c>
      <c r="B639" s="4">
        <v>7</v>
      </c>
      <c r="D639" s="4">
        <v>1</v>
      </c>
      <c r="E639" s="4" t="s">
        <v>1761</v>
      </c>
      <c r="F639" s="4">
        <v>70151</v>
      </c>
      <c r="H639" s="4">
        <f>A640</f>
        <v>100070154</v>
      </c>
      <c r="I639" s="4" t="s">
        <v>1832</v>
      </c>
      <c r="K639" s="4" t="s">
        <v>1769</v>
      </c>
      <c r="N639" s="38">
        <v>11041</v>
      </c>
      <c r="Q639" s="50">
        <v>1</v>
      </c>
      <c r="U639" s="50">
        <v>76006</v>
      </c>
      <c r="Y639" s="4" t="s">
        <v>1833</v>
      </c>
    </row>
    <row r="640" spans="1:25">
      <c r="A640" s="4">
        <v>100070154</v>
      </c>
      <c r="B640" s="4">
        <v>7</v>
      </c>
      <c r="D640" s="4">
        <v>1</v>
      </c>
      <c r="E640" s="4" t="s">
        <v>1761</v>
      </c>
      <c r="F640" s="4">
        <v>70151</v>
      </c>
      <c r="H640" s="4">
        <f>A641</f>
        <v>100070155</v>
      </c>
      <c r="I640" s="4" t="s">
        <v>1834</v>
      </c>
      <c r="K640" s="4" t="s">
        <v>1772</v>
      </c>
      <c r="N640" s="38">
        <v>11041</v>
      </c>
      <c r="Q640" s="50">
        <v>1</v>
      </c>
      <c r="U640" s="50">
        <v>76006</v>
      </c>
      <c r="Y640" s="4" t="s">
        <v>1835</v>
      </c>
    </row>
    <row r="641" spans="1:25">
      <c r="A641" s="4">
        <v>100070155</v>
      </c>
      <c r="B641" s="4">
        <v>7</v>
      </c>
      <c r="D641" s="4">
        <v>1</v>
      </c>
      <c r="E641" s="4" t="s">
        <v>1761</v>
      </c>
      <c r="F641" s="4">
        <v>70151</v>
      </c>
      <c r="H641" s="4">
        <f>A642</f>
        <v>100070156</v>
      </c>
      <c r="I641" s="4" t="s">
        <v>1836</v>
      </c>
      <c r="K641" s="4" t="s">
        <v>1775</v>
      </c>
      <c r="N641" s="38">
        <v>11041</v>
      </c>
      <c r="Q641" s="50">
        <v>1</v>
      </c>
      <c r="U641" s="50">
        <v>76006</v>
      </c>
      <c r="Y641" s="4" t="s">
        <v>1837</v>
      </c>
    </row>
    <row r="642" spans="1:25">
      <c r="A642" s="4">
        <v>100070156</v>
      </c>
      <c r="B642" s="4">
        <v>7</v>
      </c>
      <c r="D642" s="4">
        <v>1</v>
      </c>
      <c r="E642" s="4" t="s">
        <v>1761</v>
      </c>
      <c r="F642" s="4">
        <v>70151</v>
      </c>
      <c r="I642" s="4" t="s">
        <v>1838</v>
      </c>
      <c r="K642" s="4" t="s">
        <v>1778</v>
      </c>
      <c r="N642" s="38">
        <v>11041</v>
      </c>
      <c r="Q642" s="50">
        <v>1</v>
      </c>
      <c r="U642" s="50">
        <v>76006</v>
      </c>
      <c r="Y642" s="4" t="s">
        <v>1839</v>
      </c>
    </row>
    <row r="643" spans="1:25">
      <c r="A643" s="4">
        <v>100070161</v>
      </c>
      <c r="B643" s="4">
        <v>7</v>
      </c>
      <c r="D643" s="4">
        <v>1</v>
      </c>
      <c r="E643" s="4" t="s">
        <v>1761</v>
      </c>
      <c r="F643" s="4">
        <v>70161</v>
      </c>
      <c r="H643" s="4">
        <f>A644</f>
        <v>100070162</v>
      </c>
      <c r="I643" s="4" t="s">
        <v>1840</v>
      </c>
      <c r="K643" s="4" t="s">
        <v>1763</v>
      </c>
      <c r="N643" s="38">
        <v>11041</v>
      </c>
      <c r="Q643" s="50">
        <v>1</v>
      </c>
      <c r="U643" s="50">
        <v>76007</v>
      </c>
      <c r="Y643" s="4" t="s">
        <v>1841</v>
      </c>
    </row>
    <row r="644" spans="1:25">
      <c r="A644" s="4">
        <v>100070162</v>
      </c>
      <c r="B644" s="4">
        <v>7</v>
      </c>
      <c r="D644" s="4">
        <v>1</v>
      </c>
      <c r="E644" s="4" t="s">
        <v>1761</v>
      </c>
      <c r="F644" s="4">
        <v>70161</v>
      </c>
      <c r="H644" s="4">
        <f t="shared" ref="H644:H649" si="2">A645</f>
        <v>100070163</v>
      </c>
      <c r="I644" s="4" t="s">
        <v>1842</v>
      </c>
      <c r="K644" s="4" t="s">
        <v>1766</v>
      </c>
      <c r="N644" s="38">
        <v>11041</v>
      </c>
      <c r="Q644" s="50">
        <v>1</v>
      </c>
      <c r="U644" s="50">
        <v>76007</v>
      </c>
      <c r="Y644" s="4" t="s">
        <v>1843</v>
      </c>
    </row>
    <row r="645" spans="1:25">
      <c r="A645" s="4">
        <v>100070163</v>
      </c>
      <c r="B645" s="4">
        <v>7</v>
      </c>
      <c r="D645" s="4">
        <v>1</v>
      </c>
      <c r="E645" s="4" t="s">
        <v>1761</v>
      </c>
      <c r="F645" s="4">
        <v>70161</v>
      </c>
      <c r="H645" s="4">
        <f t="shared" si="2"/>
        <v>100070164</v>
      </c>
      <c r="I645" s="4" t="s">
        <v>1844</v>
      </c>
      <c r="K645" s="4" t="s">
        <v>1845</v>
      </c>
      <c r="N645" s="38">
        <v>11041</v>
      </c>
      <c r="Q645" s="50">
        <v>1</v>
      </c>
      <c r="U645" s="50">
        <v>76007</v>
      </c>
      <c r="Y645" s="4" t="s">
        <v>1846</v>
      </c>
    </row>
    <row r="646" spans="1:25">
      <c r="A646" s="4">
        <v>100070164</v>
      </c>
      <c r="B646" s="4">
        <v>7</v>
      </c>
      <c r="D646" s="4">
        <v>1</v>
      </c>
      <c r="E646" s="4" t="s">
        <v>1761</v>
      </c>
      <c r="F646" s="4">
        <v>70161</v>
      </c>
      <c r="H646" s="4">
        <f t="shared" si="2"/>
        <v>100070165</v>
      </c>
      <c r="I646" s="4" t="s">
        <v>1847</v>
      </c>
      <c r="K646" s="4" t="s">
        <v>1769</v>
      </c>
      <c r="N646" s="38">
        <v>11041</v>
      </c>
      <c r="Q646" s="50">
        <v>1</v>
      </c>
      <c r="U646" s="50">
        <v>76007</v>
      </c>
      <c r="Y646" s="4" t="s">
        <v>1848</v>
      </c>
    </row>
    <row r="647" spans="1:25">
      <c r="A647" s="4">
        <v>100070165</v>
      </c>
      <c r="B647" s="4">
        <v>7</v>
      </c>
      <c r="D647" s="4">
        <v>1</v>
      </c>
      <c r="E647" s="4" t="s">
        <v>1761</v>
      </c>
      <c r="F647" s="4">
        <v>70161</v>
      </c>
      <c r="H647" s="4">
        <f t="shared" si="2"/>
        <v>100070166</v>
      </c>
      <c r="I647" s="4" t="s">
        <v>1849</v>
      </c>
      <c r="K647" s="4" t="s">
        <v>1850</v>
      </c>
      <c r="N647" s="38">
        <v>11041</v>
      </c>
      <c r="Q647" s="50">
        <v>1</v>
      </c>
      <c r="U647" s="50">
        <v>76007</v>
      </c>
      <c r="Y647" s="4" t="s">
        <v>1851</v>
      </c>
    </row>
    <row r="648" spans="1:25">
      <c r="A648" s="4">
        <v>100070166</v>
      </c>
      <c r="B648" s="4">
        <v>7</v>
      </c>
      <c r="D648" s="4">
        <v>1</v>
      </c>
      <c r="E648" s="4" t="s">
        <v>1761</v>
      </c>
      <c r="F648" s="4">
        <v>70161</v>
      </c>
      <c r="H648" s="4">
        <f t="shared" si="2"/>
        <v>100070167</v>
      </c>
      <c r="I648" s="4" t="s">
        <v>1852</v>
      </c>
      <c r="K648" s="4" t="s">
        <v>1853</v>
      </c>
      <c r="N648" s="38">
        <v>11041</v>
      </c>
      <c r="Q648" s="50">
        <v>1</v>
      </c>
      <c r="U648" s="50">
        <v>76007</v>
      </c>
      <c r="Y648" s="4" t="s">
        <v>1854</v>
      </c>
    </row>
    <row r="649" spans="1:25">
      <c r="A649" s="4">
        <v>100070167</v>
      </c>
      <c r="B649" s="4">
        <v>7</v>
      </c>
      <c r="D649" s="4">
        <v>1</v>
      </c>
      <c r="E649" s="4" t="s">
        <v>1761</v>
      </c>
      <c r="F649" s="4">
        <v>70161</v>
      </c>
      <c r="H649" s="4">
        <f t="shared" si="2"/>
        <v>100070168</v>
      </c>
      <c r="I649" s="4" t="s">
        <v>1855</v>
      </c>
      <c r="K649" s="4" t="s">
        <v>1856</v>
      </c>
      <c r="N649" s="38">
        <v>11041</v>
      </c>
      <c r="Q649" s="50">
        <v>1</v>
      </c>
      <c r="U649" s="50">
        <v>76007</v>
      </c>
      <c r="Y649" s="4" t="s">
        <v>1857</v>
      </c>
    </row>
    <row r="650" spans="1:25">
      <c r="A650" s="4">
        <v>100070168</v>
      </c>
      <c r="B650" s="4">
        <v>7</v>
      </c>
      <c r="D650" s="4">
        <v>1</v>
      </c>
      <c r="E650" s="4" t="s">
        <v>1761</v>
      </c>
      <c r="F650" s="4">
        <v>70161</v>
      </c>
      <c r="I650" s="4" t="s">
        <v>1858</v>
      </c>
      <c r="K650" s="4" t="s">
        <v>1772</v>
      </c>
      <c r="N650" s="38">
        <v>11041</v>
      </c>
      <c r="Q650" s="50">
        <v>1</v>
      </c>
      <c r="U650" s="50">
        <v>76007</v>
      </c>
      <c r="Y650" s="4" t="s">
        <v>1859</v>
      </c>
    </row>
    <row r="651" spans="1:25">
      <c r="A651" s="4">
        <v>100070171</v>
      </c>
      <c r="B651" s="4">
        <v>7</v>
      </c>
      <c r="D651" s="4">
        <v>1</v>
      </c>
      <c r="E651" s="4" t="s">
        <v>1761</v>
      </c>
      <c r="F651" s="4">
        <v>70171</v>
      </c>
      <c r="H651" s="4">
        <f>A652</f>
        <v>100070172</v>
      </c>
      <c r="I651" s="4" t="s">
        <v>1860</v>
      </c>
      <c r="K651" s="4" t="s">
        <v>1763</v>
      </c>
      <c r="N651" s="38">
        <v>11041</v>
      </c>
      <c r="Q651" s="50">
        <v>1</v>
      </c>
      <c r="U651" s="50">
        <v>76008</v>
      </c>
      <c r="Y651" s="4" t="s">
        <v>1861</v>
      </c>
    </row>
    <row r="652" spans="1:25">
      <c r="A652" s="4">
        <v>100070172</v>
      </c>
      <c r="B652" s="4">
        <v>7</v>
      </c>
      <c r="D652" s="4">
        <v>1</v>
      </c>
      <c r="E652" s="4" t="s">
        <v>1761</v>
      </c>
      <c r="F652" s="4">
        <v>70171</v>
      </c>
      <c r="H652" s="4">
        <f t="shared" ref="H652:H661" si="3">A653</f>
        <v>100070173</v>
      </c>
      <c r="I652" s="4" t="s">
        <v>1862</v>
      </c>
      <c r="K652" s="4" t="s">
        <v>1766</v>
      </c>
      <c r="N652" s="38">
        <v>11041</v>
      </c>
      <c r="Q652" s="50">
        <v>1</v>
      </c>
      <c r="U652" s="50">
        <v>76008</v>
      </c>
      <c r="Y652" s="4" t="s">
        <v>1863</v>
      </c>
    </row>
    <row r="653" spans="1:25">
      <c r="A653" s="4">
        <v>100070173</v>
      </c>
      <c r="B653" s="4">
        <v>7</v>
      </c>
      <c r="D653" s="4">
        <v>1</v>
      </c>
      <c r="E653" s="4" t="s">
        <v>1761</v>
      </c>
      <c r="F653" s="4">
        <v>70171</v>
      </c>
      <c r="H653" s="4">
        <f t="shared" si="3"/>
        <v>100070174</v>
      </c>
      <c r="I653" s="4" t="s">
        <v>1864</v>
      </c>
      <c r="K653" s="4" t="s">
        <v>1769</v>
      </c>
      <c r="N653" s="38">
        <v>11041</v>
      </c>
      <c r="Q653" s="50">
        <v>1</v>
      </c>
      <c r="U653" s="50">
        <v>76008</v>
      </c>
      <c r="Y653" s="4" t="s">
        <v>1865</v>
      </c>
    </row>
    <row r="654" spans="1:25">
      <c r="A654" s="4">
        <v>100070174</v>
      </c>
      <c r="B654" s="4">
        <v>7</v>
      </c>
      <c r="D654" s="4">
        <v>1</v>
      </c>
      <c r="E654" s="4" t="s">
        <v>1761</v>
      </c>
      <c r="F654" s="4">
        <v>70171</v>
      </c>
      <c r="H654" s="4">
        <f t="shared" si="3"/>
        <v>100070175</v>
      </c>
      <c r="I654" s="4" t="s">
        <v>1866</v>
      </c>
      <c r="K654" s="4" t="s">
        <v>1772</v>
      </c>
      <c r="N654" s="38">
        <v>11041</v>
      </c>
      <c r="Q654" s="50">
        <v>1</v>
      </c>
      <c r="U654" s="50">
        <v>76008</v>
      </c>
      <c r="Y654" s="4" t="s">
        <v>1867</v>
      </c>
    </row>
    <row r="655" spans="1:25">
      <c r="A655" s="4">
        <v>100070175</v>
      </c>
      <c r="B655" s="4">
        <v>7</v>
      </c>
      <c r="D655" s="4">
        <v>1</v>
      </c>
      <c r="E655" s="4" t="s">
        <v>1761</v>
      </c>
      <c r="F655" s="4">
        <v>70171</v>
      </c>
      <c r="H655" s="4">
        <f t="shared" si="3"/>
        <v>100070176</v>
      </c>
      <c r="I655" s="4" t="s">
        <v>1868</v>
      </c>
      <c r="K655" s="4" t="s">
        <v>1775</v>
      </c>
      <c r="N655" s="38">
        <v>11041</v>
      </c>
      <c r="Q655" s="50">
        <v>1</v>
      </c>
      <c r="U655" s="50">
        <v>76008</v>
      </c>
      <c r="Y655" s="4" t="s">
        <v>1869</v>
      </c>
    </row>
    <row r="656" spans="1:25">
      <c r="A656" s="4">
        <v>100070176</v>
      </c>
      <c r="B656" s="4">
        <v>7</v>
      </c>
      <c r="D656" s="4">
        <v>1</v>
      </c>
      <c r="E656" s="4" t="s">
        <v>1761</v>
      </c>
      <c r="F656" s="4">
        <v>70171</v>
      </c>
      <c r="I656" s="4" t="s">
        <v>1870</v>
      </c>
      <c r="K656" s="4" t="s">
        <v>1778</v>
      </c>
      <c r="N656" s="38">
        <v>11041</v>
      </c>
      <c r="Q656" s="50">
        <v>1</v>
      </c>
      <c r="U656" s="50">
        <v>76008</v>
      </c>
      <c r="Y656" s="4" t="s">
        <v>1871</v>
      </c>
    </row>
    <row r="657" spans="1:25">
      <c r="A657" s="4">
        <v>100070201</v>
      </c>
      <c r="B657" s="4">
        <v>7</v>
      </c>
      <c r="C657" s="4" t="s">
        <v>1760</v>
      </c>
      <c r="D657" s="4">
        <v>2</v>
      </c>
      <c r="E657" s="4" t="s">
        <v>1872</v>
      </c>
      <c r="F657" s="4">
        <v>70201</v>
      </c>
      <c r="H657" s="4">
        <f t="shared" si="3"/>
        <v>100070202</v>
      </c>
      <c r="I657" s="4" t="s">
        <v>1873</v>
      </c>
      <c r="K657" s="4" t="s">
        <v>1763</v>
      </c>
      <c r="N657" s="38">
        <v>3202</v>
      </c>
      <c r="Q657" s="50">
        <v>1</v>
      </c>
      <c r="U657" s="61">
        <v>76001</v>
      </c>
      <c r="Y657" s="4" t="s">
        <v>1874</v>
      </c>
    </row>
    <row r="658" spans="1:25">
      <c r="A658" s="4">
        <v>100070202</v>
      </c>
      <c r="B658" s="4">
        <v>7</v>
      </c>
      <c r="C658" s="4" t="s">
        <v>1760</v>
      </c>
      <c r="D658" s="4">
        <v>2</v>
      </c>
      <c r="E658" s="4" t="s">
        <v>1872</v>
      </c>
      <c r="F658" s="4">
        <v>70201</v>
      </c>
      <c r="H658" s="4">
        <f t="shared" si="3"/>
        <v>100070203</v>
      </c>
      <c r="I658" s="4" t="s">
        <v>1875</v>
      </c>
      <c r="K658" s="4" t="s">
        <v>1766</v>
      </c>
      <c r="N658" s="38">
        <v>3202</v>
      </c>
      <c r="Q658" s="50">
        <v>1</v>
      </c>
      <c r="U658" s="61">
        <v>76001</v>
      </c>
      <c r="Y658" s="4" t="s">
        <v>1876</v>
      </c>
    </row>
    <row r="659" spans="1:25">
      <c r="A659" s="4">
        <v>100070203</v>
      </c>
      <c r="B659" s="4">
        <v>7</v>
      </c>
      <c r="C659" s="4" t="s">
        <v>1760</v>
      </c>
      <c r="D659" s="4">
        <v>2</v>
      </c>
      <c r="E659" s="4" t="s">
        <v>1872</v>
      </c>
      <c r="F659" s="4">
        <v>70201</v>
      </c>
      <c r="H659" s="4">
        <f t="shared" si="3"/>
        <v>100070204</v>
      </c>
      <c r="I659" s="4" t="s">
        <v>1877</v>
      </c>
      <c r="K659" s="4" t="s">
        <v>1769</v>
      </c>
      <c r="N659" s="38">
        <v>3202</v>
      </c>
      <c r="Q659" s="50">
        <v>1</v>
      </c>
      <c r="U659" s="61">
        <v>76001</v>
      </c>
      <c r="Y659" s="4" t="s">
        <v>1878</v>
      </c>
    </row>
    <row r="660" spans="1:25">
      <c r="A660" s="4">
        <v>100070204</v>
      </c>
      <c r="B660" s="4">
        <v>7</v>
      </c>
      <c r="C660" s="4" t="s">
        <v>1760</v>
      </c>
      <c r="D660" s="4">
        <v>2</v>
      </c>
      <c r="E660" s="4" t="s">
        <v>1872</v>
      </c>
      <c r="F660" s="4">
        <v>70201</v>
      </c>
      <c r="H660" s="4">
        <f t="shared" si="3"/>
        <v>100070205</v>
      </c>
      <c r="I660" s="4" t="s">
        <v>1879</v>
      </c>
      <c r="K660" s="4" t="s">
        <v>1772</v>
      </c>
      <c r="N660" s="38">
        <v>3202</v>
      </c>
      <c r="Q660" s="50">
        <v>1</v>
      </c>
      <c r="U660" s="61">
        <v>76001</v>
      </c>
      <c r="Y660" s="4" t="s">
        <v>1880</v>
      </c>
    </row>
    <row r="661" spans="1:25">
      <c r="A661" s="4">
        <v>100070205</v>
      </c>
      <c r="B661" s="4">
        <v>7</v>
      </c>
      <c r="C661" s="4" t="s">
        <v>1760</v>
      </c>
      <c r="D661" s="4">
        <v>2</v>
      </c>
      <c r="E661" s="4" t="s">
        <v>1872</v>
      </c>
      <c r="F661" s="4">
        <v>70201</v>
      </c>
      <c r="H661" s="4">
        <f t="shared" si="3"/>
        <v>100070206</v>
      </c>
      <c r="I661" s="4" t="s">
        <v>1881</v>
      </c>
      <c r="K661" s="4" t="s">
        <v>1775</v>
      </c>
      <c r="N661" s="38">
        <v>3202</v>
      </c>
      <c r="Q661" s="50">
        <v>1</v>
      </c>
      <c r="U661" s="61">
        <v>76001</v>
      </c>
      <c r="Y661" s="4" t="s">
        <v>1882</v>
      </c>
    </row>
    <row r="662" spans="1:25">
      <c r="A662" s="4">
        <v>100070206</v>
      </c>
      <c r="B662" s="4">
        <v>7</v>
      </c>
      <c r="C662" s="4" t="s">
        <v>1760</v>
      </c>
      <c r="D662" s="4">
        <v>2</v>
      </c>
      <c r="E662" s="4" t="s">
        <v>1872</v>
      </c>
      <c r="F662" s="4">
        <v>70201</v>
      </c>
      <c r="I662" s="4" t="s">
        <v>1883</v>
      </c>
      <c r="K662" s="4" t="s">
        <v>1778</v>
      </c>
      <c r="N662" s="38">
        <v>3202</v>
      </c>
      <c r="Q662" s="50">
        <v>1</v>
      </c>
      <c r="U662" s="61">
        <v>76001</v>
      </c>
      <c r="Y662" s="4" t="s">
        <v>1884</v>
      </c>
    </row>
    <row r="663" spans="1:25">
      <c r="A663" s="4">
        <v>100070211</v>
      </c>
      <c r="B663" s="4">
        <v>7</v>
      </c>
      <c r="D663" s="4">
        <v>2</v>
      </c>
      <c r="E663" s="4" t="s">
        <v>1872</v>
      </c>
      <c r="F663" s="4">
        <v>70211</v>
      </c>
      <c r="H663" s="4">
        <f t="shared" ref="H663:H667" si="4">A664</f>
        <v>100070212</v>
      </c>
      <c r="I663" s="4" t="s">
        <v>1885</v>
      </c>
      <c r="K663" s="4" t="s">
        <v>1763</v>
      </c>
      <c r="N663" s="38">
        <v>3302</v>
      </c>
      <c r="Q663" s="50">
        <v>1</v>
      </c>
      <c r="U663" s="50">
        <v>76002</v>
      </c>
      <c r="Y663" s="4" t="s">
        <v>1886</v>
      </c>
    </row>
    <row r="664" spans="1:25">
      <c r="A664" s="4">
        <v>100070212</v>
      </c>
      <c r="B664" s="4">
        <v>7</v>
      </c>
      <c r="D664" s="4">
        <v>2</v>
      </c>
      <c r="E664" s="4" t="s">
        <v>1872</v>
      </c>
      <c r="F664" s="4">
        <v>70211</v>
      </c>
      <c r="H664" s="4">
        <f t="shared" si="4"/>
        <v>100070213</v>
      </c>
      <c r="I664" s="4" t="s">
        <v>1887</v>
      </c>
      <c r="K664" s="4" t="s">
        <v>1766</v>
      </c>
      <c r="N664" s="38">
        <v>3302</v>
      </c>
      <c r="Q664" s="50">
        <v>1</v>
      </c>
      <c r="U664" s="50">
        <v>76002</v>
      </c>
      <c r="Y664" s="4" t="s">
        <v>1888</v>
      </c>
    </row>
    <row r="665" spans="1:25">
      <c r="A665" s="4">
        <v>100070213</v>
      </c>
      <c r="B665" s="4">
        <v>7</v>
      </c>
      <c r="D665" s="4">
        <v>2</v>
      </c>
      <c r="E665" s="4" t="s">
        <v>1872</v>
      </c>
      <c r="F665" s="4">
        <v>70211</v>
      </c>
      <c r="H665" s="4">
        <f t="shared" si="4"/>
        <v>100070214</v>
      </c>
      <c r="I665" s="4" t="s">
        <v>1889</v>
      </c>
      <c r="K665" s="4" t="s">
        <v>1769</v>
      </c>
      <c r="N665" s="38">
        <v>3302</v>
      </c>
      <c r="Q665" s="50">
        <v>1</v>
      </c>
      <c r="U665" s="50">
        <v>76002</v>
      </c>
      <c r="Y665" s="4" t="s">
        <v>1890</v>
      </c>
    </row>
    <row r="666" spans="1:25">
      <c r="A666" s="4">
        <v>100070214</v>
      </c>
      <c r="B666" s="4">
        <v>7</v>
      </c>
      <c r="D666" s="4">
        <v>2</v>
      </c>
      <c r="E666" s="4" t="s">
        <v>1872</v>
      </c>
      <c r="F666" s="4">
        <v>70211</v>
      </c>
      <c r="H666" s="4">
        <f t="shared" si="4"/>
        <v>100070215</v>
      </c>
      <c r="I666" s="4" t="s">
        <v>1891</v>
      </c>
      <c r="K666" s="4" t="s">
        <v>1772</v>
      </c>
      <c r="N666" s="38">
        <v>3302</v>
      </c>
      <c r="Q666" s="50">
        <v>1</v>
      </c>
      <c r="U666" s="50">
        <v>76002</v>
      </c>
      <c r="Y666" s="4" t="s">
        <v>1892</v>
      </c>
    </row>
    <row r="667" spans="1:25">
      <c r="A667" s="4">
        <v>100070215</v>
      </c>
      <c r="B667" s="4">
        <v>7</v>
      </c>
      <c r="D667" s="4">
        <v>2</v>
      </c>
      <c r="E667" s="4" t="s">
        <v>1872</v>
      </c>
      <c r="F667" s="4">
        <v>70211</v>
      </c>
      <c r="H667" s="4">
        <f t="shared" si="4"/>
        <v>100070216</v>
      </c>
      <c r="I667" s="4" t="s">
        <v>1893</v>
      </c>
      <c r="K667" s="4" t="s">
        <v>1775</v>
      </c>
      <c r="N667" s="38">
        <v>3302</v>
      </c>
      <c r="Q667" s="50">
        <v>1</v>
      </c>
      <c r="U667" s="50">
        <v>76002</v>
      </c>
      <c r="Y667" s="4" t="s">
        <v>1894</v>
      </c>
    </row>
    <row r="668" spans="1:25">
      <c r="A668" s="4">
        <v>100070216</v>
      </c>
      <c r="B668" s="4">
        <v>7</v>
      </c>
      <c r="D668" s="4">
        <v>2</v>
      </c>
      <c r="E668" s="4" t="s">
        <v>1872</v>
      </c>
      <c r="F668" s="4">
        <v>70211</v>
      </c>
      <c r="I668" s="4" t="s">
        <v>1895</v>
      </c>
      <c r="K668" s="4" t="s">
        <v>1778</v>
      </c>
      <c r="N668" s="38">
        <v>3302</v>
      </c>
      <c r="Q668" s="50">
        <v>1</v>
      </c>
      <c r="U668" s="50">
        <v>76002</v>
      </c>
      <c r="Y668" s="4" t="s">
        <v>1896</v>
      </c>
    </row>
    <row r="669" spans="1:25">
      <c r="A669" s="4">
        <v>100070221</v>
      </c>
      <c r="B669" s="4">
        <v>7</v>
      </c>
      <c r="D669" s="4">
        <v>2</v>
      </c>
      <c r="E669" s="4" t="s">
        <v>1872</v>
      </c>
      <c r="F669" s="4">
        <v>70221</v>
      </c>
      <c r="H669" s="4">
        <f t="shared" ref="H669:H673" si="5">A670</f>
        <v>100070222</v>
      </c>
      <c r="I669" s="4" t="s">
        <v>1897</v>
      </c>
      <c r="K669" s="4" t="s">
        <v>1763</v>
      </c>
      <c r="N669" s="38">
        <v>11042</v>
      </c>
      <c r="Q669" s="50">
        <v>1</v>
      </c>
      <c r="U669" s="50">
        <v>76003</v>
      </c>
      <c r="Y669" s="4" t="s">
        <v>1898</v>
      </c>
    </row>
    <row r="670" spans="1:25">
      <c r="A670" s="4">
        <v>100070222</v>
      </c>
      <c r="B670" s="4">
        <v>7</v>
      </c>
      <c r="D670" s="4">
        <v>2</v>
      </c>
      <c r="E670" s="4" t="s">
        <v>1872</v>
      </c>
      <c r="F670" s="4">
        <v>70221</v>
      </c>
      <c r="H670" s="4">
        <f t="shared" si="5"/>
        <v>100070223</v>
      </c>
      <c r="I670" s="4" t="s">
        <v>1899</v>
      </c>
      <c r="K670" s="4" t="s">
        <v>1766</v>
      </c>
      <c r="N670" s="38">
        <v>11042</v>
      </c>
      <c r="Q670" s="50">
        <v>1</v>
      </c>
      <c r="U670" s="50">
        <v>76003</v>
      </c>
      <c r="Y670" s="4" t="s">
        <v>1900</v>
      </c>
    </row>
    <row r="671" spans="1:25">
      <c r="A671" s="4">
        <v>100070223</v>
      </c>
      <c r="B671" s="4">
        <v>7</v>
      </c>
      <c r="D671" s="4">
        <v>2</v>
      </c>
      <c r="E671" s="4" t="s">
        <v>1872</v>
      </c>
      <c r="F671" s="4">
        <v>70221</v>
      </c>
      <c r="H671" s="4">
        <f t="shared" si="5"/>
        <v>100070224</v>
      </c>
      <c r="I671" s="4" t="s">
        <v>1901</v>
      </c>
      <c r="K671" s="4" t="s">
        <v>1769</v>
      </c>
      <c r="N671" s="38">
        <v>11042</v>
      </c>
      <c r="Q671" s="50">
        <v>1</v>
      </c>
      <c r="U671" s="50">
        <v>76003</v>
      </c>
      <c r="Y671" s="4" t="s">
        <v>1902</v>
      </c>
    </row>
    <row r="672" spans="1:25">
      <c r="A672" s="4">
        <v>100070224</v>
      </c>
      <c r="B672" s="4">
        <v>7</v>
      </c>
      <c r="D672" s="4">
        <v>2</v>
      </c>
      <c r="E672" s="4" t="s">
        <v>1872</v>
      </c>
      <c r="F672" s="4">
        <v>70221</v>
      </c>
      <c r="H672" s="4">
        <f t="shared" si="5"/>
        <v>100070225</v>
      </c>
      <c r="I672" s="4" t="s">
        <v>1903</v>
      </c>
      <c r="K672" s="4" t="s">
        <v>1772</v>
      </c>
      <c r="N672" s="38">
        <v>11042</v>
      </c>
      <c r="Q672" s="50">
        <v>1</v>
      </c>
      <c r="U672" s="50">
        <v>76003</v>
      </c>
      <c r="Y672" s="4" t="s">
        <v>1904</v>
      </c>
    </row>
    <row r="673" spans="1:25">
      <c r="A673" s="4">
        <v>100070225</v>
      </c>
      <c r="B673" s="4">
        <v>7</v>
      </c>
      <c r="D673" s="4">
        <v>2</v>
      </c>
      <c r="E673" s="4" t="s">
        <v>1872</v>
      </c>
      <c r="F673" s="4">
        <v>70221</v>
      </c>
      <c r="H673" s="4">
        <f t="shared" si="5"/>
        <v>100070226</v>
      </c>
      <c r="I673" s="4" t="s">
        <v>1905</v>
      </c>
      <c r="K673" s="4" t="s">
        <v>1775</v>
      </c>
      <c r="N673" s="38">
        <v>11042</v>
      </c>
      <c r="Q673" s="50">
        <v>1</v>
      </c>
      <c r="U673" s="50">
        <v>76003</v>
      </c>
      <c r="Y673" s="4" t="s">
        <v>1906</v>
      </c>
    </row>
    <row r="674" spans="1:25">
      <c r="A674" s="4">
        <v>100070226</v>
      </c>
      <c r="B674" s="4">
        <v>7</v>
      </c>
      <c r="D674" s="4">
        <v>2</v>
      </c>
      <c r="E674" s="4" t="s">
        <v>1872</v>
      </c>
      <c r="F674" s="4">
        <v>70221</v>
      </c>
      <c r="I674" s="4" t="s">
        <v>1907</v>
      </c>
      <c r="K674" s="4" t="s">
        <v>1778</v>
      </c>
      <c r="N674" s="38">
        <v>11042</v>
      </c>
      <c r="Q674" s="50">
        <v>1</v>
      </c>
      <c r="U674" s="50">
        <v>76003</v>
      </c>
      <c r="Y674" s="4" t="s">
        <v>1908</v>
      </c>
    </row>
    <row r="675" spans="1:25">
      <c r="A675" s="4">
        <v>100070231</v>
      </c>
      <c r="B675" s="4">
        <v>7</v>
      </c>
      <c r="D675" s="4">
        <v>2</v>
      </c>
      <c r="E675" s="4" t="s">
        <v>1872</v>
      </c>
      <c r="F675" s="4">
        <v>70231</v>
      </c>
      <c r="H675" s="4">
        <f t="shared" ref="H675:H679" si="6">A676</f>
        <v>100070232</v>
      </c>
      <c r="I675" s="4" t="s">
        <v>1909</v>
      </c>
      <c r="K675" s="4" t="s">
        <v>1763</v>
      </c>
      <c r="N675" s="38">
        <v>11042</v>
      </c>
      <c r="Q675" s="50">
        <v>1</v>
      </c>
      <c r="U675" s="50">
        <v>76004</v>
      </c>
      <c r="Y675" s="4" t="s">
        <v>1910</v>
      </c>
    </row>
    <row r="676" spans="1:25">
      <c r="A676" s="4">
        <v>100070232</v>
      </c>
      <c r="B676" s="4">
        <v>7</v>
      </c>
      <c r="D676" s="4">
        <v>2</v>
      </c>
      <c r="E676" s="4" t="s">
        <v>1872</v>
      </c>
      <c r="F676" s="4">
        <v>70231</v>
      </c>
      <c r="H676" s="4">
        <f t="shared" si="6"/>
        <v>100070233</v>
      </c>
      <c r="I676" s="4" t="s">
        <v>1911</v>
      </c>
      <c r="K676" s="4" t="s">
        <v>1766</v>
      </c>
      <c r="N676" s="38">
        <v>11042</v>
      </c>
      <c r="Q676" s="50">
        <v>1</v>
      </c>
      <c r="U676" s="50">
        <v>76004</v>
      </c>
      <c r="Y676" s="4" t="s">
        <v>1912</v>
      </c>
    </row>
    <row r="677" spans="1:25">
      <c r="A677" s="4">
        <v>100070233</v>
      </c>
      <c r="B677" s="4">
        <v>7</v>
      </c>
      <c r="D677" s="4">
        <v>2</v>
      </c>
      <c r="E677" s="4" t="s">
        <v>1872</v>
      </c>
      <c r="F677" s="4">
        <v>70231</v>
      </c>
      <c r="H677" s="4">
        <f t="shared" si="6"/>
        <v>100070234</v>
      </c>
      <c r="I677" s="4" t="s">
        <v>1913</v>
      </c>
      <c r="K677" s="4" t="s">
        <v>1769</v>
      </c>
      <c r="N677" s="38">
        <v>11042</v>
      </c>
      <c r="Q677" s="50">
        <v>1</v>
      </c>
      <c r="U677" s="50">
        <v>76004</v>
      </c>
      <c r="Y677" s="4" t="s">
        <v>1914</v>
      </c>
    </row>
    <row r="678" spans="1:25">
      <c r="A678" s="4">
        <v>100070234</v>
      </c>
      <c r="B678" s="4">
        <v>7</v>
      </c>
      <c r="D678" s="4">
        <v>2</v>
      </c>
      <c r="E678" s="4" t="s">
        <v>1872</v>
      </c>
      <c r="F678" s="4">
        <v>70231</v>
      </c>
      <c r="H678" s="4">
        <f t="shared" si="6"/>
        <v>100070235</v>
      </c>
      <c r="I678" s="4" t="s">
        <v>1915</v>
      </c>
      <c r="K678" s="4" t="s">
        <v>1772</v>
      </c>
      <c r="N678" s="38">
        <v>11042</v>
      </c>
      <c r="Q678" s="50">
        <v>1</v>
      </c>
      <c r="U678" s="50">
        <v>76004</v>
      </c>
      <c r="Y678" s="4" t="s">
        <v>1916</v>
      </c>
    </row>
    <row r="679" spans="1:25">
      <c r="A679" s="4">
        <v>100070235</v>
      </c>
      <c r="B679" s="4">
        <v>7</v>
      </c>
      <c r="D679" s="4">
        <v>2</v>
      </c>
      <c r="E679" s="4" t="s">
        <v>1872</v>
      </c>
      <c r="F679" s="4">
        <v>70231</v>
      </c>
      <c r="H679" s="4">
        <f t="shared" si="6"/>
        <v>100070236</v>
      </c>
      <c r="I679" s="4" t="s">
        <v>1917</v>
      </c>
      <c r="K679" s="4" t="s">
        <v>1775</v>
      </c>
      <c r="N679" s="38">
        <v>11042</v>
      </c>
      <c r="Q679" s="50">
        <v>1</v>
      </c>
      <c r="U679" s="50">
        <v>76004</v>
      </c>
      <c r="Y679" s="4" t="s">
        <v>1918</v>
      </c>
    </row>
    <row r="680" spans="1:25">
      <c r="A680" s="4">
        <v>100070236</v>
      </c>
      <c r="B680" s="4">
        <v>7</v>
      </c>
      <c r="D680" s="4">
        <v>2</v>
      </c>
      <c r="E680" s="4" t="s">
        <v>1872</v>
      </c>
      <c r="F680" s="4">
        <v>70231</v>
      </c>
      <c r="I680" s="4" t="s">
        <v>1919</v>
      </c>
      <c r="K680" s="4" t="s">
        <v>1778</v>
      </c>
      <c r="N680" s="38">
        <v>11042</v>
      </c>
      <c r="Q680" s="50">
        <v>1</v>
      </c>
      <c r="U680" s="50">
        <v>76004</v>
      </c>
      <c r="Y680" s="4" t="s">
        <v>1920</v>
      </c>
    </row>
    <row r="681" spans="1:25">
      <c r="A681" s="4">
        <v>100070241</v>
      </c>
      <c r="B681" s="4">
        <v>7</v>
      </c>
      <c r="D681" s="4">
        <v>2</v>
      </c>
      <c r="E681" s="4" t="s">
        <v>1872</v>
      </c>
      <c r="F681" s="4">
        <v>70241</v>
      </c>
      <c r="H681" s="4">
        <f t="shared" ref="H681:H685" si="7">A682</f>
        <v>100070242</v>
      </c>
      <c r="I681" s="4" t="s">
        <v>1921</v>
      </c>
      <c r="K681" s="4" t="s">
        <v>1763</v>
      </c>
      <c r="N681" s="38">
        <v>11042</v>
      </c>
      <c r="Q681" s="50">
        <v>1</v>
      </c>
      <c r="U681" s="50">
        <v>76005</v>
      </c>
      <c r="Y681" s="4" t="s">
        <v>1922</v>
      </c>
    </row>
    <row r="682" spans="1:25">
      <c r="A682" s="4">
        <v>100070242</v>
      </c>
      <c r="B682" s="4">
        <v>7</v>
      </c>
      <c r="D682" s="4">
        <v>2</v>
      </c>
      <c r="E682" s="4" t="s">
        <v>1872</v>
      </c>
      <c r="F682" s="4">
        <v>70241</v>
      </c>
      <c r="H682" s="4">
        <f t="shared" si="7"/>
        <v>100070243</v>
      </c>
      <c r="I682" s="4" t="s">
        <v>1923</v>
      </c>
      <c r="K682" s="4" t="s">
        <v>1766</v>
      </c>
      <c r="N682" s="38">
        <v>11042</v>
      </c>
      <c r="Q682" s="50">
        <v>1</v>
      </c>
      <c r="U682" s="50">
        <v>76005</v>
      </c>
      <c r="Y682" s="4" t="s">
        <v>1924</v>
      </c>
    </row>
    <row r="683" spans="1:25">
      <c r="A683" s="4">
        <v>100070243</v>
      </c>
      <c r="B683" s="4">
        <v>7</v>
      </c>
      <c r="D683" s="4">
        <v>2</v>
      </c>
      <c r="E683" s="4" t="s">
        <v>1872</v>
      </c>
      <c r="F683" s="4">
        <v>70241</v>
      </c>
      <c r="H683" s="4">
        <f t="shared" si="7"/>
        <v>100070244</v>
      </c>
      <c r="I683" s="4" t="s">
        <v>1925</v>
      </c>
      <c r="K683" s="4" t="s">
        <v>1769</v>
      </c>
      <c r="N683" s="38">
        <v>11042</v>
      </c>
      <c r="Q683" s="50">
        <v>1</v>
      </c>
      <c r="U683" s="50">
        <v>76005</v>
      </c>
      <c r="Y683" s="4" t="s">
        <v>1926</v>
      </c>
    </row>
    <row r="684" spans="1:25">
      <c r="A684" s="4">
        <v>100070244</v>
      </c>
      <c r="B684" s="4">
        <v>7</v>
      </c>
      <c r="D684" s="4">
        <v>2</v>
      </c>
      <c r="E684" s="4" t="s">
        <v>1872</v>
      </c>
      <c r="F684" s="4">
        <v>70241</v>
      </c>
      <c r="H684" s="4">
        <f t="shared" si="7"/>
        <v>100070245</v>
      </c>
      <c r="I684" s="4" t="s">
        <v>1927</v>
      </c>
      <c r="K684" s="4" t="s">
        <v>1772</v>
      </c>
      <c r="N684" s="38">
        <v>11042</v>
      </c>
      <c r="Q684" s="50">
        <v>1</v>
      </c>
      <c r="U684" s="50">
        <v>76005</v>
      </c>
      <c r="Y684" s="4" t="s">
        <v>1928</v>
      </c>
    </row>
    <row r="685" spans="1:25">
      <c r="A685" s="4">
        <v>100070245</v>
      </c>
      <c r="B685" s="4">
        <v>7</v>
      </c>
      <c r="D685" s="4">
        <v>2</v>
      </c>
      <c r="E685" s="4" t="s">
        <v>1872</v>
      </c>
      <c r="F685" s="4">
        <v>70241</v>
      </c>
      <c r="H685" s="4">
        <f t="shared" si="7"/>
        <v>100070246</v>
      </c>
      <c r="I685" s="4" t="s">
        <v>1929</v>
      </c>
      <c r="K685" s="4" t="s">
        <v>1775</v>
      </c>
      <c r="N685" s="38">
        <v>11042</v>
      </c>
      <c r="Q685" s="50">
        <v>1</v>
      </c>
      <c r="U685" s="50">
        <v>76005</v>
      </c>
      <c r="Y685" s="4" t="s">
        <v>1930</v>
      </c>
    </row>
    <row r="686" spans="1:25">
      <c r="A686" s="4">
        <v>100070246</v>
      </c>
      <c r="B686" s="4">
        <v>7</v>
      </c>
      <c r="D686" s="4">
        <v>2</v>
      </c>
      <c r="E686" s="4" t="s">
        <v>1872</v>
      </c>
      <c r="F686" s="4">
        <v>70241</v>
      </c>
      <c r="I686" s="4" t="s">
        <v>1931</v>
      </c>
      <c r="K686" s="4" t="s">
        <v>1778</v>
      </c>
      <c r="N686" s="38">
        <v>11042</v>
      </c>
      <c r="Q686" s="50">
        <v>1</v>
      </c>
      <c r="U686" s="50">
        <v>76005</v>
      </c>
      <c r="Y686" s="4" t="s">
        <v>1932</v>
      </c>
    </row>
    <row r="687" spans="1:25">
      <c r="A687" s="4">
        <v>100070251</v>
      </c>
      <c r="B687" s="4">
        <v>7</v>
      </c>
      <c r="D687" s="4">
        <v>2</v>
      </c>
      <c r="E687" s="4" t="s">
        <v>1872</v>
      </c>
      <c r="F687" s="4">
        <v>70251</v>
      </c>
      <c r="H687" s="4">
        <f t="shared" ref="H687:H691" si="8">A688</f>
        <v>100070252</v>
      </c>
      <c r="I687" s="4" t="s">
        <v>1933</v>
      </c>
      <c r="K687" s="4" t="s">
        <v>1763</v>
      </c>
      <c r="N687" s="38">
        <v>11042</v>
      </c>
      <c r="Q687" s="50">
        <v>1</v>
      </c>
      <c r="U687" s="50">
        <v>76006</v>
      </c>
      <c r="Y687" s="4" t="s">
        <v>1934</v>
      </c>
    </row>
    <row r="688" spans="1:25">
      <c r="A688" s="4">
        <v>100070252</v>
      </c>
      <c r="B688" s="4">
        <v>7</v>
      </c>
      <c r="D688" s="4">
        <v>2</v>
      </c>
      <c r="E688" s="4" t="s">
        <v>1872</v>
      </c>
      <c r="F688" s="4">
        <v>70251</v>
      </c>
      <c r="H688" s="4">
        <f t="shared" si="8"/>
        <v>100070253</v>
      </c>
      <c r="I688" s="4" t="s">
        <v>1935</v>
      </c>
      <c r="K688" s="4" t="s">
        <v>1766</v>
      </c>
      <c r="N688" s="38">
        <v>11042</v>
      </c>
      <c r="Q688" s="50">
        <v>1</v>
      </c>
      <c r="U688" s="50">
        <v>76006</v>
      </c>
      <c r="Y688" s="4" t="s">
        <v>1936</v>
      </c>
    </row>
    <row r="689" spans="1:25">
      <c r="A689" s="4">
        <v>100070253</v>
      </c>
      <c r="B689" s="4">
        <v>7</v>
      </c>
      <c r="D689" s="4">
        <v>2</v>
      </c>
      <c r="E689" s="4" t="s">
        <v>1872</v>
      </c>
      <c r="F689" s="4">
        <v>70251</v>
      </c>
      <c r="H689" s="4">
        <f t="shared" si="8"/>
        <v>100070254</v>
      </c>
      <c r="I689" s="4" t="s">
        <v>1937</v>
      </c>
      <c r="K689" s="4" t="s">
        <v>1769</v>
      </c>
      <c r="N689" s="38">
        <v>11042</v>
      </c>
      <c r="Q689" s="50">
        <v>1</v>
      </c>
      <c r="U689" s="50">
        <v>76006</v>
      </c>
      <c r="Y689" s="4" t="s">
        <v>1938</v>
      </c>
    </row>
    <row r="690" spans="1:25">
      <c r="A690" s="4">
        <v>100070254</v>
      </c>
      <c r="B690" s="4">
        <v>7</v>
      </c>
      <c r="D690" s="4">
        <v>2</v>
      </c>
      <c r="E690" s="4" t="s">
        <v>1872</v>
      </c>
      <c r="F690" s="4">
        <v>70251</v>
      </c>
      <c r="H690" s="4">
        <f t="shared" si="8"/>
        <v>100070255</v>
      </c>
      <c r="I690" s="4" t="s">
        <v>1939</v>
      </c>
      <c r="K690" s="4" t="s">
        <v>1772</v>
      </c>
      <c r="N690" s="38">
        <v>11042</v>
      </c>
      <c r="Q690" s="50">
        <v>1</v>
      </c>
      <c r="U690" s="50">
        <v>76006</v>
      </c>
      <c r="Y690" s="4" t="s">
        <v>1940</v>
      </c>
    </row>
    <row r="691" spans="1:25">
      <c r="A691" s="4">
        <v>100070255</v>
      </c>
      <c r="B691" s="4">
        <v>7</v>
      </c>
      <c r="D691" s="4">
        <v>2</v>
      </c>
      <c r="E691" s="4" t="s">
        <v>1872</v>
      </c>
      <c r="F691" s="4">
        <v>70251</v>
      </c>
      <c r="H691" s="4">
        <f t="shared" si="8"/>
        <v>100070256</v>
      </c>
      <c r="I691" s="4" t="s">
        <v>1941</v>
      </c>
      <c r="K691" s="4" t="s">
        <v>1775</v>
      </c>
      <c r="N691" s="38">
        <v>11042</v>
      </c>
      <c r="Q691" s="50">
        <v>1</v>
      </c>
      <c r="U691" s="50">
        <v>76006</v>
      </c>
      <c r="Y691" s="4" t="s">
        <v>1942</v>
      </c>
    </row>
    <row r="692" spans="1:25">
      <c r="A692" s="4">
        <v>100070256</v>
      </c>
      <c r="B692" s="4">
        <v>7</v>
      </c>
      <c r="D692" s="4">
        <v>2</v>
      </c>
      <c r="E692" s="4" t="s">
        <v>1872</v>
      </c>
      <c r="F692" s="4">
        <v>70251</v>
      </c>
      <c r="I692" s="4" t="s">
        <v>1943</v>
      </c>
      <c r="K692" s="4" t="s">
        <v>1778</v>
      </c>
      <c r="N692" s="38">
        <v>11042</v>
      </c>
      <c r="Q692" s="50">
        <v>1</v>
      </c>
      <c r="U692" s="50">
        <v>76006</v>
      </c>
      <c r="Y692" s="4" t="s">
        <v>1944</v>
      </c>
    </row>
    <row r="693" spans="1:25">
      <c r="A693" s="4">
        <v>100070261</v>
      </c>
      <c r="B693" s="4">
        <v>7</v>
      </c>
      <c r="D693" s="4">
        <v>2</v>
      </c>
      <c r="E693" s="4" t="s">
        <v>1872</v>
      </c>
      <c r="F693" s="4">
        <v>70261</v>
      </c>
      <c r="H693" s="4">
        <f t="shared" ref="H693:H699" si="9">A694</f>
        <v>100070262</v>
      </c>
      <c r="I693" s="4" t="s">
        <v>1945</v>
      </c>
      <c r="K693" s="4" t="s">
        <v>1763</v>
      </c>
      <c r="N693" s="38">
        <v>11042</v>
      </c>
      <c r="Q693" s="50">
        <v>1</v>
      </c>
      <c r="U693" s="50">
        <v>76007</v>
      </c>
      <c r="Y693" s="4" t="s">
        <v>1946</v>
      </c>
    </row>
    <row r="694" spans="1:25">
      <c r="A694" s="4">
        <v>100070262</v>
      </c>
      <c r="B694" s="4">
        <v>7</v>
      </c>
      <c r="D694" s="4">
        <v>2</v>
      </c>
      <c r="E694" s="4" t="s">
        <v>1872</v>
      </c>
      <c r="F694" s="4">
        <v>70261</v>
      </c>
      <c r="H694" s="4">
        <f t="shared" si="9"/>
        <v>100070263</v>
      </c>
      <c r="I694" s="4" t="s">
        <v>1947</v>
      </c>
      <c r="K694" s="4" t="s">
        <v>1766</v>
      </c>
      <c r="N694" s="38">
        <v>11042</v>
      </c>
      <c r="Q694" s="50">
        <v>1</v>
      </c>
      <c r="U694" s="50">
        <v>76007</v>
      </c>
      <c r="Y694" s="4" t="s">
        <v>1948</v>
      </c>
    </row>
    <row r="695" spans="1:25">
      <c r="A695" s="4">
        <v>100070263</v>
      </c>
      <c r="B695" s="4">
        <v>7</v>
      </c>
      <c r="D695" s="4">
        <v>2</v>
      </c>
      <c r="E695" s="4" t="s">
        <v>1872</v>
      </c>
      <c r="F695" s="4">
        <v>70261</v>
      </c>
      <c r="H695" s="4">
        <f t="shared" si="9"/>
        <v>100070264</v>
      </c>
      <c r="I695" s="4" t="s">
        <v>1949</v>
      </c>
      <c r="K695" s="4" t="s">
        <v>1845</v>
      </c>
      <c r="N695" s="38">
        <v>11042</v>
      </c>
      <c r="Q695" s="50">
        <v>1</v>
      </c>
      <c r="U695" s="50">
        <v>76007</v>
      </c>
      <c r="Y695" s="4" t="s">
        <v>1950</v>
      </c>
    </row>
    <row r="696" spans="1:25">
      <c r="A696" s="4">
        <v>100070264</v>
      </c>
      <c r="B696" s="4">
        <v>7</v>
      </c>
      <c r="D696" s="4">
        <v>2</v>
      </c>
      <c r="E696" s="4" t="s">
        <v>1872</v>
      </c>
      <c r="F696" s="4">
        <v>70261</v>
      </c>
      <c r="H696" s="4">
        <f t="shared" si="9"/>
        <v>100070265</v>
      </c>
      <c r="I696" s="4" t="s">
        <v>1951</v>
      </c>
      <c r="K696" s="4" t="s">
        <v>1769</v>
      </c>
      <c r="N696" s="38">
        <v>11042</v>
      </c>
      <c r="Q696" s="50">
        <v>1</v>
      </c>
      <c r="U696" s="50">
        <v>76007</v>
      </c>
      <c r="Y696" s="4" t="s">
        <v>1952</v>
      </c>
    </row>
    <row r="697" spans="1:25">
      <c r="A697" s="4">
        <v>100070265</v>
      </c>
      <c r="B697" s="4">
        <v>7</v>
      </c>
      <c r="D697" s="4">
        <v>2</v>
      </c>
      <c r="E697" s="4" t="s">
        <v>1872</v>
      </c>
      <c r="F697" s="4">
        <v>70261</v>
      </c>
      <c r="H697" s="4">
        <f t="shared" si="9"/>
        <v>100070266</v>
      </c>
      <c r="I697" s="4" t="s">
        <v>1953</v>
      </c>
      <c r="K697" s="4" t="s">
        <v>1850</v>
      </c>
      <c r="N697" s="38">
        <v>11042</v>
      </c>
      <c r="Q697" s="50">
        <v>1</v>
      </c>
      <c r="U697" s="50">
        <v>76007</v>
      </c>
      <c r="Y697" s="4" t="s">
        <v>1954</v>
      </c>
    </row>
    <row r="698" spans="1:25">
      <c r="A698" s="4">
        <v>100070266</v>
      </c>
      <c r="B698" s="4">
        <v>7</v>
      </c>
      <c r="D698" s="4">
        <v>2</v>
      </c>
      <c r="E698" s="4" t="s">
        <v>1872</v>
      </c>
      <c r="F698" s="4">
        <v>70261</v>
      </c>
      <c r="H698" s="4">
        <f t="shared" si="9"/>
        <v>100070267</v>
      </c>
      <c r="I698" s="4" t="s">
        <v>1955</v>
      </c>
      <c r="K698" s="4" t="s">
        <v>1853</v>
      </c>
      <c r="N698" s="38">
        <v>11042</v>
      </c>
      <c r="Q698" s="50">
        <v>1</v>
      </c>
      <c r="U698" s="50">
        <v>76007</v>
      </c>
      <c r="Y698" s="4" t="s">
        <v>1956</v>
      </c>
    </row>
    <row r="699" spans="1:25">
      <c r="A699" s="4">
        <v>100070267</v>
      </c>
      <c r="B699" s="4">
        <v>7</v>
      </c>
      <c r="D699" s="4">
        <v>2</v>
      </c>
      <c r="E699" s="4" t="s">
        <v>1872</v>
      </c>
      <c r="F699" s="4">
        <v>70261</v>
      </c>
      <c r="H699" s="4">
        <f t="shared" si="9"/>
        <v>100070268</v>
      </c>
      <c r="I699" s="4" t="s">
        <v>1957</v>
      </c>
      <c r="K699" s="4" t="s">
        <v>1856</v>
      </c>
      <c r="N699" s="38">
        <v>11042</v>
      </c>
      <c r="Q699" s="50">
        <v>1</v>
      </c>
      <c r="U699" s="50">
        <v>76007</v>
      </c>
      <c r="Y699" s="4" t="s">
        <v>1958</v>
      </c>
    </row>
    <row r="700" spans="1:25">
      <c r="A700" s="4">
        <v>100070268</v>
      </c>
      <c r="B700" s="4">
        <v>7</v>
      </c>
      <c r="D700" s="4">
        <v>2</v>
      </c>
      <c r="E700" s="4" t="s">
        <v>1872</v>
      </c>
      <c r="F700" s="4">
        <v>70261</v>
      </c>
      <c r="I700" s="4" t="s">
        <v>1959</v>
      </c>
      <c r="K700" s="4" t="s">
        <v>1772</v>
      </c>
      <c r="N700" s="38">
        <v>11042</v>
      </c>
      <c r="Q700" s="50">
        <v>1</v>
      </c>
      <c r="U700" s="50">
        <v>76007</v>
      </c>
      <c r="Y700" s="4" t="s">
        <v>1960</v>
      </c>
    </row>
    <row r="701" spans="1:25">
      <c r="A701" s="4">
        <v>100070271</v>
      </c>
      <c r="B701" s="4">
        <v>7</v>
      </c>
      <c r="D701" s="4">
        <v>2</v>
      </c>
      <c r="E701" s="4" t="s">
        <v>1872</v>
      </c>
      <c r="F701" s="4">
        <v>70271</v>
      </c>
      <c r="H701" s="4">
        <f t="shared" ref="H701:H705" si="10">A702</f>
        <v>100070272</v>
      </c>
      <c r="I701" s="4" t="s">
        <v>1961</v>
      </c>
      <c r="K701" s="4" t="s">
        <v>1763</v>
      </c>
      <c r="N701" s="38">
        <v>11042</v>
      </c>
      <c r="Q701" s="50">
        <v>1</v>
      </c>
      <c r="U701" s="50">
        <v>76008</v>
      </c>
      <c r="Y701" s="4" t="s">
        <v>1962</v>
      </c>
    </row>
    <row r="702" spans="1:25">
      <c r="A702" s="4">
        <v>100070272</v>
      </c>
      <c r="B702" s="4">
        <v>7</v>
      </c>
      <c r="D702" s="4">
        <v>2</v>
      </c>
      <c r="E702" s="4" t="s">
        <v>1872</v>
      </c>
      <c r="F702" s="4">
        <v>70271</v>
      </c>
      <c r="H702" s="4">
        <f t="shared" si="10"/>
        <v>100070273</v>
      </c>
      <c r="I702" s="4" t="s">
        <v>1963</v>
      </c>
      <c r="K702" s="4" t="s">
        <v>1766</v>
      </c>
      <c r="N702" s="38">
        <v>11042</v>
      </c>
      <c r="Q702" s="50">
        <v>1</v>
      </c>
      <c r="U702" s="50">
        <v>76008</v>
      </c>
      <c r="Y702" s="4" t="s">
        <v>1964</v>
      </c>
    </row>
    <row r="703" spans="1:25">
      <c r="A703" s="4">
        <v>100070273</v>
      </c>
      <c r="B703" s="4">
        <v>7</v>
      </c>
      <c r="D703" s="4">
        <v>2</v>
      </c>
      <c r="E703" s="4" t="s">
        <v>1872</v>
      </c>
      <c r="F703" s="4">
        <v>70271</v>
      </c>
      <c r="H703" s="4">
        <f t="shared" si="10"/>
        <v>100070274</v>
      </c>
      <c r="I703" s="4" t="s">
        <v>1965</v>
      </c>
      <c r="K703" s="4" t="s">
        <v>1769</v>
      </c>
      <c r="N703" s="38">
        <v>11042</v>
      </c>
      <c r="Q703" s="50">
        <v>1</v>
      </c>
      <c r="U703" s="50">
        <v>76008</v>
      </c>
      <c r="Y703" s="4" t="s">
        <v>1966</v>
      </c>
    </row>
    <row r="704" spans="1:25">
      <c r="A704" s="4">
        <v>100070274</v>
      </c>
      <c r="B704" s="4">
        <v>7</v>
      </c>
      <c r="D704" s="4">
        <v>2</v>
      </c>
      <c r="E704" s="4" t="s">
        <v>1872</v>
      </c>
      <c r="F704" s="4">
        <v>70271</v>
      </c>
      <c r="H704" s="4">
        <f t="shared" si="10"/>
        <v>100070275</v>
      </c>
      <c r="I704" s="4" t="s">
        <v>1967</v>
      </c>
      <c r="K704" s="4" t="s">
        <v>1772</v>
      </c>
      <c r="N704" s="38">
        <v>11042</v>
      </c>
      <c r="Q704" s="50">
        <v>1</v>
      </c>
      <c r="U704" s="50">
        <v>76008</v>
      </c>
      <c r="Y704" s="4" t="s">
        <v>1968</v>
      </c>
    </row>
    <row r="705" spans="1:25">
      <c r="A705" s="4">
        <v>100070275</v>
      </c>
      <c r="B705" s="4">
        <v>7</v>
      </c>
      <c r="D705" s="4">
        <v>2</v>
      </c>
      <c r="E705" s="4" t="s">
        <v>1872</v>
      </c>
      <c r="F705" s="4">
        <v>70271</v>
      </c>
      <c r="H705" s="4">
        <f t="shared" si="10"/>
        <v>100070276</v>
      </c>
      <c r="I705" s="4" t="s">
        <v>1969</v>
      </c>
      <c r="K705" s="4" t="s">
        <v>1775</v>
      </c>
      <c r="N705" s="38">
        <v>11042</v>
      </c>
      <c r="Q705" s="50">
        <v>1</v>
      </c>
      <c r="U705" s="50">
        <v>76008</v>
      </c>
      <c r="Y705" s="4" t="s">
        <v>1970</v>
      </c>
    </row>
    <row r="706" spans="1:25">
      <c r="A706" s="4">
        <v>100070276</v>
      </c>
      <c r="B706" s="4">
        <v>7</v>
      </c>
      <c r="D706" s="4">
        <v>2</v>
      </c>
      <c r="E706" s="4" t="s">
        <v>1872</v>
      </c>
      <c r="F706" s="4">
        <v>70271</v>
      </c>
      <c r="I706" s="4" t="s">
        <v>1971</v>
      </c>
      <c r="K706" s="4" t="s">
        <v>1778</v>
      </c>
      <c r="N706" s="38">
        <v>11042</v>
      </c>
      <c r="Q706" s="50">
        <v>1</v>
      </c>
      <c r="U706" s="50">
        <v>76008</v>
      </c>
      <c r="Y706" s="4" t="s">
        <v>1972</v>
      </c>
    </row>
    <row r="707" spans="1:25">
      <c r="A707" s="4">
        <v>100070301</v>
      </c>
      <c r="B707" s="4">
        <v>7</v>
      </c>
      <c r="C707" s="4" t="s">
        <v>1760</v>
      </c>
      <c r="D707" s="4">
        <v>3</v>
      </c>
      <c r="E707" s="4" t="s">
        <v>105</v>
      </c>
      <c r="F707" s="4">
        <v>70301</v>
      </c>
      <c r="H707" s="4">
        <f t="shared" ref="H707:H711" si="11">A708</f>
        <v>100070302</v>
      </c>
      <c r="I707" s="4" t="s">
        <v>1072</v>
      </c>
      <c r="K707" s="4" t="s">
        <v>1763</v>
      </c>
      <c r="N707" s="38">
        <v>3205</v>
      </c>
      <c r="Q707" s="50">
        <v>1</v>
      </c>
      <c r="U707" s="50">
        <v>76001</v>
      </c>
      <c r="Y707" s="4" t="s">
        <v>1973</v>
      </c>
    </row>
    <row r="708" spans="1:25">
      <c r="A708" s="4">
        <v>100070302</v>
      </c>
      <c r="B708" s="4">
        <v>7</v>
      </c>
      <c r="C708" s="4" t="s">
        <v>1760</v>
      </c>
      <c r="D708" s="4">
        <v>3</v>
      </c>
      <c r="E708" s="4" t="s">
        <v>105</v>
      </c>
      <c r="F708" s="4">
        <v>70301</v>
      </c>
      <c r="H708" s="4">
        <f t="shared" si="11"/>
        <v>100070303</v>
      </c>
      <c r="I708" s="4" t="s">
        <v>1083</v>
      </c>
      <c r="K708" s="4" t="s">
        <v>1766</v>
      </c>
      <c r="N708" s="38">
        <v>3205</v>
      </c>
      <c r="Q708" s="50">
        <v>1</v>
      </c>
      <c r="U708" s="50">
        <v>76001</v>
      </c>
      <c r="Y708" s="4" t="s">
        <v>1974</v>
      </c>
    </row>
    <row r="709" spans="1:25">
      <c r="A709" s="4">
        <v>100070303</v>
      </c>
      <c r="B709" s="4">
        <v>7</v>
      </c>
      <c r="C709" s="4" t="s">
        <v>1760</v>
      </c>
      <c r="D709" s="4">
        <v>3</v>
      </c>
      <c r="E709" s="4" t="s">
        <v>105</v>
      </c>
      <c r="F709" s="4">
        <v>70301</v>
      </c>
      <c r="H709" s="4">
        <f t="shared" si="11"/>
        <v>100070304</v>
      </c>
      <c r="I709" s="4" t="s">
        <v>1094</v>
      </c>
      <c r="K709" s="4" t="s">
        <v>1769</v>
      </c>
      <c r="N709" s="38">
        <v>3205</v>
      </c>
      <c r="Q709" s="50">
        <v>1</v>
      </c>
      <c r="U709" s="50">
        <v>76001</v>
      </c>
      <c r="Y709" s="4" t="s">
        <v>1975</v>
      </c>
    </row>
    <row r="710" spans="1:25">
      <c r="A710" s="4">
        <v>100070304</v>
      </c>
      <c r="B710" s="4">
        <v>7</v>
      </c>
      <c r="C710" s="4" t="s">
        <v>1760</v>
      </c>
      <c r="D710" s="4">
        <v>3</v>
      </c>
      <c r="E710" s="4" t="s">
        <v>105</v>
      </c>
      <c r="F710" s="4">
        <v>70301</v>
      </c>
      <c r="H710" s="4">
        <f t="shared" si="11"/>
        <v>100070305</v>
      </c>
      <c r="I710" s="4" t="s">
        <v>1100</v>
      </c>
      <c r="K710" s="4" t="s">
        <v>1772</v>
      </c>
      <c r="N710" s="38">
        <v>3205</v>
      </c>
      <c r="Q710" s="50">
        <v>1</v>
      </c>
      <c r="U710" s="50">
        <v>76001</v>
      </c>
      <c r="Y710" s="4" t="s">
        <v>1976</v>
      </c>
    </row>
    <row r="711" spans="1:25">
      <c r="A711" s="4">
        <v>100070305</v>
      </c>
      <c r="B711" s="4">
        <v>7</v>
      </c>
      <c r="C711" s="4" t="s">
        <v>1760</v>
      </c>
      <c r="D711" s="4">
        <v>3</v>
      </c>
      <c r="E711" s="4" t="s">
        <v>105</v>
      </c>
      <c r="F711" s="4">
        <v>70301</v>
      </c>
      <c r="H711" s="4">
        <f t="shared" si="11"/>
        <v>100070306</v>
      </c>
      <c r="I711" s="4" t="s">
        <v>1977</v>
      </c>
      <c r="K711" s="4" t="s">
        <v>1775</v>
      </c>
      <c r="N711" s="38">
        <v>3205</v>
      </c>
      <c r="Q711" s="50">
        <v>1</v>
      </c>
      <c r="U711" s="50">
        <v>76001</v>
      </c>
      <c r="Y711" s="4" t="s">
        <v>1978</v>
      </c>
    </row>
    <row r="712" spans="1:25">
      <c r="A712" s="4">
        <v>100070306</v>
      </c>
      <c r="B712" s="4">
        <v>7</v>
      </c>
      <c r="C712" s="4" t="s">
        <v>1760</v>
      </c>
      <c r="D712" s="4">
        <v>3</v>
      </c>
      <c r="E712" s="4" t="s">
        <v>105</v>
      </c>
      <c r="F712" s="4">
        <v>70301</v>
      </c>
      <c r="I712" s="4" t="s">
        <v>1979</v>
      </c>
      <c r="K712" s="4" t="s">
        <v>1778</v>
      </c>
      <c r="N712" s="38">
        <v>3205</v>
      </c>
      <c r="Q712" s="50">
        <v>1</v>
      </c>
      <c r="U712" s="50">
        <v>76001</v>
      </c>
      <c r="Y712" s="4" t="s">
        <v>1980</v>
      </c>
    </row>
    <row r="713" spans="1:25">
      <c r="A713" s="4">
        <v>100070311</v>
      </c>
      <c r="B713" s="4">
        <v>7</v>
      </c>
      <c r="D713" s="4">
        <v>3</v>
      </c>
      <c r="E713" s="4" t="s">
        <v>105</v>
      </c>
      <c r="F713" s="4">
        <v>70311</v>
      </c>
      <c r="H713" s="4">
        <f t="shared" ref="H713:H717" si="12">A714</f>
        <v>100070312</v>
      </c>
      <c r="I713" s="4" t="s">
        <v>1075</v>
      </c>
      <c r="K713" s="4" t="s">
        <v>1763</v>
      </c>
      <c r="N713" s="38">
        <v>3308</v>
      </c>
      <c r="Q713" s="50">
        <v>1</v>
      </c>
      <c r="U713" s="50">
        <v>76002</v>
      </c>
      <c r="Y713" s="4" t="s">
        <v>1981</v>
      </c>
    </row>
    <row r="714" spans="1:25">
      <c r="A714" s="4">
        <v>100070312</v>
      </c>
      <c r="B714" s="4">
        <v>7</v>
      </c>
      <c r="D714" s="4">
        <v>3</v>
      </c>
      <c r="E714" s="4" t="s">
        <v>105</v>
      </c>
      <c r="F714" s="4">
        <v>70311</v>
      </c>
      <c r="H714" s="4">
        <f t="shared" si="12"/>
        <v>100070313</v>
      </c>
      <c r="I714" s="4" t="s">
        <v>1982</v>
      </c>
      <c r="K714" s="4" t="s">
        <v>1766</v>
      </c>
      <c r="N714" s="38">
        <v>3308</v>
      </c>
      <c r="Q714" s="50">
        <v>1</v>
      </c>
      <c r="U714" s="50">
        <v>76002</v>
      </c>
      <c r="Y714" s="4" t="s">
        <v>1983</v>
      </c>
    </row>
    <row r="715" spans="1:25">
      <c r="A715" s="4">
        <v>100070313</v>
      </c>
      <c r="B715" s="4">
        <v>7</v>
      </c>
      <c r="D715" s="4">
        <v>3</v>
      </c>
      <c r="E715" s="4" t="s">
        <v>105</v>
      </c>
      <c r="F715" s="4">
        <v>70311</v>
      </c>
      <c r="H715" s="4">
        <f t="shared" si="12"/>
        <v>100070314</v>
      </c>
      <c r="I715" s="4" t="s">
        <v>1090</v>
      </c>
      <c r="K715" s="4" t="s">
        <v>1769</v>
      </c>
      <c r="N715" s="38">
        <v>3308</v>
      </c>
      <c r="Q715" s="50">
        <v>1</v>
      </c>
      <c r="U715" s="50">
        <v>76002</v>
      </c>
      <c r="Y715" s="4" t="s">
        <v>1984</v>
      </c>
    </row>
    <row r="716" spans="1:25">
      <c r="A716" s="4">
        <v>100070314</v>
      </c>
      <c r="B716" s="4">
        <v>7</v>
      </c>
      <c r="D716" s="4">
        <v>3</v>
      </c>
      <c r="E716" s="4" t="s">
        <v>105</v>
      </c>
      <c r="F716" s="4">
        <v>70311</v>
      </c>
      <c r="H716" s="4">
        <f t="shared" si="12"/>
        <v>100070315</v>
      </c>
      <c r="I716" s="4" t="s">
        <v>1985</v>
      </c>
      <c r="K716" s="4" t="s">
        <v>1772</v>
      </c>
      <c r="N716" s="38">
        <v>3308</v>
      </c>
      <c r="Q716" s="50">
        <v>1</v>
      </c>
      <c r="U716" s="50">
        <v>76002</v>
      </c>
      <c r="Y716" s="4" t="s">
        <v>1986</v>
      </c>
    </row>
    <row r="717" spans="1:25">
      <c r="A717" s="4">
        <v>100070315</v>
      </c>
      <c r="B717" s="4">
        <v>7</v>
      </c>
      <c r="D717" s="4">
        <v>3</v>
      </c>
      <c r="E717" s="4" t="s">
        <v>105</v>
      </c>
      <c r="F717" s="4">
        <v>70311</v>
      </c>
      <c r="H717" s="4">
        <f t="shared" si="12"/>
        <v>100070316</v>
      </c>
      <c r="I717" s="4" t="s">
        <v>1987</v>
      </c>
      <c r="K717" s="4" t="s">
        <v>1775</v>
      </c>
      <c r="N717" s="38">
        <v>3308</v>
      </c>
      <c r="Q717" s="50">
        <v>1</v>
      </c>
      <c r="U717" s="50">
        <v>76002</v>
      </c>
      <c r="Y717" s="4" t="s">
        <v>1988</v>
      </c>
    </row>
    <row r="718" spans="1:25">
      <c r="A718" s="4">
        <v>100070316</v>
      </c>
      <c r="B718" s="4">
        <v>7</v>
      </c>
      <c r="D718" s="4">
        <v>3</v>
      </c>
      <c r="E718" s="4" t="s">
        <v>105</v>
      </c>
      <c r="F718" s="4">
        <v>70311</v>
      </c>
      <c r="I718" s="4" t="s">
        <v>1989</v>
      </c>
      <c r="K718" s="4" t="s">
        <v>1778</v>
      </c>
      <c r="N718" s="38">
        <v>3308</v>
      </c>
      <c r="Q718" s="50">
        <v>1</v>
      </c>
      <c r="U718" s="50">
        <v>76002</v>
      </c>
      <c r="Y718" s="4" t="s">
        <v>1990</v>
      </c>
    </row>
    <row r="719" spans="1:25">
      <c r="A719" s="4">
        <v>100070321</v>
      </c>
      <c r="B719" s="4">
        <v>7</v>
      </c>
      <c r="D719" s="4">
        <v>3</v>
      </c>
      <c r="E719" s="4" t="s">
        <v>105</v>
      </c>
      <c r="F719" s="4">
        <v>70321</v>
      </c>
      <c r="H719" s="4">
        <f t="shared" ref="H719:H723" si="13">A720</f>
        <v>100070322</v>
      </c>
      <c r="I719" s="4" t="s">
        <v>1991</v>
      </c>
      <c r="K719" s="4" t="s">
        <v>1763</v>
      </c>
      <c r="N719" s="38">
        <v>11003</v>
      </c>
      <c r="Q719" s="50">
        <v>1</v>
      </c>
      <c r="U719" s="50">
        <v>76003</v>
      </c>
      <c r="Y719" s="4" t="s">
        <v>1992</v>
      </c>
    </row>
    <row r="720" spans="1:25">
      <c r="A720" s="4">
        <v>100070322</v>
      </c>
      <c r="B720" s="4">
        <v>7</v>
      </c>
      <c r="D720" s="4">
        <v>3</v>
      </c>
      <c r="E720" s="4" t="s">
        <v>105</v>
      </c>
      <c r="F720" s="4">
        <v>70321</v>
      </c>
      <c r="H720" s="4">
        <f t="shared" si="13"/>
        <v>100070323</v>
      </c>
      <c r="I720" s="4" t="s">
        <v>1993</v>
      </c>
      <c r="K720" s="4" t="s">
        <v>1766</v>
      </c>
      <c r="N720" s="38">
        <v>11003</v>
      </c>
      <c r="Q720" s="50">
        <v>1</v>
      </c>
      <c r="U720" s="50">
        <v>76003</v>
      </c>
      <c r="Y720" s="4" t="s">
        <v>1994</v>
      </c>
    </row>
    <row r="721" spans="1:25">
      <c r="A721" s="4">
        <v>100070323</v>
      </c>
      <c r="B721" s="4">
        <v>7</v>
      </c>
      <c r="D721" s="4">
        <v>3</v>
      </c>
      <c r="E721" s="4" t="s">
        <v>105</v>
      </c>
      <c r="F721" s="4">
        <v>70321</v>
      </c>
      <c r="H721" s="4">
        <f t="shared" si="13"/>
        <v>100070324</v>
      </c>
      <c r="I721" s="4" t="s">
        <v>1995</v>
      </c>
      <c r="K721" s="4" t="s">
        <v>1769</v>
      </c>
      <c r="N721" s="38">
        <v>11003</v>
      </c>
      <c r="Q721" s="50">
        <v>1</v>
      </c>
      <c r="U721" s="50">
        <v>76003</v>
      </c>
      <c r="Y721" s="4" t="s">
        <v>1996</v>
      </c>
    </row>
    <row r="722" spans="1:25">
      <c r="A722" s="4">
        <v>100070324</v>
      </c>
      <c r="B722" s="4">
        <v>7</v>
      </c>
      <c r="D722" s="4">
        <v>3</v>
      </c>
      <c r="E722" s="4" t="s">
        <v>105</v>
      </c>
      <c r="F722" s="4">
        <v>70321</v>
      </c>
      <c r="H722" s="4">
        <f t="shared" si="13"/>
        <v>100070325</v>
      </c>
      <c r="I722" s="4" t="s">
        <v>1997</v>
      </c>
      <c r="K722" s="4" t="s">
        <v>1772</v>
      </c>
      <c r="N722" s="38">
        <v>11003</v>
      </c>
      <c r="Q722" s="50">
        <v>1</v>
      </c>
      <c r="U722" s="50">
        <v>76003</v>
      </c>
      <c r="Y722" s="4" t="s">
        <v>1998</v>
      </c>
    </row>
    <row r="723" spans="1:25">
      <c r="A723" s="4">
        <v>100070325</v>
      </c>
      <c r="B723" s="4">
        <v>7</v>
      </c>
      <c r="D723" s="4">
        <v>3</v>
      </c>
      <c r="E723" s="4" t="s">
        <v>105</v>
      </c>
      <c r="F723" s="4">
        <v>70321</v>
      </c>
      <c r="H723" s="4">
        <f t="shared" si="13"/>
        <v>100070326</v>
      </c>
      <c r="I723" s="4" t="s">
        <v>1999</v>
      </c>
      <c r="K723" s="4" t="s">
        <v>1775</v>
      </c>
      <c r="N723" s="38">
        <v>11003</v>
      </c>
      <c r="Q723" s="50">
        <v>1</v>
      </c>
      <c r="U723" s="50">
        <v>76003</v>
      </c>
      <c r="Y723" s="4" t="s">
        <v>2000</v>
      </c>
    </row>
    <row r="724" spans="1:25">
      <c r="A724" s="4">
        <v>100070326</v>
      </c>
      <c r="B724" s="4">
        <v>7</v>
      </c>
      <c r="D724" s="4">
        <v>3</v>
      </c>
      <c r="E724" s="4" t="s">
        <v>105</v>
      </c>
      <c r="F724" s="4">
        <v>70321</v>
      </c>
      <c r="I724" s="4" t="s">
        <v>2001</v>
      </c>
      <c r="K724" s="4" t="s">
        <v>1778</v>
      </c>
      <c r="N724" s="38">
        <v>11003</v>
      </c>
      <c r="Q724" s="50">
        <v>1</v>
      </c>
      <c r="U724" s="50">
        <v>76003</v>
      </c>
      <c r="Y724" s="4" t="s">
        <v>2002</v>
      </c>
    </row>
    <row r="725" spans="1:25">
      <c r="A725" s="4">
        <v>100070331</v>
      </c>
      <c r="B725" s="4">
        <v>7</v>
      </c>
      <c r="D725" s="4">
        <v>3</v>
      </c>
      <c r="E725" s="4" t="s">
        <v>105</v>
      </c>
      <c r="F725" s="4">
        <v>70331</v>
      </c>
      <c r="H725" s="4">
        <f t="shared" ref="H725:H729" si="14">A726</f>
        <v>100070332</v>
      </c>
      <c r="I725" s="4" t="s">
        <v>2003</v>
      </c>
      <c r="K725" s="4" t="s">
        <v>1763</v>
      </c>
      <c r="N725" s="38">
        <v>11003</v>
      </c>
      <c r="Q725" s="50">
        <v>1</v>
      </c>
      <c r="U725" s="50">
        <v>76004</v>
      </c>
      <c r="Y725" s="4" t="s">
        <v>2004</v>
      </c>
    </row>
    <row r="726" spans="1:25">
      <c r="A726" s="4">
        <v>100070332</v>
      </c>
      <c r="B726" s="4">
        <v>7</v>
      </c>
      <c r="D726" s="4">
        <v>3</v>
      </c>
      <c r="E726" s="4" t="s">
        <v>105</v>
      </c>
      <c r="F726" s="4">
        <v>70331</v>
      </c>
      <c r="H726" s="4">
        <f t="shared" si="14"/>
        <v>100070333</v>
      </c>
      <c r="I726" s="4" t="s">
        <v>2005</v>
      </c>
      <c r="K726" s="4" t="s">
        <v>1766</v>
      </c>
      <c r="N726" s="38">
        <v>11003</v>
      </c>
      <c r="Q726" s="50">
        <v>1</v>
      </c>
      <c r="U726" s="50">
        <v>76004</v>
      </c>
      <c r="Y726" s="4" t="s">
        <v>2006</v>
      </c>
    </row>
    <row r="727" spans="1:25">
      <c r="A727" s="4">
        <v>100070333</v>
      </c>
      <c r="B727" s="4">
        <v>7</v>
      </c>
      <c r="D727" s="4">
        <v>3</v>
      </c>
      <c r="E727" s="4" t="s">
        <v>105</v>
      </c>
      <c r="F727" s="4">
        <v>70331</v>
      </c>
      <c r="H727" s="4">
        <f t="shared" si="14"/>
        <v>100070334</v>
      </c>
      <c r="I727" s="4" t="s">
        <v>2007</v>
      </c>
      <c r="K727" s="4" t="s">
        <v>1769</v>
      </c>
      <c r="N727" s="38">
        <v>11003</v>
      </c>
      <c r="Q727" s="50">
        <v>1</v>
      </c>
      <c r="U727" s="50">
        <v>76004</v>
      </c>
      <c r="Y727" s="4" t="s">
        <v>2008</v>
      </c>
    </row>
    <row r="728" spans="1:25">
      <c r="A728" s="4">
        <v>100070334</v>
      </c>
      <c r="B728" s="4">
        <v>7</v>
      </c>
      <c r="D728" s="4">
        <v>3</v>
      </c>
      <c r="E728" s="4" t="s">
        <v>105</v>
      </c>
      <c r="F728" s="4">
        <v>70331</v>
      </c>
      <c r="H728" s="4">
        <f t="shared" si="14"/>
        <v>100070335</v>
      </c>
      <c r="I728" s="4" t="s">
        <v>2009</v>
      </c>
      <c r="K728" s="4" t="s">
        <v>1772</v>
      </c>
      <c r="N728" s="38">
        <v>11003</v>
      </c>
      <c r="Q728" s="50">
        <v>1</v>
      </c>
      <c r="U728" s="50">
        <v>76004</v>
      </c>
      <c r="Y728" s="4" t="s">
        <v>2010</v>
      </c>
    </row>
    <row r="729" spans="1:25">
      <c r="A729" s="4">
        <v>100070335</v>
      </c>
      <c r="B729" s="4">
        <v>7</v>
      </c>
      <c r="D729" s="4">
        <v>3</v>
      </c>
      <c r="E729" s="4" t="s">
        <v>105</v>
      </c>
      <c r="F729" s="4">
        <v>70331</v>
      </c>
      <c r="H729" s="4">
        <f t="shared" si="14"/>
        <v>100070336</v>
      </c>
      <c r="I729" s="4" t="s">
        <v>2011</v>
      </c>
      <c r="K729" s="4" t="s">
        <v>1775</v>
      </c>
      <c r="N729" s="38">
        <v>11003</v>
      </c>
      <c r="Q729" s="50">
        <v>1</v>
      </c>
      <c r="U729" s="50">
        <v>76004</v>
      </c>
      <c r="Y729" s="4" t="s">
        <v>2012</v>
      </c>
    </row>
    <row r="730" spans="1:25">
      <c r="A730" s="4">
        <v>100070336</v>
      </c>
      <c r="B730" s="4">
        <v>7</v>
      </c>
      <c r="D730" s="4">
        <v>3</v>
      </c>
      <c r="E730" s="4" t="s">
        <v>105</v>
      </c>
      <c r="F730" s="4">
        <v>70331</v>
      </c>
      <c r="I730" s="4" t="s">
        <v>2013</v>
      </c>
      <c r="K730" s="4" t="s">
        <v>1778</v>
      </c>
      <c r="N730" s="38">
        <v>11003</v>
      </c>
      <c r="Q730" s="50">
        <v>1</v>
      </c>
      <c r="U730" s="50">
        <v>76004</v>
      </c>
      <c r="Y730" s="4" t="s">
        <v>2014</v>
      </c>
    </row>
    <row r="731" spans="1:25">
      <c r="A731" s="4">
        <v>100070341</v>
      </c>
      <c r="B731" s="4">
        <v>7</v>
      </c>
      <c r="D731" s="4">
        <v>3</v>
      </c>
      <c r="E731" s="4" t="s">
        <v>105</v>
      </c>
      <c r="F731" s="4">
        <v>70341</v>
      </c>
      <c r="H731" s="4">
        <f t="shared" ref="H731:H735" si="15">A732</f>
        <v>100070342</v>
      </c>
      <c r="I731" s="4" t="s">
        <v>2015</v>
      </c>
      <c r="K731" s="4" t="s">
        <v>1763</v>
      </c>
      <c r="N731" s="38">
        <v>11003</v>
      </c>
      <c r="Q731" s="50">
        <v>1</v>
      </c>
      <c r="U731" s="50">
        <v>76009</v>
      </c>
      <c r="Y731" s="4" t="s">
        <v>2016</v>
      </c>
    </row>
    <row r="732" spans="1:25">
      <c r="A732" s="4">
        <v>100070342</v>
      </c>
      <c r="B732" s="4">
        <v>7</v>
      </c>
      <c r="D732" s="4">
        <v>3</v>
      </c>
      <c r="E732" s="4" t="s">
        <v>105</v>
      </c>
      <c r="F732" s="4">
        <v>70341</v>
      </c>
      <c r="H732" s="4">
        <f t="shared" si="15"/>
        <v>100070343</v>
      </c>
      <c r="I732" s="4" t="s">
        <v>2017</v>
      </c>
      <c r="K732" s="4" t="s">
        <v>1766</v>
      </c>
      <c r="N732" s="38">
        <v>11003</v>
      </c>
      <c r="Q732" s="50">
        <v>1</v>
      </c>
      <c r="U732" s="50">
        <v>76009</v>
      </c>
      <c r="Y732" s="4" t="s">
        <v>2018</v>
      </c>
    </row>
    <row r="733" spans="1:25">
      <c r="A733" s="4">
        <v>100070343</v>
      </c>
      <c r="B733" s="4">
        <v>7</v>
      </c>
      <c r="D733" s="4">
        <v>3</v>
      </c>
      <c r="E733" s="4" t="s">
        <v>105</v>
      </c>
      <c r="F733" s="4">
        <v>70341</v>
      </c>
      <c r="H733" s="4">
        <f t="shared" si="15"/>
        <v>100070344</v>
      </c>
      <c r="I733" s="4" t="s">
        <v>2019</v>
      </c>
      <c r="K733" s="4" t="s">
        <v>1769</v>
      </c>
      <c r="N733" s="38">
        <v>11003</v>
      </c>
      <c r="Q733" s="50">
        <v>1</v>
      </c>
      <c r="U733" s="50">
        <v>76009</v>
      </c>
      <c r="Y733" s="4" t="s">
        <v>2020</v>
      </c>
    </row>
    <row r="734" spans="1:25">
      <c r="A734" s="4">
        <v>100070344</v>
      </c>
      <c r="B734" s="4">
        <v>7</v>
      </c>
      <c r="D734" s="4">
        <v>3</v>
      </c>
      <c r="E734" s="4" t="s">
        <v>105</v>
      </c>
      <c r="F734" s="4">
        <v>70341</v>
      </c>
      <c r="H734" s="4">
        <f t="shared" si="15"/>
        <v>100070345</v>
      </c>
      <c r="I734" s="4" t="s">
        <v>2021</v>
      </c>
      <c r="K734" s="4" t="s">
        <v>1772</v>
      </c>
      <c r="N734" s="38">
        <v>11003</v>
      </c>
      <c r="Q734" s="50">
        <v>1</v>
      </c>
      <c r="U734" s="50">
        <v>76009</v>
      </c>
      <c r="Y734" s="4" t="s">
        <v>2022</v>
      </c>
    </row>
    <row r="735" spans="1:25">
      <c r="A735" s="4">
        <v>100070345</v>
      </c>
      <c r="B735" s="4">
        <v>7</v>
      </c>
      <c r="D735" s="4">
        <v>3</v>
      </c>
      <c r="E735" s="4" t="s">
        <v>105</v>
      </c>
      <c r="F735" s="4">
        <v>70341</v>
      </c>
      <c r="H735" s="4">
        <f t="shared" si="15"/>
        <v>100070346</v>
      </c>
      <c r="I735" s="4" t="s">
        <v>2023</v>
      </c>
      <c r="K735" s="4" t="s">
        <v>1775</v>
      </c>
      <c r="N735" s="38">
        <v>11003</v>
      </c>
      <c r="Q735" s="50">
        <v>1</v>
      </c>
      <c r="U735" s="50">
        <v>76009</v>
      </c>
      <c r="Y735" s="4" t="s">
        <v>2024</v>
      </c>
    </row>
    <row r="736" spans="1:25">
      <c r="A736" s="4">
        <v>100070346</v>
      </c>
      <c r="B736" s="4">
        <v>7</v>
      </c>
      <c r="D736" s="4">
        <v>3</v>
      </c>
      <c r="E736" s="4" t="s">
        <v>105</v>
      </c>
      <c r="F736" s="4">
        <v>70341</v>
      </c>
      <c r="I736" s="4" t="s">
        <v>2025</v>
      </c>
      <c r="K736" s="4" t="s">
        <v>1778</v>
      </c>
      <c r="N736" s="38">
        <v>11003</v>
      </c>
      <c r="Q736" s="50">
        <v>1</v>
      </c>
      <c r="U736" s="50">
        <v>76009</v>
      </c>
      <c r="Y736" s="4" t="s">
        <v>2026</v>
      </c>
    </row>
    <row r="737" spans="1:25">
      <c r="A737" s="4">
        <v>100070351</v>
      </c>
      <c r="B737" s="4">
        <v>7</v>
      </c>
      <c r="D737" s="4">
        <v>3</v>
      </c>
      <c r="E737" s="4" t="s">
        <v>105</v>
      </c>
      <c r="F737" s="4">
        <v>70351</v>
      </c>
      <c r="H737" s="4">
        <f t="shared" ref="H737:H741" si="16">A738</f>
        <v>100070352</v>
      </c>
      <c r="I737" s="4" t="s">
        <v>2027</v>
      </c>
      <c r="K737" s="4" t="s">
        <v>1763</v>
      </c>
      <c r="N737" s="38">
        <v>11003</v>
      </c>
      <c r="Q737" s="50">
        <v>1</v>
      </c>
      <c r="U737" s="50">
        <v>76006</v>
      </c>
      <c r="Y737" s="4" t="s">
        <v>2028</v>
      </c>
    </row>
    <row r="738" spans="1:25">
      <c r="A738" s="4">
        <v>100070352</v>
      </c>
      <c r="B738" s="4">
        <v>7</v>
      </c>
      <c r="D738" s="4">
        <v>3</v>
      </c>
      <c r="E738" s="4" t="s">
        <v>105</v>
      </c>
      <c r="F738" s="4">
        <v>70351</v>
      </c>
      <c r="H738" s="4">
        <f t="shared" si="16"/>
        <v>100070353</v>
      </c>
      <c r="I738" s="4" t="s">
        <v>2029</v>
      </c>
      <c r="K738" s="4" t="s">
        <v>1766</v>
      </c>
      <c r="N738" s="38">
        <v>11003</v>
      </c>
      <c r="Q738" s="50">
        <v>1</v>
      </c>
      <c r="U738" s="50">
        <v>76006</v>
      </c>
      <c r="Y738" s="4" t="s">
        <v>2030</v>
      </c>
    </row>
    <row r="739" spans="1:25">
      <c r="A739" s="4">
        <v>100070353</v>
      </c>
      <c r="B739" s="4">
        <v>7</v>
      </c>
      <c r="D739" s="4">
        <v>3</v>
      </c>
      <c r="E739" s="4" t="s">
        <v>105</v>
      </c>
      <c r="F739" s="4">
        <v>70351</v>
      </c>
      <c r="H739" s="4">
        <f t="shared" si="16"/>
        <v>100070354</v>
      </c>
      <c r="I739" s="4" t="s">
        <v>2031</v>
      </c>
      <c r="K739" s="4" t="s">
        <v>1769</v>
      </c>
      <c r="N739" s="38">
        <v>11003</v>
      </c>
      <c r="Q739" s="50">
        <v>1</v>
      </c>
      <c r="U739" s="50">
        <v>76006</v>
      </c>
      <c r="Y739" s="4" t="s">
        <v>2032</v>
      </c>
    </row>
    <row r="740" spans="1:25">
      <c r="A740" s="4">
        <v>100070354</v>
      </c>
      <c r="B740" s="4">
        <v>7</v>
      </c>
      <c r="D740" s="4">
        <v>3</v>
      </c>
      <c r="E740" s="4" t="s">
        <v>105</v>
      </c>
      <c r="F740" s="4">
        <v>70351</v>
      </c>
      <c r="H740" s="4">
        <f t="shared" si="16"/>
        <v>100070355</v>
      </c>
      <c r="I740" s="4" t="s">
        <v>2033</v>
      </c>
      <c r="K740" s="4" t="s">
        <v>1772</v>
      </c>
      <c r="N740" s="38">
        <v>11003</v>
      </c>
      <c r="Q740" s="50">
        <v>1</v>
      </c>
      <c r="U740" s="50">
        <v>76006</v>
      </c>
      <c r="Y740" s="4" t="s">
        <v>2034</v>
      </c>
    </row>
    <row r="741" spans="1:25">
      <c r="A741" s="4">
        <v>100070355</v>
      </c>
      <c r="B741" s="4">
        <v>7</v>
      </c>
      <c r="D741" s="4">
        <v>3</v>
      </c>
      <c r="E741" s="4" t="s">
        <v>105</v>
      </c>
      <c r="F741" s="4">
        <v>70351</v>
      </c>
      <c r="H741" s="4">
        <f t="shared" si="16"/>
        <v>100070356</v>
      </c>
      <c r="I741" s="4" t="s">
        <v>2035</v>
      </c>
      <c r="K741" s="4" t="s">
        <v>1775</v>
      </c>
      <c r="N741" s="38">
        <v>11003</v>
      </c>
      <c r="Q741" s="50">
        <v>1</v>
      </c>
      <c r="U741" s="50">
        <v>76006</v>
      </c>
      <c r="Y741" s="4" t="s">
        <v>2036</v>
      </c>
    </row>
    <row r="742" spans="1:25">
      <c r="A742" s="4">
        <v>100070356</v>
      </c>
      <c r="B742" s="4">
        <v>7</v>
      </c>
      <c r="D742" s="4">
        <v>3</v>
      </c>
      <c r="E742" s="4" t="s">
        <v>105</v>
      </c>
      <c r="F742" s="4">
        <v>70351</v>
      </c>
      <c r="I742" s="4" t="s">
        <v>2037</v>
      </c>
      <c r="K742" s="4" t="s">
        <v>1778</v>
      </c>
      <c r="N742" s="38">
        <v>11003</v>
      </c>
      <c r="Q742" s="50">
        <v>1</v>
      </c>
      <c r="U742" s="50">
        <v>76006</v>
      </c>
      <c r="Y742" s="4" t="s">
        <v>2038</v>
      </c>
    </row>
    <row r="743" spans="1:25">
      <c r="A743" s="4">
        <v>100070361</v>
      </c>
      <c r="B743" s="4">
        <v>7</v>
      </c>
      <c r="D743" s="4">
        <v>3</v>
      </c>
      <c r="E743" s="4" t="s">
        <v>105</v>
      </c>
      <c r="F743" s="4">
        <v>70361</v>
      </c>
      <c r="H743" s="4">
        <f t="shared" ref="H743:H749" si="17">A744</f>
        <v>100070362</v>
      </c>
      <c r="I743" s="4" t="s">
        <v>2039</v>
      </c>
      <c r="K743" s="4" t="s">
        <v>1763</v>
      </c>
      <c r="N743" s="38">
        <v>11003</v>
      </c>
      <c r="Q743" s="50">
        <v>1</v>
      </c>
      <c r="U743" s="50">
        <v>76007</v>
      </c>
      <c r="Y743" s="4" t="s">
        <v>2040</v>
      </c>
    </row>
    <row r="744" spans="1:25">
      <c r="A744" s="4">
        <v>100070362</v>
      </c>
      <c r="B744" s="4">
        <v>7</v>
      </c>
      <c r="D744" s="4">
        <v>3</v>
      </c>
      <c r="E744" s="4" t="s">
        <v>105</v>
      </c>
      <c r="F744" s="4">
        <v>70361</v>
      </c>
      <c r="H744" s="4">
        <f t="shared" si="17"/>
        <v>100070363</v>
      </c>
      <c r="I744" s="4" t="s">
        <v>2041</v>
      </c>
      <c r="K744" s="4" t="s">
        <v>1766</v>
      </c>
      <c r="N744" s="38">
        <v>11003</v>
      </c>
      <c r="Q744" s="50">
        <v>1</v>
      </c>
      <c r="U744" s="50">
        <v>76007</v>
      </c>
      <c r="Y744" s="4" t="s">
        <v>2042</v>
      </c>
    </row>
    <row r="745" spans="1:25">
      <c r="A745" s="4">
        <v>100070363</v>
      </c>
      <c r="B745" s="4">
        <v>7</v>
      </c>
      <c r="D745" s="4">
        <v>3</v>
      </c>
      <c r="E745" s="4" t="s">
        <v>105</v>
      </c>
      <c r="F745" s="4">
        <v>70361</v>
      </c>
      <c r="H745" s="4">
        <f t="shared" si="17"/>
        <v>100070364</v>
      </c>
      <c r="I745" s="4" t="s">
        <v>2043</v>
      </c>
      <c r="K745" s="4" t="s">
        <v>1845</v>
      </c>
      <c r="N745" s="38">
        <v>11003</v>
      </c>
      <c r="Q745" s="50">
        <v>1</v>
      </c>
      <c r="U745" s="50">
        <v>76007</v>
      </c>
      <c r="Y745" s="4" t="s">
        <v>2044</v>
      </c>
    </row>
    <row r="746" spans="1:25">
      <c r="A746" s="4">
        <v>100070364</v>
      </c>
      <c r="B746" s="4">
        <v>7</v>
      </c>
      <c r="D746" s="4">
        <v>3</v>
      </c>
      <c r="E746" s="4" t="s">
        <v>105</v>
      </c>
      <c r="F746" s="4">
        <v>70361</v>
      </c>
      <c r="H746" s="4">
        <f t="shared" si="17"/>
        <v>100070365</v>
      </c>
      <c r="I746" s="4" t="s">
        <v>2045</v>
      </c>
      <c r="K746" s="4" t="s">
        <v>1769</v>
      </c>
      <c r="N746" s="38">
        <v>11003</v>
      </c>
      <c r="Q746" s="50">
        <v>1</v>
      </c>
      <c r="U746" s="50">
        <v>76007</v>
      </c>
      <c r="Y746" s="4" t="s">
        <v>2046</v>
      </c>
    </row>
    <row r="747" spans="1:25">
      <c r="A747" s="4">
        <v>100070365</v>
      </c>
      <c r="B747" s="4">
        <v>7</v>
      </c>
      <c r="D747" s="4">
        <v>3</v>
      </c>
      <c r="E747" s="4" t="s">
        <v>105</v>
      </c>
      <c r="F747" s="4">
        <v>70361</v>
      </c>
      <c r="H747" s="4">
        <f t="shared" si="17"/>
        <v>100070366</v>
      </c>
      <c r="I747" s="4" t="s">
        <v>2047</v>
      </c>
      <c r="K747" s="4" t="s">
        <v>1850</v>
      </c>
      <c r="N747" s="38">
        <v>11003</v>
      </c>
      <c r="Q747" s="50">
        <v>1</v>
      </c>
      <c r="U747" s="50">
        <v>76007</v>
      </c>
      <c r="Y747" s="4" t="s">
        <v>2048</v>
      </c>
    </row>
    <row r="748" spans="1:25">
      <c r="A748" s="4">
        <v>100070366</v>
      </c>
      <c r="B748" s="4">
        <v>7</v>
      </c>
      <c r="D748" s="4">
        <v>3</v>
      </c>
      <c r="E748" s="4" t="s">
        <v>105</v>
      </c>
      <c r="F748" s="4">
        <v>70361</v>
      </c>
      <c r="H748" s="4">
        <f t="shared" si="17"/>
        <v>100070367</v>
      </c>
      <c r="I748" s="4" t="s">
        <v>2049</v>
      </c>
      <c r="K748" s="4" t="s">
        <v>1853</v>
      </c>
      <c r="N748" s="38">
        <v>11003</v>
      </c>
      <c r="Q748" s="50">
        <v>1</v>
      </c>
      <c r="U748" s="50">
        <v>76007</v>
      </c>
      <c r="Y748" s="4" t="s">
        <v>2050</v>
      </c>
    </row>
    <row r="749" spans="1:25">
      <c r="A749" s="4">
        <v>100070367</v>
      </c>
      <c r="B749" s="4">
        <v>7</v>
      </c>
      <c r="D749" s="4">
        <v>3</v>
      </c>
      <c r="E749" s="4" t="s">
        <v>105</v>
      </c>
      <c r="F749" s="4">
        <v>70361</v>
      </c>
      <c r="H749" s="4">
        <f t="shared" si="17"/>
        <v>100070368</v>
      </c>
      <c r="I749" s="4" t="s">
        <v>2051</v>
      </c>
      <c r="K749" s="4" t="s">
        <v>1856</v>
      </c>
      <c r="N749" s="38">
        <v>11003</v>
      </c>
      <c r="Q749" s="50">
        <v>1</v>
      </c>
      <c r="U749" s="50">
        <v>76007</v>
      </c>
      <c r="Y749" s="4" t="s">
        <v>2052</v>
      </c>
    </row>
    <row r="750" spans="1:25">
      <c r="A750" s="4">
        <v>100070368</v>
      </c>
      <c r="B750" s="4">
        <v>7</v>
      </c>
      <c r="D750" s="4">
        <v>3</v>
      </c>
      <c r="E750" s="4" t="s">
        <v>105</v>
      </c>
      <c r="F750" s="4">
        <v>70361</v>
      </c>
      <c r="I750" s="4" t="s">
        <v>2053</v>
      </c>
      <c r="K750" s="4" t="s">
        <v>1772</v>
      </c>
      <c r="N750" s="38">
        <v>11003</v>
      </c>
      <c r="Q750" s="50">
        <v>1</v>
      </c>
      <c r="U750" s="50">
        <v>76007</v>
      </c>
      <c r="Y750" s="4" t="s">
        <v>2054</v>
      </c>
    </row>
    <row r="751" spans="1:25">
      <c r="A751" s="4">
        <v>100070371</v>
      </c>
      <c r="B751" s="4">
        <v>7</v>
      </c>
      <c r="D751" s="4">
        <v>3</v>
      </c>
      <c r="E751" s="4" t="s">
        <v>105</v>
      </c>
      <c r="F751" s="4">
        <v>70371</v>
      </c>
      <c r="H751" s="4">
        <f t="shared" ref="H751:H755" si="18">A752</f>
        <v>100070372</v>
      </c>
      <c r="I751" s="4" t="s">
        <v>2055</v>
      </c>
      <c r="K751" s="4" t="s">
        <v>1763</v>
      </c>
      <c r="N751" s="38">
        <v>11003</v>
      </c>
      <c r="Q751" s="50">
        <v>1</v>
      </c>
      <c r="U751" s="50">
        <v>76008</v>
      </c>
      <c r="Y751" s="4" t="s">
        <v>2056</v>
      </c>
    </row>
    <row r="752" spans="1:25">
      <c r="A752" s="4">
        <v>100070372</v>
      </c>
      <c r="B752" s="4">
        <v>7</v>
      </c>
      <c r="D752" s="4">
        <v>3</v>
      </c>
      <c r="E752" s="4" t="s">
        <v>105</v>
      </c>
      <c r="F752" s="4">
        <v>70371</v>
      </c>
      <c r="H752" s="4">
        <f t="shared" si="18"/>
        <v>100070373</v>
      </c>
      <c r="I752" s="4" t="s">
        <v>2057</v>
      </c>
      <c r="K752" s="4" t="s">
        <v>1766</v>
      </c>
      <c r="N752" s="38">
        <v>11003</v>
      </c>
      <c r="Q752" s="50">
        <v>1</v>
      </c>
      <c r="U752" s="50">
        <v>76008</v>
      </c>
      <c r="Y752" s="4" t="s">
        <v>2058</v>
      </c>
    </row>
    <row r="753" spans="1:25">
      <c r="A753" s="4">
        <v>100070373</v>
      </c>
      <c r="B753" s="4">
        <v>7</v>
      </c>
      <c r="D753" s="4">
        <v>3</v>
      </c>
      <c r="E753" s="4" t="s">
        <v>105</v>
      </c>
      <c r="F753" s="4">
        <v>70371</v>
      </c>
      <c r="H753" s="4">
        <f t="shared" si="18"/>
        <v>100070374</v>
      </c>
      <c r="I753" s="4" t="s">
        <v>2059</v>
      </c>
      <c r="K753" s="4" t="s">
        <v>1769</v>
      </c>
      <c r="N753" s="38">
        <v>11003</v>
      </c>
      <c r="Q753" s="50">
        <v>1</v>
      </c>
      <c r="U753" s="50">
        <v>76008</v>
      </c>
      <c r="Y753" s="4" t="s">
        <v>2060</v>
      </c>
    </row>
    <row r="754" spans="1:25">
      <c r="A754" s="4">
        <v>100070374</v>
      </c>
      <c r="B754" s="4">
        <v>7</v>
      </c>
      <c r="D754" s="4">
        <v>3</v>
      </c>
      <c r="E754" s="4" t="s">
        <v>105</v>
      </c>
      <c r="F754" s="4">
        <v>70371</v>
      </c>
      <c r="H754" s="4">
        <f t="shared" si="18"/>
        <v>100070375</v>
      </c>
      <c r="I754" s="4" t="s">
        <v>2061</v>
      </c>
      <c r="K754" s="4" t="s">
        <v>1772</v>
      </c>
      <c r="N754" s="38">
        <v>11003</v>
      </c>
      <c r="Q754" s="50">
        <v>1</v>
      </c>
      <c r="U754" s="50">
        <v>76008</v>
      </c>
      <c r="Y754" s="4" t="s">
        <v>2062</v>
      </c>
    </row>
    <row r="755" spans="1:25">
      <c r="A755" s="4">
        <v>100070375</v>
      </c>
      <c r="B755" s="4">
        <v>7</v>
      </c>
      <c r="D755" s="4">
        <v>3</v>
      </c>
      <c r="E755" s="4" t="s">
        <v>105</v>
      </c>
      <c r="F755" s="4">
        <v>70371</v>
      </c>
      <c r="H755" s="4">
        <f t="shared" si="18"/>
        <v>100070376</v>
      </c>
      <c r="I755" s="4" t="s">
        <v>2063</v>
      </c>
      <c r="K755" s="4" t="s">
        <v>1775</v>
      </c>
      <c r="N755" s="38">
        <v>11003</v>
      </c>
      <c r="Q755" s="50">
        <v>1</v>
      </c>
      <c r="U755" s="50">
        <v>76008</v>
      </c>
      <c r="Y755" s="4" t="s">
        <v>2064</v>
      </c>
    </row>
    <row r="756" spans="1:25">
      <c r="A756" s="4">
        <v>100070376</v>
      </c>
      <c r="B756" s="4">
        <v>7</v>
      </c>
      <c r="D756" s="4">
        <v>3</v>
      </c>
      <c r="E756" s="4" t="s">
        <v>105</v>
      </c>
      <c r="F756" s="4">
        <v>70371</v>
      </c>
      <c r="I756" s="4" t="s">
        <v>2065</v>
      </c>
      <c r="K756" s="4" t="s">
        <v>1778</v>
      </c>
      <c r="N756" s="38">
        <v>11003</v>
      </c>
      <c r="Q756" s="50">
        <v>1</v>
      </c>
      <c r="U756" s="50">
        <v>76008</v>
      </c>
      <c r="Y756" s="4" t="s">
        <v>2066</v>
      </c>
    </row>
    <row r="757" spans="1:25">
      <c r="A757" s="4">
        <v>100070401</v>
      </c>
      <c r="B757" s="4">
        <v>7</v>
      </c>
      <c r="C757" s="4" t="s">
        <v>1760</v>
      </c>
      <c r="D757" s="4">
        <v>4</v>
      </c>
      <c r="E757" s="4" t="s">
        <v>2067</v>
      </c>
      <c r="F757" s="4">
        <v>70401</v>
      </c>
      <c r="H757" s="4">
        <f t="shared" ref="H757:H761" si="19">A758</f>
        <v>100070402</v>
      </c>
      <c r="I757" s="4" t="s">
        <v>1021</v>
      </c>
      <c r="K757" s="4" t="s">
        <v>1763</v>
      </c>
      <c r="N757" s="38">
        <v>3206</v>
      </c>
      <c r="Q757" s="50">
        <v>1</v>
      </c>
      <c r="U757" s="50">
        <v>76001</v>
      </c>
      <c r="Y757" s="4" t="s">
        <v>2068</v>
      </c>
    </row>
    <row r="758" spans="1:25">
      <c r="A758" s="4">
        <v>100070402</v>
      </c>
      <c r="B758" s="4">
        <v>7</v>
      </c>
      <c r="C758" s="4" t="s">
        <v>1760</v>
      </c>
      <c r="D758" s="4">
        <v>4</v>
      </c>
      <c r="E758" s="4" t="s">
        <v>2067</v>
      </c>
      <c r="F758" s="4">
        <v>70401</v>
      </c>
      <c r="H758" s="4">
        <f t="shared" si="19"/>
        <v>100070403</v>
      </c>
      <c r="I758" s="4" t="s">
        <v>1032</v>
      </c>
      <c r="K758" s="4" t="s">
        <v>1766</v>
      </c>
      <c r="N758" s="38">
        <v>3206</v>
      </c>
      <c r="Q758" s="50">
        <v>1</v>
      </c>
      <c r="U758" s="50">
        <v>76001</v>
      </c>
      <c r="Y758" s="4" t="s">
        <v>2069</v>
      </c>
    </row>
    <row r="759" spans="1:25">
      <c r="A759" s="4">
        <v>100070403</v>
      </c>
      <c r="B759" s="4">
        <v>7</v>
      </c>
      <c r="C759" s="4" t="s">
        <v>1760</v>
      </c>
      <c r="D759" s="4">
        <v>4</v>
      </c>
      <c r="E759" s="4" t="s">
        <v>2067</v>
      </c>
      <c r="F759" s="4">
        <v>70401</v>
      </c>
      <c r="H759" s="4">
        <f t="shared" si="19"/>
        <v>100070404</v>
      </c>
      <c r="I759" s="4" t="s">
        <v>1043</v>
      </c>
      <c r="K759" s="4" t="s">
        <v>1769</v>
      </c>
      <c r="N759" s="38">
        <v>3206</v>
      </c>
      <c r="Q759" s="50">
        <v>1</v>
      </c>
      <c r="U759" s="50">
        <v>76001</v>
      </c>
      <c r="Y759" s="4" t="s">
        <v>2070</v>
      </c>
    </row>
    <row r="760" spans="1:25">
      <c r="A760" s="4">
        <v>100070404</v>
      </c>
      <c r="B760" s="4">
        <v>7</v>
      </c>
      <c r="C760" s="4" t="s">
        <v>1760</v>
      </c>
      <c r="D760" s="4">
        <v>4</v>
      </c>
      <c r="E760" s="4" t="s">
        <v>2067</v>
      </c>
      <c r="F760" s="4">
        <v>70401</v>
      </c>
      <c r="H760" s="4">
        <f t="shared" si="19"/>
        <v>100070405</v>
      </c>
      <c r="I760" s="4" t="s">
        <v>1049</v>
      </c>
      <c r="K760" s="4" t="s">
        <v>1772</v>
      </c>
      <c r="N760" s="38">
        <v>3206</v>
      </c>
      <c r="Q760" s="50">
        <v>1</v>
      </c>
      <c r="U760" s="50">
        <v>76001</v>
      </c>
      <c r="Y760" s="4" t="s">
        <v>2071</v>
      </c>
    </row>
    <row r="761" spans="1:25">
      <c r="A761" s="4">
        <v>100070405</v>
      </c>
      <c r="B761" s="4">
        <v>7</v>
      </c>
      <c r="C761" s="4" t="s">
        <v>1760</v>
      </c>
      <c r="D761" s="4">
        <v>4</v>
      </c>
      <c r="E761" s="4" t="s">
        <v>2067</v>
      </c>
      <c r="F761" s="4">
        <v>70401</v>
      </c>
      <c r="H761" s="4">
        <f t="shared" si="19"/>
        <v>100070406</v>
      </c>
      <c r="I761" s="4" t="s">
        <v>2072</v>
      </c>
      <c r="K761" s="4" t="s">
        <v>1775</v>
      </c>
      <c r="N761" s="38">
        <v>3206</v>
      </c>
      <c r="Q761" s="50">
        <v>1</v>
      </c>
      <c r="U761" s="50">
        <v>76001</v>
      </c>
      <c r="Y761" s="4" t="s">
        <v>2073</v>
      </c>
    </row>
    <row r="762" spans="1:25">
      <c r="A762" s="4">
        <v>100070406</v>
      </c>
      <c r="B762" s="4">
        <v>7</v>
      </c>
      <c r="C762" s="4" t="s">
        <v>1760</v>
      </c>
      <c r="D762" s="4">
        <v>4</v>
      </c>
      <c r="E762" s="4" t="s">
        <v>2067</v>
      </c>
      <c r="F762" s="4">
        <v>70401</v>
      </c>
      <c r="I762" s="4" t="s">
        <v>2074</v>
      </c>
      <c r="K762" s="4" t="s">
        <v>1778</v>
      </c>
      <c r="N762" s="38">
        <v>3206</v>
      </c>
      <c r="Q762" s="50">
        <v>1</v>
      </c>
      <c r="U762" s="50">
        <v>76001</v>
      </c>
      <c r="Y762" s="4" t="s">
        <v>2075</v>
      </c>
    </row>
    <row r="763" spans="1:25">
      <c r="A763" s="4">
        <v>100070411</v>
      </c>
      <c r="B763" s="4">
        <v>7</v>
      </c>
      <c r="D763" s="4">
        <v>4</v>
      </c>
      <c r="E763" s="4" t="s">
        <v>2067</v>
      </c>
      <c r="F763" s="4">
        <v>70411</v>
      </c>
      <c r="H763" s="4">
        <f t="shared" ref="H763:H767" si="20">A764</f>
        <v>100070412</v>
      </c>
      <c r="I763" s="4" t="s">
        <v>1024</v>
      </c>
      <c r="K763" s="4" t="s">
        <v>1763</v>
      </c>
      <c r="N763" s="38">
        <v>3307</v>
      </c>
      <c r="Q763" s="50">
        <v>1</v>
      </c>
      <c r="U763" s="50">
        <v>76002</v>
      </c>
      <c r="Y763" s="4" t="s">
        <v>2076</v>
      </c>
    </row>
    <row r="764" spans="1:25">
      <c r="A764" s="4">
        <v>100070412</v>
      </c>
      <c r="B764" s="4">
        <v>7</v>
      </c>
      <c r="D764" s="4">
        <v>4</v>
      </c>
      <c r="E764" s="4" t="s">
        <v>2067</v>
      </c>
      <c r="F764" s="4">
        <v>70411</v>
      </c>
      <c r="H764" s="4">
        <f t="shared" si="20"/>
        <v>100070413</v>
      </c>
      <c r="I764" s="4" t="s">
        <v>2077</v>
      </c>
      <c r="K764" s="4" t="s">
        <v>1766</v>
      </c>
      <c r="N764" s="38">
        <v>3307</v>
      </c>
      <c r="Q764" s="50">
        <v>1</v>
      </c>
      <c r="U764" s="50">
        <v>76002</v>
      </c>
      <c r="Y764" s="4" t="s">
        <v>2078</v>
      </c>
    </row>
    <row r="765" spans="1:25">
      <c r="A765" s="4">
        <v>100070413</v>
      </c>
      <c r="B765" s="4">
        <v>7</v>
      </c>
      <c r="D765" s="4">
        <v>4</v>
      </c>
      <c r="E765" s="4" t="s">
        <v>2067</v>
      </c>
      <c r="F765" s="4">
        <v>70411</v>
      </c>
      <c r="H765" s="4">
        <f t="shared" si="20"/>
        <v>100070414</v>
      </c>
      <c r="I765" s="4" t="s">
        <v>1039</v>
      </c>
      <c r="K765" s="4" t="s">
        <v>1769</v>
      </c>
      <c r="N765" s="38">
        <v>3307</v>
      </c>
      <c r="Q765" s="50">
        <v>1</v>
      </c>
      <c r="U765" s="50">
        <v>76002</v>
      </c>
      <c r="Y765" s="4" t="s">
        <v>2079</v>
      </c>
    </row>
    <row r="766" spans="1:25">
      <c r="A766" s="4">
        <v>100070414</v>
      </c>
      <c r="B766" s="4">
        <v>7</v>
      </c>
      <c r="D766" s="4">
        <v>4</v>
      </c>
      <c r="E766" s="4" t="s">
        <v>2067</v>
      </c>
      <c r="F766" s="4">
        <v>70411</v>
      </c>
      <c r="H766" s="4">
        <f t="shared" si="20"/>
        <v>100070415</v>
      </c>
      <c r="I766" s="4" t="s">
        <v>2080</v>
      </c>
      <c r="K766" s="4" t="s">
        <v>1772</v>
      </c>
      <c r="N766" s="38">
        <v>3307</v>
      </c>
      <c r="Q766" s="50">
        <v>1</v>
      </c>
      <c r="U766" s="50">
        <v>76002</v>
      </c>
      <c r="Y766" s="4" t="s">
        <v>2081</v>
      </c>
    </row>
    <row r="767" spans="1:25">
      <c r="A767" s="4">
        <v>100070415</v>
      </c>
      <c r="B767" s="4">
        <v>7</v>
      </c>
      <c r="D767" s="4">
        <v>4</v>
      </c>
      <c r="E767" s="4" t="s">
        <v>2067</v>
      </c>
      <c r="F767" s="4">
        <v>70411</v>
      </c>
      <c r="H767" s="4">
        <f t="shared" si="20"/>
        <v>100070416</v>
      </c>
      <c r="I767" s="4" t="s">
        <v>1052</v>
      </c>
      <c r="K767" s="4" t="s">
        <v>1775</v>
      </c>
      <c r="N767" s="38">
        <v>3307</v>
      </c>
      <c r="Q767" s="50">
        <v>1</v>
      </c>
      <c r="U767" s="50">
        <v>76002</v>
      </c>
      <c r="Y767" s="4" t="s">
        <v>2082</v>
      </c>
    </row>
    <row r="768" spans="1:25">
      <c r="A768" s="4">
        <v>100070416</v>
      </c>
      <c r="B768" s="4">
        <v>7</v>
      </c>
      <c r="D768" s="4">
        <v>4</v>
      </c>
      <c r="E768" s="4" t="s">
        <v>2067</v>
      </c>
      <c r="F768" s="4">
        <v>70411</v>
      </c>
      <c r="I768" s="4" t="s">
        <v>2083</v>
      </c>
      <c r="K768" s="4" t="s">
        <v>1778</v>
      </c>
      <c r="N768" s="38">
        <v>3307</v>
      </c>
      <c r="Q768" s="50">
        <v>1</v>
      </c>
      <c r="U768" s="50">
        <v>76002</v>
      </c>
      <c r="Y768" s="4" t="s">
        <v>2084</v>
      </c>
    </row>
    <row r="769" spans="1:25">
      <c r="A769" s="4">
        <v>100070421</v>
      </c>
      <c r="B769" s="4">
        <v>7</v>
      </c>
      <c r="D769" s="4">
        <v>4</v>
      </c>
      <c r="E769" s="4" t="s">
        <v>2067</v>
      </c>
      <c r="F769" s="4">
        <v>70421</v>
      </c>
      <c r="H769" s="4">
        <f t="shared" ref="H769:H773" si="21">A770</f>
        <v>100070422</v>
      </c>
      <c r="I769" s="4" t="s">
        <v>2085</v>
      </c>
      <c r="K769" s="4" t="s">
        <v>1763</v>
      </c>
      <c r="N769" s="38">
        <v>11012</v>
      </c>
      <c r="Q769" s="50">
        <v>1</v>
      </c>
      <c r="U769" s="50">
        <v>76003</v>
      </c>
      <c r="Y769" s="4" t="s">
        <v>2086</v>
      </c>
    </row>
    <row r="770" spans="1:25">
      <c r="A770" s="4">
        <v>100070422</v>
      </c>
      <c r="B770" s="4">
        <v>7</v>
      </c>
      <c r="D770" s="4">
        <v>4</v>
      </c>
      <c r="E770" s="4" t="s">
        <v>2067</v>
      </c>
      <c r="F770" s="4">
        <v>70421</v>
      </c>
      <c r="H770" s="4">
        <f t="shared" si="21"/>
        <v>100070423</v>
      </c>
      <c r="I770" s="4" t="s">
        <v>2087</v>
      </c>
      <c r="K770" s="4" t="s">
        <v>1766</v>
      </c>
      <c r="N770" s="38">
        <v>11012</v>
      </c>
      <c r="Q770" s="50">
        <v>1</v>
      </c>
      <c r="U770" s="50">
        <v>76003</v>
      </c>
      <c r="Y770" s="4" t="s">
        <v>2088</v>
      </c>
    </row>
    <row r="771" spans="1:25">
      <c r="A771" s="4">
        <v>100070423</v>
      </c>
      <c r="B771" s="4">
        <v>7</v>
      </c>
      <c r="D771" s="4">
        <v>4</v>
      </c>
      <c r="E771" s="4" t="s">
        <v>2067</v>
      </c>
      <c r="F771" s="4">
        <v>70421</v>
      </c>
      <c r="H771" s="4">
        <f t="shared" si="21"/>
        <v>100070424</v>
      </c>
      <c r="I771" s="4" t="s">
        <v>2089</v>
      </c>
      <c r="K771" s="4" t="s">
        <v>1769</v>
      </c>
      <c r="N771" s="38">
        <v>11012</v>
      </c>
      <c r="Q771" s="50">
        <v>1</v>
      </c>
      <c r="U771" s="50">
        <v>76003</v>
      </c>
      <c r="Y771" s="4" t="s">
        <v>2090</v>
      </c>
    </row>
    <row r="772" spans="1:25">
      <c r="A772" s="4">
        <v>100070424</v>
      </c>
      <c r="B772" s="4">
        <v>7</v>
      </c>
      <c r="D772" s="4">
        <v>4</v>
      </c>
      <c r="E772" s="4" t="s">
        <v>2067</v>
      </c>
      <c r="F772" s="4">
        <v>70421</v>
      </c>
      <c r="H772" s="4">
        <f t="shared" si="21"/>
        <v>100070425</v>
      </c>
      <c r="I772" s="4" t="s">
        <v>2091</v>
      </c>
      <c r="K772" s="4" t="s">
        <v>1772</v>
      </c>
      <c r="N772" s="38">
        <v>11012</v>
      </c>
      <c r="Q772" s="50">
        <v>1</v>
      </c>
      <c r="U772" s="50">
        <v>76003</v>
      </c>
      <c r="Y772" s="4" t="s">
        <v>2092</v>
      </c>
    </row>
    <row r="773" spans="1:25">
      <c r="A773" s="4">
        <v>100070425</v>
      </c>
      <c r="B773" s="4">
        <v>7</v>
      </c>
      <c r="D773" s="4">
        <v>4</v>
      </c>
      <c r="E773" s="4" t="s">
        <v>2067</v>
      </c>
      <c r="F773" s="4">
        <v>70421</v>
      </c>
      <c r="H773" s="4">
        <f t="shared" si="21"/>
        <v>100070426</v>
      </c>
      <c r="I773" s="4" t="s">
        <v>2093</v>
      </c>
      <c r="K773" s="4" t="s">
        <v>1775</v>
      </c>
      <c r="N773" s="38">
        <v>11012</v>
      </c>
      <c r="Q773" s="50">
        <v>1</v>
      </c>
      <c r="U773" s="50">
        <v>76003</v>
      </c>
      <c r="Y773" s="4" t="s">
        <v>2094</v>
      </c>
    </row>
    <row r="774" spans="1:25">
      <c r="A774" s="4">
        <v>100070426</v>
      </c>
      <c r="B774" s="4">
        <v>7</v>
      </c>
      <c r="D774" s="4">
        <v>4</v>
      </c>
      <c r="E774" s="4" t="s">
        <v>2067</v>
      </c>
      <c r="F774" s="4">
        <v>70421</v>
      </c>
      <c r="I774" s="4" t="s">
        <v>2095</v>
      </c>
      <c r="K774" s="4" t="s">
        <v>1778</v>
      </c>
      <c r="N774" s="38">
        <v>11012</v>
      </c>
      <c r="Q774" s="50">
        <v>1</v>
      </c>
      <c r="U774" s="50">
        <v>76003</v>
      </c>
      <c r="Y774" s="4" t="s">
        <v>2096</v>
      </c>
    </row>
    <row r="775" spans="1:25">
      <c r="A775" s="4">
        <v>100070431</v>
      </c>
      <c r="B775" s="4">
        <v>7</v>
      </c>
      <c r="D775" s="4">
        <v>4</v>
      </c>
      <c r="E775" s="4" t="s">
        <v>2067</v>
      </c>
      <c r="F775" s="4">
        <v>70431</v>
      </c>
      <c r="H775" s="4">
        <f t="shared" ref="H775:H779" si="22">A776</f>
        <v>100070432</v>
      </c>
      <c r="I775" s="4" t="s">
        <v>2097</v>
      </c>
      <c r="K775" s="4" t="s">
        <v>1763</v>
      </c>
      <c r="N775" s="38">
        <v>11012</v>
      </c>
      <c r="Q775" s="50">
        <v>1</v>
      </c>
      <c r="U775" s="50">
        <v>76004</v>
      </c>
      <c r="Y775" s="4" t="s">
        <v>2098</v>
      </c>
    </row>
    <row r="776" spans="1:25">
      <c r="A776" s="4">
        <v>100070432</v>
      </c>
      <c r="B776" s="4">
        <v>7</v>
      </c>
      <c r="D776" s="4">
        <v>4</v>
      </c>
      <c r="E776" s="4" t="s">
        <v>2067</v>
      </c>
      <c r="F776" s="4">
        <v>70431</v>
      </c>
      <c r="H776" s="4">
        <f t="shared" si="22"/>
        <v>100070433</v>
      </c>
      <c r="I776" s="4" t="s">
        <v>2099</v>
      </c>
      <c r="K776" s="4" t="s">
        <v>1766</v>
      </c>
      <c r="N776" s="38">
        <v>11012</v>
      </c>
      <c r="Q776" s="50">
        <v>1</v>
      </c>
      <c r="U776" s="50">
        <v>76004</v>
      </c>
      <c r="Y776" s="4" t="s">
        <v>2100</v>
      </c>
    </row>
    <row r="777" spans="1:25">
      <c r="A777" s="4">
        <v>100070433</v>
      </c>
      <c r="B777" s="4">
        <v>7</v>
      </c>
      <c r="D777" s="4">
        <v>4</v>
      </c>
      <c r="E777" s="4" t="s">
        <v>2067</v>
      </c>
      <c r="F777" s="4">
        <v>70431</v>
      </c>
      <c r="H777" s="4">
        <f t="shared" si="22"/>
        <v>100070434</v>
      </c>
      <c r="I777" s="4" t="s">
        <v>2101</v>
      </c>
      <c r="K777" s="4" t="s">
        <v>1769</v>
      </c>
      <c r="N777" s="38">
        <v>11012</v>
      </c>
      <c r="Q777" s="50">
        <v>1</v>
      </c>
      <c r="U777" s="50">
        <v>76004</v>
      </c>
      <c r="Y777" s="4" t="s">
        <v>2102</v>
      </c>
    </row>
    <row r="778" spans="1:25">
      <c r="A778" s="4">
        <v>100070434</v>
      </c>
      <c r="B778" s="4">
        <v>7</v>
      </c>
      <c r="D778" s="4">
        <v>4</v>
      </c>
      <c r="E778" s="4" t="s">
        <v>2067</v>
      </c>
      <c r="F778" s="4">
        <v>70431</v>
      </c>
      <c r="H778" s="4">
        <f t="shared" si="22"/>
        <v>100070435</v>
      </c>
      <c r="I778" s="4" t="s">
        <v>2103</v>
      </c>
      <c r="K778" s="4" t="s">
        <v>1772</v>
      </c>
      <c r="N778" s="38">
        <v>11012</v>
      </c>
      <c r="Q778" s="50">
        <v>1</v>
      </c>
      <c r="U778" s="50">
        <v>76004</v>
      </c>
      <c r="Y778" s="4" t="s">
        <v>2104</v>
      </c>
    </row>
    <row r="779" spans="1:25">
      <c r="A779" s="4">
        <v>100070435</v>
      </c>
      <c r="B779" s="4">
        <v>7</v>
      </c>
      <c r="D779" s="4">
        <v>4</v>
      </c>
      <c r="E779" s="4" t="s">
        <v>2067</v>
      </c>
      <c r="F779" s="4">
        <v>70431</v>
      </c>
      <c r="H779" s="4">
        <f t="shared" si="22"/>
        <v>100070436</v>
      </c>
      <c r="I779" s="4" t="s">
        <v>2105</v>
      </c>
      <c r="K779" s="4" t="s">
        <v>1775</v>
      </c>
      <c r="N779" s="38">
        <v>11012</v>
      </c>
      <c r="Q779" s="50">
        <v>1</v>
      </c>
      <c r="U779" s="50">
        <v>76004</v>
      </c>
      <c r="Y779" s="4" t="s">
        <v>2106</v>
      </c>
    </row>
    <row r="780" spans="1:25">
      <c r="A780" s="4">
        <v>100070436</v>
      </c>
      <c r="B780" s="4">
        <v>7</v>
      </c>
      <c r="D780" s="4">
        <v>4</v>
      </c>
      <c r="E780" s="4" t="s">
        <v>2067</v>
      </c>
      <c r="F780" s="4">
        <v>70431</v>
      </c>
      <c r="I780" s="4" t="s">
        <v>2107</v>
      </c>
      <c r="K780" s="4" t="s">
        <v>1778</v>
      </c>
      <c r="N780" s="38">
        <v>11012</v>
      </c>
      <c r="Q780" s="50">
        <v>1</v>
      </c>
      <c r="U780" s="50">
        <v>76004</v>
      </c>
      <c r="Y780" s="4" t="s">
        <v>2108</v>
      </c>
    </row>
    <row r="781" spans="1:25">
      <c r="A781" s="4">
        <v>100070441</v>
      </c>
      <c r="B781" s="4">
        <v>7</v>
      </c>
      <c r="D781" s="4">
        <v>4</v>
      </c>
      <c r="E781" s="4" t="s">
        <v>2067</v>
      </c>
      <c r="F781" s="4">
        <v>70441</v>
      </c>
      <c r="H781" s="4">
        <f t="shared" ref="H781:H785" si="23">A782</f>
        <v>100070442</v>
      </c>
      <c r="I781" s="4" t="s">
        <v>2109</v>
      </c>
      <c r="K781" s="4" t="s">
        <v>1763</v>
      </c>
      <c r="N781" s="38">
        <v>11012</v>
      </c>
      <c r="Q781" s="50">
        <v>1</v>
      </c>
      <c r="U781" s="50">
        <v>76010</v>
      </c>
      <c r="Y781" s="4" t="s">
        <v>2110</v>
      </c>
    </row>
    <row r="782" spans="1:25">
      <c r="A782" s="4">
        <v>100070442</v>
      </c>
      <c r="B782" s="4">
        <v>7</v>
      </c>
      <c r="D782" s="4">
        <v>4</v>
      </c>
      <c r="E782" s="4" t="s">
        <v>2067</v>
      </c>
      <c r="F782" s="4">
        <v>70441</v>
      </c>
      <c r="H782" s="4">
        <f t="shared" si="23"/>
        <v>100070443</v>
      </c>
      <c r="I782" s="4" t="s">
        <v>2111</v>
      </c>
      <c r="K782" s="4" t="s">
        <v>1766</v>
      </c>
      <c r="N782" s="38">
        <v>11012</v>
      </c>
      <c r="Q782" s="50">
        <v>1</v>
      </c>
      <c r="U782" s="50">
        <v>76010</v>
      </c>
      <c r="Y782" s="4" t="s">
        <v>2112</v>
      </c>
    </row>
    <row r="783" spans="1:25">
      <c r="A783" s="4">
        <v>100070443</v>
      </c>
      <c r="B783" s="4">
        <v>7</v>
      </c>
      <c r="D783" s="4">
        <v>4</v>
      </c>
      <c r="E783" s="4" t="s">
        <v>2067</v>
      </c>
      <c r="F783" s="4">
        <v>70441</v>
      </c>
      <c r="H783" s="4">
        <f t="shared" si="23"/>
        <v>100070444</v>
      </c>
      <c r="I783" s="4" t="s">
        <v>2113</v>
      </c>
      <c r="K783" s="4" t="s">
        <v>1769</v>
      </c>
      <c r="N783" s="38">
        <v>11012</v>
      </c>
      <c r="Q783" s="50">
        <v>1</v>
      </c>
      <c r="U783" s="50">
        <v>76010</v>
      </c>
      <c r="Y783" s="4" t="s">
        <v>2114</v>
      </c>
    </row>
    <row r="784" spans="1:25">
      <c r="A784" s="4">
        <v>100070444</v>
      </c>
      <c r="B784" s="4">
        <v>7</v>
      </c>
      <c r="D784" s="4">
        <v>4</v>
      </c>
      <c r="E784" s="4" t="s">
        <v>2067</v>
      </c>
      <c r="F784" s="4">
        <v>70441</v>
      </c>
      <c r="H784" s="4">
        <f t="shared" si="23"/>
        <v>100070445</v>
      </c>
      <c r="I784" s="4" t="s">
        <v>2115</v>
      </c>
      <c r="K784" s="4" t="s">
        <v>1772</v>
      </c>
      <c r="N784" s="38">
        <v>11012</v>
      </c>
      <c r="Q784" s="50">
        <v>1</v>
      </c>
      <c r="U784" s="50">
        <v>76010</v>
      </c>
      <c r="Y784" s="4" t="s">
        <v>2116</v>
      </c>
    </row>
    <row r="785" spans="1:25">
      <c r="A785" s="4">
        <v>100070445</v>
      </c>
      <c r="B785" s="4">
        <v>7</v>
      </c>
      <c r="D785" s="4">
        <v>4</v>
      </c>
      <c r="E785" s="4" t="s">
        <v>2067</v>
      </c>
      <c r="F785" s="4">
        <v>70441</v>
      </c>
      <c r="H785" s="4">
        <f t="shared" si="23"/>
        <v>100070446</v>
      </c>
      <c r="I785" s="4" t="s">
        <v>2117</v>
      </c>
      <c r="K785" s="4" t="s">
        <v>1775</v>
      </c>
      <c r="N785" s="38">
        <v>11012</v>
      </c>
      <c r="Q785" s="50">
        <v>1</v>
      </c>
      <c r="U785" s="50">
        <v>76010</v>
      </c>
      <c r="Y785" s="4" t="s">
        <v>2118</v>
      </c>
    </row>
    <row r="786" spans="1:25">
      <c r="A786" s="4">
        <v>100070446</v>
      </c>
      <c r="B786" s="4">
        <v>7</v>
      </c>
      <c r="D786" s="4">
        <v>4</v>
      </c>
      <c r="E786" s="4" t="s">
        <v>2067</v>
      </c>
      <c r="F786" s="4">
        <v>70441</v>
      </c>
      <c r="I786" s="4" t="s">
        <v>2119</v>
      </c>
      <c r="K786" s="4" t="s">
        <v>1778</v>
      </c>
      <c r="N786" s="38">
        <v>11012</v>
      </c>
      <c r="Q786" s="50">
        <v>1</v>
      </c>
      <c r="U786" s="50">
        <v>76010</v>
      </c>
      <c r="Y786" s="4" t="s">
        <v>2120</v>
      </c>
    </row>
    <row r="787" spans="1:25">
      <c r="A787" s="4">
        <v>100070451</v>
      </c>
      <c r="B787" s="4">
        <v>7</v>
      </c>
      <c r="D787" s="4">
        <v>4</v>
      </c>
      <c r="E787" s="4" t="s">
        <v>2067</v>
      </c>
      <c r="F787" s="4">
        <v>70451</v>
      </c>
      <c r="H787" s="4">
        <f t="shared" ref="H787:H791" si="24">A788</f>
        <v>100070452</v>
      </c>
      <c r="I787" s="4" t="s">
        <v>2121</v>
      </c>
      <c r="K787" s="4" t="s">
        <v>1763</v>
      </c>
      <c r="N787" s="38">
        <v>11012</v>
      </c>
      <c r="Q787" s="50">
        <v>1</v>
      </c>
      <c r="U787" s="50">
        <v>76006</v>
      </c>
      <c r="Y787" s="4" t="s">
        <v>2122</v>
      </c>
    </row>
    <row r="788" spans="1:25">
      <c r="A788" s="4">
        <v>100070452</v>
      </c>
      <c r="B788" s="4">
        <v>7</v>
      </c>
      <c r="D788" s="4">
        <v>4</v>
      </c>
      <c r="E788" s="4" t="s">
        <v>2067</v>
      </c>
      <c r="F788" s="4">
        <v>70451</v>
      </c>
      <c r="H788" s="4">
        <f t="shared" si="24"/>
        <v>100070453</v>
      </c>
      <c r="I788" s="4" t="s">
        <v>2123</v>
      </c>
      <c r="K788" s="4" t="s">
        <v>1766</v>
      </c>
      <c r="N788" s="38">
        <v>11012</v>
      </c>
      <c r="Q788" s="50">
        <v>1</v>
      </c>
      <c r="U788" s="50">
        <v>76006</v>
      </c>
      <c r="Y788" s="4" t="s">
        <v>2124</v>
      </c>
    </row>
    <row r="789" spans="1:25">
      <c r="A789" s="4">
        <v>100070453</v>
      </c>
      <c r="B789" s="4">
        <v>7</v>
      </c>
      <c r="D789" s="4">
        <v>4</v>
      </c>
      <c r="E789" s="4" t="s">
        <v>2067</v>
      </c>
      <c r="F789" s="4">
        <v>70451</v>
      </c>
      <c r="H789" s="4">
        <f t="shared" si="24"/>
        <v>100070454</v>
      </c>
      <c r="I789" s="4" t="s">
        <v>2125</v>
      </c>
      <c r="K789" s="4" t="s">
        <v>1769</v>
      </c>
      <c r="N789" s="38">
        <v>11012</v>
      </c>
      <c r="Q789" s="50">
        <v>1</v>
      </c>
      <c r="U789" s="50">
        <v>76006</v>
      </c>
      <c r="Y789" s="4" t="s">
        <v>2126</v>
      </c>
    </row>
    <row r="790" spans="1:25">
      <c r="A790" s="4">
        <v>100070454</v>
      </c>
      <c r="B790" s="4">
        <v>7</v>
      </c>
      <c r="D790" s="4">
        <v>4</v>
      </c>
      <c r="E790" s="4" t="s">
        <v>2067</v>
      </c>
      <c r="F790" s="4">
        <v>70451</v>
      </c>
      <c r="H790" s="4">
        <f t="shared" si="24"/>
        <v>100070455</v>
      </c>
      <c r="I790" s="4" t="s">
        <v>2127</v>
      </c>
      <c r="K790" s="4" t="s">
        <v>1772</v>
      </c>
      <c r="N790" s="38">
        <v>11012</v>
      </c>
      <c r="Q790" s="50">
        <v>1</v>
      </c>
      <c r="U790" s="50">
        <v>76006</v>
      </c>
      <c r="Y790" s="4" t="s">
        <v>2128</v>
      </c>
    </row>
    <row r="791" spans="1:25">
      <c r="A791" s="4">
        <v>100070455</v>
      </c>
      <c r="B791" s="4">
        <v>7</v>
      </c>
      <c r="D791" s="4">
        <v>4</v>
      </c>
      <c r="E791" s="4" t="s">
        <v>2067</v>
      </c>
      <c r="F791" s="4">
        <v>70451</v>
      </c>
      <c r="H791" s="4">
        <f t="shared" si="24"/>
        <v>100070456</v>
      </c>
      <c r="I791" s="4" t="s">
        <v>2129</v>
      </c>
      <c r="K791" s="4" t="s">
        <v>1775</v>
      </c>
      <c r="N791" s="38">
        <v>11012</v>
      </c>
      <c r="Q791" s="50">
        <v>1</v>
      </c>
      <c r="U791" s="50">
        <v>76006</v>
      </c>
      <c r="Y791" s="4" t="s">
        <v>2130</v>
      </c>
    </row>
    <row r="792" spans="1:25">
      <c r="A792" s="4">
        <v>100070456</v>
      </c>
      <c r="B792" s="4">
        <v>7</v>
      </c>
      <c r="D792" s="4">
        <v>4</v>
      </c>
      <c r="E792" s="4" t="s">
        <v>2067</v>
      </c>
      <c r="F792" s="4">
        <v>70451</v>
      </c>
      <c r="I792" s="4" t="s">
        <v>2131</v>
      </c>
      <c r="K792" s="4" t="s">
        <v>1778</v>
      </c>
      <c r="N792" s="38">
        <v>11012</v>
      </c>
      <c r="Q792" s="50">
        <v>1</v>
      </c>
      <c r="U792" s="50">
        <v>76006</v>
      </c>
      <c r="Y792" s="4" t="s">
        <v>2132</v>
      </c>
    </row>
    <row r="793" spans="1:25">
      <c r="A793" s="4">
        <v>100070461</v>
      </c>
      <c r="B793" s="4">
        <v>7</v>
      </c>
      <c r="D793" s="4">
        <v>4</v>
      </c>
      <c r="E793" s="4" t="s">
        <v>2067</v>
      </c>
      <c r="F793" s="4">
        <v>70461</v>
      </c>
      <c r="H793" s="4">
        <f t="shared" ref="H793:H799" si="25">A794</f>
        <v>100070462</v>
      </c>
      <c r="I793" s="4" t="s">
        <v>2133</v>
      </c>
      <c r="K793" s="4" t="s">
        <v>1763</v>
      </c>
      <c r="N793" s="38">
        <v>11012</v>
      </c>
      <c r="Q793" s="50">
        <v>1</v>
      </c>
      <c r="U793" s="50">
        <v>76007</v>
      </c>
      <c r="Y793" s="4" t="s">
        <v>2134</v>
      </c>
    </row>
    <row r="794" spans="1:25">
      <c r="A794" s="4">
        <v>100070462</v>
      </c>
      <c r="B794" s="4">
        <v>7</v>
      </c>
      <c r="D794" s="4">
        <v>4</v>
      </c>
      <c r="E794" s="4" t="s">
        <v>2067</v>
      </c>
      <c r="F794" s="4">
        <v>70461</v>
      </c>
      <c r="H794" s="4">
        <f t="shared" si="25"/>
        <v>100070463</v>
      </c>
      <c r="I794" s="4" t="s">
        <v>2135</v>
      </c>
      <c r="K794" s="4" t="s">
        <v>1766</v>
      </c>
      <c r="N794" s="38">
        <v>11012</v>
      </c>
      <c r="Q794" s="50">
        <v>1</v>
      </c>
      <c r="U794" s="50">
        <v>76007</v>
      </c>
      <c r="Y794" s="4" t="s">
        <v>2136</v>
      </c>
    </row>
    <row r="795" spans="1:25">
      <c r="A795" s="4">
        <v>100070463</v>
      </c>
      <c r="B795" s="4">
        <v>7</v>
      </c>
      <c r="D795" s="4">
        <v>4</v>
      </c>
      <c r="E795" s="4" t="s">
        <v>2067</v>
      </c>
      <c r="F795" s="4">
        <v>70461</v>
      </c>
      <c r="H795" s="4">
        <f t="shared" si="25"/>
        <v>100070464</v>
      </c>
      <c r="I795" s="4" t="s">
        <v>2137</v>
      </c>
      <c r="K795" s="4" t="s">
        <v>1845</v>
      </c>
      <c r="N795" s="38">
        <v>11012</v>
      </c>
      <c r="Q795" s="50">
        <v>1</v>
      </c>
      <c r="U795" s="50">
        <v>76007</v>
      </c>
      <c r="Y795" s="4" t="s">
        <v>2138</v>
      </c>
    </row>
    <row r="796" spans="1:25">
      <c r="A796" s="4">
        <v>100070464</v>
      </c>
      <c r="B796" s="4">
        <v>7</v>
      </c>
      <c r="D796" s="4">
        <v>4</v>
      </c>
      <c r="E796" s="4" t="s">
        <v>2067</v>
      </c>
      <c r="F796" s="4">
        <v>70461</v>
      </c>
      <c r="H796" s="4">
        <f t="shared" si="25"/>
        <v>100070465</v>
      </c>
      <c r="I796" s="4" t="s">
        <v>2139</v>
      </c>
      <c r="K796" s="4" t="s">
        <v>1769</v>
      </c>
      <c r="N796" s="38">
        <v>11012</v>
      </c>
      <c r="Q796" s="50">
        <v>1</v>
      </c>
      <c r="U796" s="50">
        <v>76007</v>
      </c>
      <c r="Y796" s="4" t="s">
        <v>2140</v>
      </c>
    </row>
    <row r="797" spans="1:25">
      <c r="A797" s="4">
        <v>100070465</v>
      </c>
      <c r="B797" s="4">
        <v>7</v>
      </c>
      <c r="D797" s="4">
        <v>4</v>
      </c>
      <c r="E797" s="4" t="s">
        <v>2067</v>
      </c>
      <c r="F797" s="4">
        <v>70461</v>
      </c>
      <c r="H797" s="4">
        <f t="shared" si="25"/>
        <v>100070466</v>
      </c>
      <c r="I797" s="4" t="s">
        <v>2141</v>
      </c>
      <c r="K797" s="4" t="s">
        <v>1850</v>
      </c>
      <c r="N797" s="38">
        <v>11012</v>
      </c>
      <c r="Q797" s="50">
        <v>1</v>
      </c>
      <c r="U797" s="50">
        <v>76007</v>
      </c>
      <c r="Y797" s="4" t="s">
        <v>2142</v>
      </c>
    </row>
    <row r="798" spans="1:25">
      <c r="A798" s="4">
        <v>100070466</v>
      </c>
      <c r="B798" s="4">
        <v>7</v>
      </c>
      <c r="D798" s="4">
        <v>4</v>
      </c>
      <c r="E798" s="4" t="s">
        <v>2067</v>
      </c>
      <c r="F798" s="4">
        <v>70461</v>
      </c>
      <c r="H798" s="4">
        <f t="shared" si="25"/>
        <v>100070467</v>
      </c>
      <c r="I798" s="4" t="s">
        <v>2143</v>
      </c>
      <c r="K798" s="4" t="s">
        <v>1853</v>
      </c>
      <c r="N798" s="38">
        <v>11012</v>
      </c>
      <c r="Q798" s="50">
        <v>1</v>
      </c>
      <c r="U798" s="50">
        <v>76007</v>
      </c>
      <c r="Y798" s="4" t="s">
        <v>2144</v>
      </c>
    </row>
    <row r="799" spans="1:25">
      <c r="A799" s="4">
        <v>100070467</v>
      </c>
      <c r="B799" s="4">
        <v>7</v>
      </c>
      <c r="D799" s="4">
        <v>4</v>
      </c>
      <c r="E799" s="4" t="s">
        <v>2067</v>
      </c>
      <c r="F799" s="4">
        <v>70461</v>
      </c>
      <c r="H799" s="4">
        <f t="shared" si="25"/>
        <v>100070468</v>
      </c>
      <c r="I799" s="4" t="s">
        <v>2145</v>
      </c>
      <c r="K799" s="4" t="s">
        <v>1856</v>
      </c>
      <c r="N799" s="38">
        <v>11012</v>
      </c>
      <c r="Q799" s="50">
        <v>1</v>
      </c>
      <c r="U799" s="50">
        <v>76007</v>
      </c>
      <c r="Y799" s="4" t="s">
        <v>2146</v>
      </c>
    </row>
    <row r="800" spans="1:25">
      <c r="A800" s="4">
        <v>100070468</v>
      </c>
      <c r="B800" s="4">
        <v>7</v>
      </c>
      <c r="D800" s="4">
        <v>4</v>
      </c>
      <c r="E800" s="4" t="s">
        <v>2067</v>
      </c>
      <c r="F800" s="4">
        <v>70461</v>
      </c>
      <c r="I800" s="4" t="s">
        <v>2147</v>
      </c>
      <c r="K800" s="4" t="s">
        <v>1772</v>
      </c>
      <c r="N800" s="38">
        <v>11012</v>
      </c>
      <c r="Q800" s="50">
        <v>1</v>
      </c>
      <c r="U800" s="50">
        <v>76007</v>
      </c>
      <c r="Y800" s="4" t="s">
        <v>2148</v>
      </c>
    </row>
    <row r="801" spans="1:25">
      <c r="A801" s="4">
        <v>100070471</v>
      </c>
      <c r="B801" s="4">
        <v>7</v>
      </c>
      <c r="D801" s="4">
        <v>4</v>
      </c>
      <c r="E801" s="4" t="s">
        <v>2067</v>
      </c>
      <c r="F801" s="4">
        <v>70471</v>
      </c>
      <c r="H801" s="4">
        <f t="shared" ref="H801:H805" si="26">A802</f>
        <v>100070472</v>
      </c>
      <c r="I801" s="4" t="s">
        <v>2149</v>
      </c>
      <c r="K801" s="4" t="s">
        <v>1763</v>
      </c>
      <c r="N801" s="38">
        <v>11012</v>
      </c>
      <c r="Q801" s="50">
        <v>1</v>
      </c>
      <c r="U801" s="50">
        <v>76009</v>
      </c>
      <c r="Y801" s="4" t="s">
        <v>2150</v>
      </c>
    </row>
    <row r="802" spans="1:25">
      <c r="A802" s="4">
        <v>100070472</v>
      </c>
      <c r="B802" s="4">
        <v>7</v>
      </c>
      <c r="D802" s="4">
        <v>4</v>
      </c>
      <c r="E802" s="4" t="s">
        <v>2067</v>
      </c>
      <c r="F802" s="4">
        <v>70471</v>
      </c>
      <c r="H802" s="4">
        <f t="shared" si="26"/>
        <v>100070473</v>
      </c>
      <c r="I802" s="4" t="s">
        <v>2151</v>
      </c>
      <c r="K802" s="4" t="s">
        <v>1766</v>
      </c>
      <c r="N802" s="38">
        <v>11012</v>
      </c>
      <c r="Q802" s="50">
        <v>1</v>
      </c>
      <c r="U802" s="50">
        <v>76009</v>
      </c>
      <c r="Y802" s="4" t="s">
        <v>2152</v>
      </c>
    </row>
    <row r="803" spans="1:25">
      <c r="A803" s="4">
        <v>100070473</v>
      </c>
      <c r="B803" s="4">
        <v>7</v>
      </c>
      <c r="D803" s="4">
        <v>4</v>
      </c>
      <c r="E803" s="4" t="s">
        <v>2067</v>
      </c>
      <c r="F803" s="4">
        <v>70471</v>
      </c>
      <c r="H803" s="4">
        <f t="shared" si="26"/>
        <v>100070474</v>
      </c>
      <c r="I803" s="4" t="s">
        <v>2153</v>
      </c>
      <c r="K803" s="4" t="s">
        <v>1769</v>
      </c>
      <c r="N803" s="38">
        <v>11012</v>
      </c>
      <c r="Q803" s="50">
        <v>1</v>
      </c>
      <c r="U803" s="50">
        <v>76009</v>
      </c>
      <c r="Y803" s="4" t="s">
        <v>2154</v>
      </c>
    </row>
    <row r="804" spans="1:25">
      <c r="A804" s="4">
        <v>100070474</v>
      </c>
      <c r="B804" s="4">
        <v>7</v>
      </c>
      <c r="D804" s="4">
        <v>4</v>
      </c>
      <c r="E804" s="4" t="s">
        <v>2067</v>
      </c>
      <c r="F804" s="4">
        <v>70471</v>
      </c>
      <c r="H804" s="4">
        <f t="shared" si="26"/>
        <v>100070475</v>
      </c>
      <c r="I804" s="4" t="s">
        <v>2155</v>
      </c>
      <c r="K804" s="4" t="s">
        <v>1772</v>
      </c>
      <c r="N804" s="38">
        <v>11012</v>
      </c>
      <c r="Q804" s="50">
        <v>1</v>
      </c>
      <c r="U804" s="50">
        <v>76009</v>
      </c>
      <c r="Y804" s="4" t="s">
        <v>2156</v>
      </c>
    </row>
    <row r="805" spans="1:25">
      <c r="A805" s="4">
        <v>100070475</v>
      </c>
      <c r="B805" s="4">
        <v>7</v>
      </c>
      <c r="D805" s="4">
        <v>4</v>
      </c>
      <c r="E805" s="4" t="s">
        <v>2067</v>
      </c>
      <c r="F805" s="4">
        <v>70471</v>
      </c>
      <c r="H805" s="4">
        <f t="shared" si="26"/>
        <v>100070476</v>
      </c>
      <c r="I805" s="4" t="s">
        <v>2157</v>
      </c>
      <c r="K805" s="4" t="s">
        <v>1775</v>
      </c>
      <c r="N805" s="38">
        <v>11012</v>
      </c>
      <c r="Q805" s="50">
        <v>1</v>
      </c>
      <c r="U805" s="50">
        <v>76009</v>
      </c>
      <c r="Y805" s="4" t="s">
        <v>2158</v>
      </c>
    </row>
    <row r="806" spans="1:25">
      <c r="A806" s="4">
        <v>100070476</v>
      </c>
      <c r="B806" s="4">
        <v>7</v>
      </c>
      <c r="D806" s="4">
        <v>4</v>
      </c>
      <c r="E806" s="4" t="s">
        <v>2067</v>
      </c>
      <c r="F806" s="4">
        <v>70471</v>
      </c>
      <c r="I806" s="4" t="s">
        <v>2159</v>
      </c>
      <c r="K806" s="4" t="s">
        <v>1778</v>
      </c>
      <c r="N806" s="38">
        <v>11012</v>
      </c>
      <c r="Q806" s="50">
        <v>1</v>
      </c>
      <c r="U806" s="50">
        <v>76009</v>
      </c>
      <c r="Y806" s="4" t="s">
        <v>2160</v>
      </c>
    </row>
    <row r="807" spans="1:25">
      <c r="A807" s="4">
        <v>100070501</v>
      </c>
      <c r="B807" s="4">
        <v>7</v>
      </c>
      <c r="C807" s="4" t="s">
        <v>1760</v>
      </c>
      <c r="D807" s="4">
        <v>5</v>
      </c>
      <c r="E807" s="4" t="s">
        <v>2161</v>
      </c>
      <c r="F807" s="4">
        <v>70501</v>
      </c>
      <c r="H807" s="4">
        <f t="shared" ref="H807:H811" si="27">A808</f>
        <v>100070502</v>
      </c>
      <c r="I807" s="4" t="s">
        <v>970</v>
      </c>
      <c r="K807" s="4" t="s">
        <v>1763</v>
      </c>
      <c r="N807" s="38">
        <v>3207</v>
      </c>
      <c r="Q807" s="50">
        <v>1</v>
      </c>
      <c r="U807" s="61">
        <v>76001</v>
      </c>
      <c r="Y807" s="4" t="s">
        <v>2162</v>
      </c>
    </row>
    <row r="808" spans="1:25">
      <c r="A808" s="4">
        <v>100070502</v>
      </c>
      <c r="B808" s="4">
        <v>7</v>
      </c>
      <c r="C808" s="4" t="s">
        <v>1760</v>
      </c>
      <c r="D808" s="4">
        <v>5</v>
      </c>
      <c r="E808" s="4" t="s">
        <v>2161</v>
      </c>
      <c r="F808" s="4">
        <v>70501</v>
      </c>
      <c r="H808" s="4">
        <f t="shared" si="27"/>
        <v>100070503</v>
      </c>
      <c r="I808" s="4" t="s">
        <v>981</v>
      </c>
      <c r="K808" s="4" t="s">
        <v>1766</v>
      </c>
      <c r="N808" s="38">
        <v>3207</v>
      </c>
      <c r="Q808" s="50">
        <v>1</v>
      </c>
      <c r="U808" s="61">
        <v>76001</v>
      </c>
      <c r="Y808" s="4" t="s">
        <v>2163</v>
      </c>
    </row>
    <row r="809" spans="1:25">
      <c r="A809" s="4">
        <v>100070503</v>
      </c>
      <c r="B809" s="4">
        <v>7</v>
      </c>
      <c r="C809" s="4" t="s">
        <v>1760</v>
      </c>
      <c r="D809" s="4">
        <v>5</v>
      </c>
      <c r="E809" s="4" t="s">
        <v>2161</v>
      </c>
      <c r="F809" s="4">
        <v>70501</v>
      </c>
      <c r="H809" s="4">
        <f t="shared" si="27"/>
        <v>100070504</v>
      </c>
      <c r="I809" s="4" t="s">
        <v>992</v>
      </c>
      <c r="K809" s="4" t="s">
        <v>1769</v>
      </c>
      <c r="N809" s="38">
        <v>3207</v>
      </c>
      <c r="Q809" s="50">
        <v>1</v>
      </c>
      <c r="U809" s="61">
        <v>76001</v>
      </c>
      <c r="Y809" s="4" t="s">
        <v>2164</v>
      </c>
    </row>
    <row r="810" spans="1:25">
      <c r="A810" s="4">
        <v>100070504</v>
      </c>
      <c r="B810" s="4">
        <v>7</v>
      </c>
      <c r="C810" s="4" t="s">
        <v>1760</v>
      </c>
      <c r="D810" s="4">
        <v>5</v>
      </c>
      <c r="E810" s="4" t="s">
        <v>2161</v>
      </c>
      <c r="F810" s="4">
        <v>70501</v>
      </c>
      <c r="H810" s="4">
        <f t="shared" si="27"/>
        <v>100070505</v>
      </c>
      <c r="I810" s="4" t="s">
        <v>998</v>
      </c>
      <c r="K810" s="4" t="s">
        <v>1772</v>
      </c>
      <c r="N810" s="38">
        <v>3207</v>
      </c>
      <c r="Q810" s="50">
        <v>1</v>
      </c>
      <c r="U810" s="61">
        <v>76001</v>
      </c>
      <c r="Y810" s="4" t="s">
        <v>2165</v>
      </c>
    </row>
    <row r="811" spans="1:25">
      <c r="A811" s="4">
        <v>100070505</v>
      </c>
      <c r="B811" s="4">
        <v>7</v>
      </c>
      <c r="C811" s="4" t="s">
        <v>1760</v>
      </c>
      <c r="D811" s="4">
        <v>5</v>
      </c>
      <c r="E811" s="4" t="s">
        <v>2161</v>
      </c>
      <c r="F811" s="4">
        <v>70501</v>
      </c>
      <c r="H811" s="4">
        <f t="shared" si="27"/>
        <v>100070506</v>
      </c>
      <c r="I811" s="4" t="s">
        <v>2166</v>
      </c>
      <c r="K811" s="4" t="s">
        <v>1775</v>
      </c>
      <c r="N811" s="38">
        <v>3207</v>
      </c>
      <c r="Q811" s="50">
        <v>1</v>
      </c>
      <c r="U811" s="61">
        <v>76001</v>
      </c>
      <c r="Y811" s="4" t="s">
        <v>2167</v>
      </c>
    </row>
    <row r="812" spans="1:25">
      <c r="A812" s="4">
        <v>100070506</v>
      </c>
      <c r="B812" s="4">
        <v>7</v>
      </c>
      <c r="C812" s="4" t="s">
        <v>1760</v>
      </c>
      <c r="D812" s="4">
        <v>5</v>
      </c>
      <c r="E812" s="4" t="s">
        <v>2161</v>
      </c>
      <c r="F812" s="4">
        <v>70501</v>
      </c>
      <c r="I812" s="4" t="s">
        <v>2168</v>
      </c>
      <c r="K812" s="4" t="s">
        <v>1778</v>
      </c>
      <c r="N812" s="38">
        <v>3207</v>
      </c>
      <c r="Q812" s="50">
        <v>1</v>
      </c>
      <c r="U812" s="61">
        <v>76001</v>
      </c>
      <c r="Y812" s="4" t="s">
        <v>2169</v>
      </c>
    </row>
    <row r="813" spans="1:25">
      <c r="A813" s="4">
        <v>100070511</v>
      </c>
      <c r="B813" s="4">
        <v>7</v>
      </c>
      <c r="D813" s="4">
        <v>5</v>
      </c>
      <c r="E813" s="4" t="s">
        <v>2161</v>
      </c>
      <c r="F813" s="4">
        <v>70511</v>
      </c>
      <c r="H813" s="4">
        <f t="shared" ref="H813:H817" si="28">A814</f>
        <v>100070512</v>
      </c>
      <c r="I813" s="4" t="s">
        <v>973</v>
      </c>
      <c r="K813" s="4" t="s">
        <v>1763</v>
      </c>
      <c r="N813" s="38">
        <v>3306</v>
      </c>
      <c r="Q813" s="50">
        <v>1</v>
      </c>
      <c r="U813" s="50">
        <v>76002</v>
      </c>
      <c r="Y813" s="4" t="s">
        <v>2170</v>
      </c>
    </row>
    <row r="814" spans="1:25">
      <c r="A814" s="4">
        <v>100070512</v>
      </c>
      <c r="B814" s="4">
        <v>7</v>
      </c>
      <c r="D814" s="4">
        <v>5</v>
      </c>
      <c r="E814" s="4" t="s">
        <v>2161</v>
      </c>
      <c r="F814" s="4">
        <v>70511</v>
      </c>
      <c r="H814" s="4">
        <f t="shared" si="28"/>
        <v>100070513</v>
      </c>
      <c r="I814" s="4" t="s">
        <v>2171</v>
      </c>
      <c r="K814" s="4" t="s">
        <v>1766</v>
      </c>
      <c r="N814" s="38">
        <v>3306</v>
      </c>
      <c r="Q814" s="50">
        <v>1</v>
      </c>
      <c r="U814" s="50">
        <v>76002</v>
      </c>
      <c r="Y814" s="4" t="s">
        <v>2172</v>
      </c>
    </row>
    <row r="815" spans="1:25">
      <c r="A815" s="4">
        <v>100070513</v>
      </c>
      <c r="B815" s="4">
        <v>7</v>
      </c>
      <c r="D815" s="4">
        <v>5</v>
      </c>
      <c r="E815" s="4" t="s">
        <v>2161</v>
      </c>
      <c r="F815" s="4">
        <v>70511</v>
      </c>
      <c r="H815" s="4">
        <f t="shared" si="28"/>
        <v>100070514</v>
      </c>
      <c r="I815" s="4" t="s">
        <v>988</v>
      </c>
      <c r="K815" s="4" t="s">
        <v>1769</v>
      </c>
      <c r="N815" s="38">
        <v>3306</v>
      </c>
      <c r="Q815" s="50">
        <v>1</v>
      </c>
      <c r="U815" s="50">
        <v>76002</v>
      </c>
      <c r="Y815" s="4" t="s">
        <v>2173</v>
      </c>
    </row>
    <row r="816" spans="1:25">
      <c r="A816" s="4">
        <v>100070514</v>
      </c>
      <c r="B816" s="4">
        <v>7</v>
      </c>
      <c r="D816" s="4">
        <v>5</v>
      </c>
      <c r="E816" s="4" t="s">
        <v>2161</v>
      </c>
      <c r="F816" s="4">
        <v>70511</v>
      </c>
      <c r="H816" s="4">
        <f t="shared" si="28"/>
        <v>100070515</v>
      </c>
      <c r="I816" s="4" t="s">
        <v>2174</v>
      </c>
      <c r="K816" s="4" t="s">
        <v>1772</v>
      </c>
      <c r="N816" s="38">
        <v>3306</v>
      </c>
      <c r="Q816" s="50">
        <v>1</v>
      </c>
      <c r="U816" s="50">
        <v>76002</v>
      </c>
      <c r="Y816" s="4" t="s">
        <v>2175</v>
      </c>
    </row>
    <row r="817" spans="1:25">
      <c r="A817" s="4">
        <v>100070515</v>
      </c>
      <c r="B817" s="4">
        <v>7</v>
      </c>
      <c r="D817" s="4">
        <v>5</v>
      </c>
      <c r="E817" s="4" t="s">
        <v>2161</v>
      </c>
      <c r="F817" s="4">
        <v>70511</v>
      </c>
      <c r="H817" s="4">
        <f t="shared" si="28"/>
        <v>100070516</v>
      </c>
      <c r="I817" s="4" t="s">
        <v>2176</v>
      </c>
      <c r="K817" s="4" t="s">
        <v>1775</v>
      </c>
      <c r="N817" s="38">
        <v>3306</v>
      </c>
      <c r="Q817" s="50">
        <v>1</v>
      </c>
      <c r="U817" s="50">
        <v>76002</v>
      </c>
      <c r="Y817" s="4" t="s">
        <v>2177</v>
      </c>
    </row>
    <row r="818" spans="1:25">
      <c r="A818" s="4">
        <v>100070516</v>
      </c>
      <c r="B818" s="4">
        <v>7</v>
      </c>
      <c r="D818" s="4">
        <v>5</v>
      </c>
      <c r="E818" s="4" t="s">
        <v>2161</v>
      </c>
      <c r="F818" s="4">
        <v>70511</v>
      </c>
      <c r="I818" s="4" t="s">
        <v>2178</v>
      </c>
      <c r="K818" s="4" t="s">
        <v>1778</v>
      </c>
      <c r="N818" s="38">
        <v>3306</v>
      </c>
      <c r="Q818" s="50">
        <v>1</v>
      </c>
      <c r="U818" s="50">
        <v>76002</v>
      </c>
      <c r="Y818" s="4" t="s">
        <v>2179</v>
      </c>
    </row>
    <row r="819" spans="1:25">
      <c r="A819" s="4">
        <v>100070521</v>
      </c>
      <c r="B819" s="4">
        <v>7</v>
      </c>
      <c r="D819" s="4">
        <v>5</v>
      </c>
      <c r="E819" s="4" t="s">
        <v>2161</v>
      </c>
      <c r="F819" s="4">
        <v>70521</v>
      </c>
      <c r="H819" s="4">
        <f t="shared" ref="H819:H823" si="29">A820</f>
        <v>100070522</v>
      </c>
      <c r="I819" s="4" t="s">
        <v>2180</v>
      </c>
      <c r="K819" s="4" t="s">
        <v>1763</v>
      </c>
      <c r="N819" s="38">
        <v>11028</v>
      </c>
      <c r="Q819" s="50">
        <v>1</v>
      </c>
      <c r="U819" s="50">
        <v>76003</v>
      </c>
      <c r="Y819" s="4" t="s">
        <v>2181</v>
      </c>
    </row>
    <row r="820" spans="1:25">
      <c r="A820" s="4">
        <v>100070522</v>
      </c>
      <c r="B820" s="4">
        <v>7</v>
      </c>
      <c r="D820" s="4">
        <v>5</v>
      </c>
      <c r="E820" s="4" t="s">
        <v>2161</v>
      </c>
      <c r="F820" s="4">
        <v>70521</v>
      </c>
      <c r="H820" s="4">
        <f t="shared" si="29"/>
        <v>100070523</v>
      </c>
      <c r="I820" s="4" t="s">
        <v>2182</v>
      </c>
      <c r="K820" s="4" t="s">
        <v>1766</v>
      </c>
      <c r="N820" s="38">
        <v>11028</v>
      </c>
      <c r="Q820" s="50">
        <v>1</v>
      </c>
      <c r="U820" s="50">
        <v>76003</v>
      </c>
      <c r="Y820" s="4" t="s">
        <v>2183</v>
      </c>
    </row>
    <row r="821" spans="1:25">
      <c r="A821" s="4">
        <v>100070523</v>
      </c>
      <c r="B821" s="4">
        <v>7</v>
      </c>
      <c r="D821" s="4">
        <v>5</v>
      </c>
      <c r="E821" s="4" t="s">
        <v>2161</v>
      </c>
      <c r="F821" s="4">
        <v>70521</v>
      </c>
      <c r="H821" s="4">
        <f t="shared" si="29"/>
        <v>100070524</v>
      </c>
      <c r="I821" s="4" t="s">
        <v>2184</v>
      </c>
      <c r="K821" s="4" t="s">
        <v>1769</v>
      </c>
      <c r="N821" s="38">
        <v>11028</v>
      </c>
      <c r="Q821" s="50">
        <v>1</v>
      </c>
      <c r="U821" s="50">
        <v>76003</v>
      </c>
      <c r="Y821" s="4" t="s">
        <v>2185</v>
      </c>
    </row>
    <row r="822" spans="1:25">
      <c r="A822" s="4">
        <v>100070524</v>
      </c>
      <c r="B822" s="4">
        <v>7</v>
      </c>
      <c r="D822" s="4">
        <v>5</v>
      </c>
      <c r="E822" s="4" t="s">
        <v>2161</v>
      </c>
      <c r="F822" s="4">
        <v>70521</v>
      </c>
      <c r="H822" s="4">
        <f t="shared" si="29"/>
        <v>100070525</v>
      </c>
      <c r="I822" s="4" t="s">
        <v>2186</v>
      </c>
      <c r="K822" s="4" t="s">
        <v>1772</v>
      </c>
      <c r="N822" s="38">
        <v>11028</v>
      </c>
      <c r="Q822" s="50">
        <v>1</v>
      </c>
      <c r="U822" s="50">
        <v>76003</v>
      </c>
      <c r="Y822" s="4" t="s">
        <v>2187</v>
      </c>
    </row>
    <row r="823" spans="1:25">
      <c r="A823" s="4">
        <v>100070525</v>
      </c>
      <c r="B823" s="4">
        <v>7</v>
      </c>
      <c r="D823" s="4">
        <v>5</v>
      </c>
      <c r="E823" s="4" t="s">
        <v>2161</v>
      </c>
      <c r="F823" s="4">
        <v>70521</v>
      </c>
      <c r="H823" s="4">
        <f t="shared" si="29"/>
        <v>100070526</v>
      </c>
      <c r="I823" s="4" t="s">
        <v>2188</v>
      </c>
      <c r="K823" s="4" t="s">
        <v>1775</v>
      </c>
      <c r="N823" s="38">
        <v>11028</v>
      </c>
      <c r="Q823" s="50">
        <v>1</v>
      </c>
      <c r="U823" s="50">
        <v>76003</v>
      </c>
      <c r="Y823" s="4" t="s">
        <v>2189</v>
      </c>
    </row>
    <row r="824" spans="1:25">
      <c r="A824" s="4">
        <v>100070526</v>
      </c>
      <c r="B824" s="4">
        <v>7</v>
      </c>
      <c r="D824" s="4">
        <v>5</v>
      </c>
      <c r="E824" s="4" t="s">
        <v>2161</v>
      </c>
      <c r="F824" s="4">
        <v>70521</v>
      </c>
      <c r="I824" s="4" t="s">
        <v>2190</v>
      </c>
      <c r="K824" s="4" t="s">
        <v>1778</v>
      </c>
      <c r="N824" s="38">
        <v>11028</v>
      </c>
      <c r="Q824" s="50">
        <v>1</v>
      </c>
      <c r="U824" s="50">
        <v>76003</v>
      </c>
      <c r="Y824" s="4" t="s">
        <v>2191</v>
      </c>
    </row>
    <row r="825" spans="1:25">
      <c r="A825" s="4">
        <v>100070531</v>
      </c>
      <c r="B825" s="4">
        <v>7</v>
      </c>
      <c r="D825" s="4">
        <v>5</v>
      </c>
      <c r="E825" s="4" t="s">
        <v>2161</v>
      </c>
      <c r="F825" s="4">
        <v>70531</v>
      </c>
      <c r="H825" s="4">
        <f t="shared" ref="H825:H829" si="30">A826</f>
        <v>100070532</v>
      </c>
      <c r="I825" s="4" t="s">
        <v>2192</v>
      </c>
      <c r="K825" s="4" t="s">
        <v>1763</v>
      </c>
      <c r="N825" s="38">
        <v>11028</v>
      </c>
      <c r="Q825" s="50">
        <v>1</v>
      </c>
      <c r="U825" s="50">
        <v>76004</v>
      </c>
      <c r="Y825" s="4" t="s">
        <v>2193</v>
      </c>
    </row>
    <row r="826" spans="1:25">
      <c r="A826" s="4">
        <v>100070532</v>
      </c>
      <c r="B826" s="4">
        <v>7</v>
      </c>
      <c r="D826" s="4">
        <v>5</v>
      </c>
      <c r="E826" s="4" t="s">
        <v>2161</v>
      </c>
      <c r="F826" s="4">
        <v>70531</v>
      </c>
      <c r="H826" s="4">
        <f t="shared" si="30"/>
        <v>100070533</v>
      </c>
      <c r="I826" s="4" t="s">
        <v>2194</v>
      </c>
      <c r="K826" s="4" t="s">
        <v>1766</v>
      </c>
      <c r="N826" s="38">
        <v>11028</v>
      </c>
      <c r="Q826" s="50">
        <v>1</v>
      </c>
      <c r="U826" s="50">
        <v>76004</v>
      </c>
      <c r="Y826" s="4" t="s">
        <v>2195</v>
      </c>
    </row>
    <row r="827" spans="1:25">
      <c r="A827" s="4">
        <v>100070533</v>
      </c>
      <c r="B827" s="4">
        <v>7</v>
      </c>
      <c r="D827" s="4">
        <v>5</v>
      </c>
      <c r="E827" s="4" t="s">
        <v>2161</v>
      </c>
      <c r="F827" s="4">
        <v>70531</v>
      </c>
      <c r="H827" s="4">
        <f t="shared" si="30"/>
        <v>100070534</v>
      </c>
      <c r="I827" s="4" t="s">
        <v>2196</v>
      </c>
      <c r="K827" s="4" t="s">
        <v>1769</v>
      </c>
      <c r="N827" s="38">
        <v>11028</v>
      </c>
      <c r="Q827" s="50">
        <v>1</v>
      </c>
      <c r="U827" s="50">
        <v>76004</v>
      </c>
      <c r="Y827" s="4" t="s">
        <v>2197</v>
      </c>
    </row>
    <row r="828" spans="1:25">
      <c r="A828" s="4">
        <v>100070534</v>
      </c>
      <c r="B828" s="4">
        <v>7</v>
      </c>
      <c r="D828" s="4">
        <v>5</v>
      </c>
      <c r="E828" s="4" t="s">
        <v>2161</v>
      </c>
      <c r="F828" s="4">
        <v>70531</v>
      </c>
      <c r="H828" s="4">
        <f t="shared" si="30"/>
        <v>100070535</v>
      </c>
      <c r="I828" s="4" t="s">
        <v>2198</v>
      </c>
      <c r="K828" s="4" t="s">
        <v>1772</v>
      </c>
      <c r="N828" s="38">
        <v>11028</v>
      </c>
      <c r="Q828" s="50">
        <v>1</v>
      </c>
      <c r="U828" s="50">
        <v>76004</v>
      </c>
      <c r="Y828" s="4" t="s">
        <v>2199</v>
      </c>
    </row>
    <row r="829" spans="1:25">
      <c r="A829" s="4">
        <v>100070535</v>
      </c>
      <c r="B829" s="4">
        <v>7</v>
      </c>
      <c r="D829" s="4">
        <v>5</v>
      </c>
      <c r="E829" s="4" t="s">
        <v>2161</v>
      </c>
      <c r="F829" s="4">
        <v>70531</v>
      </c>
      <c r="H829" s="4">
        <f t="shared" si="30"/>
        <v>100070536</v>
      </c>
      <c r="I829" s="4" t="s">
        <v>2200</v>
      </c>
      <c r="K829" s="4" t="s">
        <v>1775</v>
      </c>
      <c r="N829" s="38">
        <v>11028</v>
      </c>
      <c r="Q829" s="50">
        <v>1</v>
      </c>
      <c r="U829" s="50">
        <v>76004</v>
      </c>
      <c r="Y829" s="4" t="s">
        <v>2201</v>
      </c>
    </row>
    <row r="830" spans="1:25">
      <c r="A830" s="4">
        <v>100070536</v>
      </c>
      <c r="B830" s="4">
        <v>7</v>
      </c>
      <c r="D830" s="4">
        <v>5</v>
      </c>
      <c r="E830" s="4" t="s">
        <v>2161</v>
      </c>
      <c r="F830" s="4">
        <v>70531</v>
      </c>
      <c r="I830" s="4" t="s">
        <v>2202</v>
      </c>
      <c r="K830" s="4" t="s">
        <v>1778</v>
      </c>
      <c r="N830" s="38">
        <v>11028</v>
      </c>
      <c r="Q830" s="50">
        <v>1</v>
      </c>
      <c r="U830" s="50">
        <v>76004</v>
      </c>
      <c r="Y830" s="4" t="s">
        <v>2203</v>
      </c>
    </row>
    <row r="831" spans="1:25">
      <c r="A831" s="4">
        <v>100070541</v>
      </c>
      <c r="B831" s="4">
        <v>7</v>
      </c>
      <c r="D831" s="4">
        <v>5</v>
      </c>
      <c r="E831" s="4" t="s">
        <v>2161</v>
      </c>
      <c r="F831" s="4">
        <v>70541</v>
      </c>
      <c r="H831" s="4">
        <f t="shared" ref="H831:H835" si="31">A832</f>
        <v>100070542</v>
      </c>
      <c r="I831" s="4" t="s">
        <v>2204</v>
      </c>
      <c r="K831" s="4" t="s">
        <v>1763</v>
      </c>
      <c r="N831" s="38">
        <v>11028</v>
      </c>
      <c r="Q831" s="50">
        <v>1</v>
      </c>
      <c r="U831" s="50">
        <v>76005</v>
      </c>
      <c r="Y831" s="4" t="s">
        <v>2205</v>
      </c>
    </row>
    <row r="832" spans="1:25">
      <c r="A832" s="4">
        <v>100070542</v>
      </c>
      <c r="B832" s="4">
        <v>7</v>
      </c>
      <c r="D832" s="4">
        <v>5</v>
      </c>
      <c r="E832" s="4" t="s">
        <v>2161</v>
      </c>
      <c r="F832" s="4">
        <v>70541</v>
      </c>
      <c r="H832" s="4">
        <f t="shared" si="31"/>
        <v>100070543</v>
      </c>
      <c r="I832" s="4" t="s">
        <v>2206</v>
      </c>
      <c r="K832" s="4" t="s">
        <v>1766</v>
      </c>
      <c r="N832" s="38">
        <v>11028</v>
      </c>
      <c r="Q832" s="50">
        <v>1</v>
      </c>
      <c r="U832" s="50">
        <v>76005</v>
      </c>
      <c r="Y832" s="4" t="s">
        <v>2207</v>
      </c>
    </row>
    <row r="833" spans="1:25">
      <c r="A833" s="4">
        <v>100070543</v>
      </c>
      <c r="B833" s="4">
        <v>7</v>
      </c>
      <c r="D833" s="4">
        <v>5</v>
      </c>
      <c r="E833" s="4" t="s">
        <v>2161</v>
      </c>
      <c r="F833" s="4">
        <v>70541</v>
      </c>
      <c r="H833" s="4">
        <f t="shared" si="31"/>
        <v>100070544</v>
      </c>
      <c r="I833" s="4" t="s">
        <v>2208</v>
      </c>
      <c r="K833" s="4" t="s">
        <v>1769</v>
      </c>
      <c r="N833" s="38">
        <v>11028</v>
      </c>
      <c r="Q833" s="50">
        <v>1</v>
      </c>
      <c r="U833" s="50">
        <v>76005</v>
      </c>
      <c r="Y833" s="4" t="s">
        <v>2209</v>
      </c>
    </row>
    <row r="834" spans="1:25">
      <c r="A834" s="4">
        <v>100070544</v>
      </c>
      <c r="B834" s="4">
        <v>7</v>
      </c>
      <c r="D834" s="4">
        <v>5</v>
      </c>
      <c r="E834" s="4" t="s">
        <v>2161</v>
      </c>
      <c r="F834" s="4">
        <v>70541</v>
      </c>
      <c r="H834" s="4">
        <f t="shared" si="31"/>
        <v>100070545</v>
      </c>
      <c r="I834" s="4" t="s">
        <v>2210</v>
      </c>
      <c r="K834" s="4" t="s">
        <v>1772</v>
      </c>
      <c r="N834" s="38">
        <v>11028</v>
      </c>
      <c r="Q834" s="50">
        <v>1</v>
      </c>
      <c r="U834" s="50">
        <v>76005</v>
      </c>
      <c r="Y834" s="4" t="s">
        <v>2211</v>
      </c>
    </row>
    <row r="835" spans="1:25">
      <c r="A835" s="4">
        <v>100070545</v>
      </c>
      <c r="B835" s="4">
        <v>7</v>
      </c>
      <c r="D835" s="4">
        <v>5</v>
      </c>
      <c r="E835" s="4" t="s">
        <v>2161</v>
      </c>
      <c r="F835" s="4">
        <v>70541</v>
      </c>
      <c r="H835" s="4">
        <f t="shared" si="31"/>
        <v>100070546</v>
      </c>
      <c r="I835" s="4" t="s">
        <v>2212</v>
      </c>
      <c r="K835" s="4" t="s">
        <v>1775</v>
      </c>
      <c r="N835" s="38">
        <v>11028</v>
      </c>
      <c r="Q835" s="50">
        <v>1</v>
      </c>
      <c r="U835" s="50">
        <v>76005</v>
      </c>
      <c r="Y835" s="4" t="s">
        <v>2213</v>
      </c>
    </row>
    <row r="836" spans="1:25">
      <c r="A836" s="4">
        <v>100070546</v>
      </c>
      <c r="B836" s="4">
        <v>7</v>
      </c>
      <c r="D836" s="4">
        <v>5</v>
      </c>
      <c r="E836" s="4" t="s">
        <v>2161</v>
      </c>
      <c r="F836" s="4">
        <v>70541</v>
      </c>
      <c r="I836" s="4" t="s">
        <v>2214</v>
      </c>
      <c r="K836" s="4" t="s">
        <v>1778</v>
      </c>
      <c r="N836" s="38">
        <v>11028</v>
      </c>
      <c r="Q836" s="50">
        <v>1</v>
      </c>
      <c r="U836" s="50">
        <v>76005</v>
      </c>
      <c r="Y836" s="4" t="s">
        <v>2215</v>
      </c>
    </row>
    <row r="837" spans="1:25">
      <c r="A837" s="4">
        <v>100070551</v>
      </c>
      <c r="B837" s="4">
        <v>7</v>
      </c>
      <c r="D837" s="4">
        <v>5</v>
      </c>
      <c r="E837" s="4" t="s">
        <v>2161</v>
      </c>
      <c r="F837" s="4">
        <v>70551</v>
      </c>
      <c r="H837" s="4">
        <f t="shared" ref="H837:H841" si="32">A838</f>
        <v>100070552</v>
      </c>
      <c r="I837" s="4" t="s">
        <v>2216</v>
      </c>
      <c r="K837" s="4" t="s">
        <v>1763</v>
      </c>
      <c r="N837" s="38">
        <v>11028</v>
      </c>
      <c r="Q837" s="50">
        <v>1</v>
      </c>
      <c r="U837" s="50">
        <v>76006</v>
      </c>
      <c r="Y837" s="4" t="s">
        <v>2217</v>
      </c>
    </row>
    <row r="838" spans="1:25">
      <c r="A838" s="4">
        <v>100070552</v>
      </c>
      <c r="B838" s="4">
        <v>7</v>
      </c>
      <c r="D838" s="4">
        <v>5</v>
      </c>
      <c r="E838" s="4" t="s">
        <v>2161</v>
      </c>
      <c r="F838" s="4">
        <v>70551</v>
      </c>
      <c r="H838" s="4">
        <f t="shared" si="32"/>
        <v>100070553</v>
      </c>
      <c r="I838" s="4" t="s">
        <v>2218</v>
      </c>
      <c r="K838" s="4" t="s">
        <v>1766</v>
      </c>
      <c r="N838" s="38">
        <v>11028</v>
      </c>
      <c r="Q838" s="50">
        <v>1</v>
      </c>
      <c r="U838" s="50">
        <v>76006</v>
      </c>
      <c r="Y838" s="4" t="s">
        <v>2219</v>
      </c>
    </row>
    <row r="839" spans="1:25">
      <c r="A839" s="4">
        <v>100070553</v>
      </c>
      <c r="B839" s="4">
        <v>7</v>
      </c>
      <c r="D839" s="4">
        <v>5</v>
      </c>
      <c r="E839" s="4" t="s">
        <v>2161</v>
      </c>
      <c r="F839" s="4">
        <v>70551</v>
      </c>
      <c r="H839" s="4">
        <f t="shared" si="32"/>
        <v>100070554</v>
      </c>
      <c r="I839" s="4" t="s">
        <v>2220</v>
      </c>
      <c r="K839" s="4" t="s">
        <v>1769</v>
      </c>
      <c r="N839" s="38">
        <v>11028</v>
      </c>
      <c r="Q839" s="50">
        <v>1</v>
      </c>
      <c r="U839" s="50">
        <v>76006</v>
      </c>
      <c r="Y839" s="4" t="s">
        <v>2221</v>
      </c>
    </row>
    <row r="840" spans="1:25">
      <c r="A840" s="4">
        <v>100070554</v>
      </c>
      <c r="B840" s="4">
        <v>7</v>
      </c>
      <c r="D840" s="4">
        <v>5</v>
      </c>
      <c r="E840" s="4" t="s">
        <v>2161</v>
      </c>
      <c r="F840" s="4">
        <v>70551</v>
      </c>
      <c r="H840" s="4">
        <f t="shared" si="32"/>
        <v>100070555</v>
      </c>
      <c r="I840" s="4" t="s">
        <v>2222</v>
      </c>
      <c r="K840" s="4" t="s">
        <v>1772</v>
      </c>
      <c r="N840" s="38">
        <v>11028</v>
      </c>
      <c r="Q840" s="50">
        <v>1</v>
      </c>
      <c r="U840" s="50">
        <v>76006</v>
      </c>
      <c r="Y840" s="4" t="s">
        <v>2223</v>
      </c>
    </row>
    <row r="841" spans="1:25">
      <c r="A841" s="4">
        <v>100070555</v>
      </c>
      <c r="B841" s="4">
        <v>7</v>
      </c>
      <c r="D841" s="4">
        <v>5</v>
      </c>
      <c r="E841" s="4" t="s">
        <v>2161</v>
      </c>
      <c r="F841" s="4">
        <v>70551</v>
      </c>
      <c r="H841" s="4">
        <f t="shared" si="32"/>
        <v>100070556</v>
      </c>
      <c r="I841" s="4" t="s">
        <v>2224</v>
      </c>
      <c r="K841" s="4" t="s">
        <v>1775</v>
      </c>
      <c r="N841" s="38">
        <v>11028</v>
      </c>
      <c r="Q841" s="50">
        <v>1</v>
      </c>
      <c r="U841" s="50">
        <v>76006</v>
      </c>
      <c r="Y841" s="4" t="s">
        <v>2225</v>
      </c>
    </row>
    <row r="842" spans="1:25">
      <c r="A842" s="4">
        <v>100070556</v>
      </c>
      <c r="B842" s="4">
        <v>7</v>
      </c>
      <c r="D842" s="4">
        <v>5</v>
      </c>
      <c r="E842" s="4" t="s">
        <v>2161</v>
      </c>
      <c r="F842" s="4">
        <v>70551</v>
      </c>
      <c r="I842" s="4" t="s">
        <v>2226</v>
      </c>
      <c r="K842" s="4" t="s">
        <v>1778</v>
      </c>
      <c r="N842" s="38">
        <v>11028</v>
      </c>
      <c r="Q842" s="50">
        <v>1</v>
      </c>
      <c r="U842" s="50">
        <v>76006</v>
      </c>
      <c r="Y842" s="4" t="s">
        <v>2227</v>
      </c>
    </row>
    <row r="843" spans="1:25">
      <c r="A843" s="4">
        <v>100070561</v>
      </c>
      <c r="B843" s="4">
        <v>7</v>
      </c>
      <c r="D843" s="4">
        <v>5</v>
      </c>
      <c r="E843" s="4" t="s">
        <v>2161</v>
      </c>
      <c r="F843" s="4">
        <v>70561</v>
      </c>
      <c r="H843" s="4">
        <f t="shared" ref="H843:H849" si="33">A844</f>
        <v>100070562</v>
      </c>
      <c r="I843" s="4" t="s">
        <v>2228</v>
      </c>
      <c r="K843" s="4" t="s">
        <v>1763</v>
      </c>
      <c r="N843" s="38">
        <v>11028</v>
      </c>
      <c r="Q843" s="50">
        <v>1</v>
      </c>
      <c r="U843" s="50">
        <v>76007</v>
      </c>
      <c r="Y843" s="4" t="s">
        <v>2229</v>
      </c>
    </row>
    <row r="844" spans="1:25">
      <c r="A844" s="4">
        <v>100070562</v>
      </c>
      <c r="B844" s="4">
        <v>7</v>
      </c>
      <c r="D844" s="4">
        <v>5</v>
      </c>
      <c r="E844" s="4" t="s">
        <v>2161</v>
      </c>
      <c r="F844" s="4">
        <v>70561</v>
      </c>
      <c r="H844" s="4">
        <f t="shared" si="33"/>
        <v>100070563</v>
      </c>
      <c r="I844" s="4" t="s">
        <v>2230</v>
      </c>
      <c r="K844" s="4" t="s">
        <v>1766</v>
      </c>
      <c r="N844" s="38">
        <v>11028</v>
      </c>
      <c r="Q844" s="50">
        <v>1</v>
      </c>
      <c r="U844" s="50">
        <v>76007</v>
      </c>
      <c r="Y844" s="4" t="s">
        <v>2231</v>
      </c>
    </row>
    <row r="845" spans="1:25">
      <c r="A845" s="4">
        <v>100070563</v>
      </c>
      <c r="B845" s="4">
        <v>7</v>
      </c>
      <c r="D845" s="4">
        <v>5</v>
      </c>
      <c r="E845" s="4" t="s">
        <v>2161</v>
      </c>
      <c r="F845" s="4">
        <v>70561</v>
      </c>
      <c r="H845" s="4">
        <f t="shared" si="33"/>
        <v>100070564</v>
      </c>
      <c r="I845" s="4" t="s">
        <v>2232</v>
      </c>
      <c r="K845" s="4" t="s">
        <v>1845</v>
      </c>
      <c r="N845" s="38">
        <v>11028</v>
      </c>
      <c r="Q845" s="50">
        <v>1</v>
      </c>
      <c r="U845" s="50">
        <v>76007</v>
      </c>
      <c r="Y845" s="4" t="s">
        <v>2233</v>
      </c>
    </row>
    <row r="846" spans="1:25">
      <c r="A846" s="4">
        <v>100070564</v>
      </c>
      <c r="B846" s="4">
        <v>7</v>
      </c>
      <c r="D846" s="4">
        <v>5</v>
      </c>
      <c r="E846" s="4" t="s">
        <v>2161</v>
      </c>
      <c r="F846" s="4">
        <v>70561</v>
      </c>
      <c r="H846" s="4">
        <f t="shared" si="33"/>
        <v>100070565</v>
      </c>
      <c r="I846" s="4" t="s">
        <v>2234</v>
      </c>
      <c r="K846" s="4" t="s">
        <v>1769</v>
      </c>
      <c r="N846" s="38">
        <v>11028</v>
      </c>
      <c r="Q846" s="50">
        <v>1</v>
      </c>
      <c r="U846" s="50">
        <v>76007</v>
      </c>
      <c r="Y846" s="4" t="s">
        <v>2235</v>
      </c>
    </row>
    <row r="847" spans="1:25">
      <c r="A847" s="4">
        <v>100070565</v>
      </c>
      <c r="B847" s="4">
        <v>7</v>
      </c>
      <c r="D847" s="4">
        <v>5</v>
      </c>
      <c r="E847" s="4" t="s">
        <v>2161</v>
      </c>
      <c r="F847" s="4">
        <v>70561</v>
      </c>
      <c r="H847" s="4">
        <f t="shared" si="33"/>
        <v>100070566</v>
      </c>
      <c r="I847" s="4" t="s">
        <v>2236</v>
      </c>
      <c r="K847" s="4" t="s">
        <v>1850</v>
      </c>
      <c r="N847" s="38">
        <v>11028</v>
      </c>
      <c r="Q847" s="50">
        <v>1</v>
      </c>
      <c r="U847" s="50">
        <v>76007</v>
      </c>
      <c r="Y847" s="4" t="s">
        <v>2237</v>
      </c>
    </row>
    <row r="848" spans="1:25">
      <c r="A848" s="4">
        <v>100070566</v>
      </c>
      <c r="B848" s="4">
        <v>7</v>
      </c>
      <c r="D848" s="4">
        <v>5</v>
      </c>
      <c r="E848" s="4" t="s">
        <v>2161</v>
      </c>
      <c r="F848" s="4">
        <v>70561</v>
      </c>
      <c r="H848" s="4">
        <f t="shared" si="33"/>
        <v>100070567</v>
      </c>
      <c r="I848" s="4" t="s">
        <v>2238</v>
      </c>
      <c r="K848" s="4" t="s">
        <v>1853</v>
      </c>
      <c r="N848" s="38">
        <v>11028</v>
      </c>
      <c r="Q848" s="50">
        <v>1</v>
      </c>
      <c r="U848" s="50">
        <v>76007</v>
      </c>
      <c r="Y848" s="4" t="s">
        <v>2239</v>
      </c>
    </row>
    <row r="849" spans="1:25">
      <c r="A849" s="4">
        <v>100070567</v>
      </c>
      <c r="B849" s="4">
        <v>7</v>
      </c>
      <c r="D849" s="4">
        <v>5</v>
      </c>
      <c r="E849" s="4" t="s">
        <v>2161</v>
      </c>
      <c r="F849" s="4">
        <v>70561</v>
      </c>
      <c r="H849" s="4">
        <f t="shared" si="33"/>
        <v>100070568</v>
      </c>
      <c r="I849" s="4" t="s">
        <v>2240</v>
      </c>
      <c r="K849" s="4" t="s">
        <v>1856</v>
      </c>
      <c r="N849" s="38">
        <v>11028</v>
      </c>
      <c r="Q849" s="50">
        <v>1</v>
      </c>
      <c r="U849" s="50">
        <v>76007</v>
      </c>
      <c r="Y849" s="4" t="s">
        <v>2241</v>
      </c>
    </row>
    <row r="850" spans="1:25">
      <c r="A850" s="4">
        <v>100070568</v>
      </c>
      <c r="B850" s="4">
        <v>7</v>
      </c>
      <c r="D850" s="4">
        <v>5</v>
      </c>
      <c r="E850" s="4" t="s">
        <v>2161</v>
      </c>
      <c r="F850" s="4">
        <v>70561</v>
      </c>
      <c r="I850" s="4" t="s">
        <v>2242</v>
      </c>
      <c r="K850" s="4" t="s">
        <v>1772</v>
      </c>
      <c r="N850" s="38">
        <v>11028</v>
      </c>
      <c r="Q850" s="50">
        <v>1</v>
      </c>
      <c r="U850" s="50">
        <v>76007</v>
      </c>
      <c r="Y850" s="4" t="s">
        <v>2243</v>
      </c>
    </row>
    <row r="851" spans="1:25">
      <c r="A851" s="4">
        <v>100070571</v>
      </c>
      <c r="B851" s="4">
        <v>7</v>
      </c>
      <c r="D851" s="4">
        <v>5</v>
      </c>
      <c r="E851" s="4" t="s">
        <v>2161</v>
      </c>
      <c r="F851" s="4">
        <v>70571</v>
      </c>
      <c r="H851" s="4">
        <f t="shared" ref="H851:H855" si="34">A852</f>
        <v>100070572</v>
      </c>
      <c r="I851" s="4" t="s">
        <v>2244</v>
      </c>
      <c r="K851" s="4" t="s">
        <v>1763</v>
      </c>
      <c r="N851" s="38">
        <v>11028</v>
      </c>
      <c r="Q851" s="50">
        <v>1</v>
      </c>
      <c r="U851" s="50">
        <v>76008</v>
      </c>
      <c r="Y851" s="4" t="s">
        <v>2245</v>
      </c>
    </row>
    <row r="852" spans="1:25">
      <c r="A852" s="4">
        <v>100070572</v>
      </c>
      <c r="B852" s="4">
        <v>7</v>
      </c>
      <c r="D852" s="4">
        <v>5</v>
      </c>
      <c r="E852" s="4" t="s">
        <v>2161</v>
      </c>
      <c r="F852" s="4">
        <v>70571</v>
      </c>
      <c r="H852" s="4">
        <f t="shared" si="34"/>
        <v>100070573</v>
      </c>
      <c r="I852" s="4" t="s">
        <v>2246</v>
      </c>
      <c r="K852" s="4" t="s">
        <v>1766</v>
      </c>
      <c r="N852" s="38">
        <v>11028</v>
      </c>
      <c r="Q852" s="50">
        <v>1</v>
      </c>
      <c r="U852" s="50">
        <v>76008</v>
      </c>
      <c r="Y852" s="4" t="s">
        <v>2247</v>
      </c>
    </row>
    <row r="853" spans="1:25">
      <c r="A853" s="4">
        <v>100070573</v>
      </c>
      <c r="B853" s="4">
        <v>7</v>
      </c>
      <c r="D853" s="4">
        <v>5</v>
      </c>
      <c r="E853" s="4" t="s">
        <v>2161</v>
      </c>
      <c r="F853" s="4">
        <v>70571</v>
      </c>
      <c r="H853" s="4">
        <f t="shared" si="34"/>
        <v>100070574</v>
      </c>
      <c r="I853" s="4" t="s">
        <v>2248</v>
      </c>
      <c r="K853" s="4" t="s">
        <v>1769</v>
      </c>
      <c r="N853" s="38">
        <v>11028</v>
      </c>
      <c r="Q853" s="50">
        <v>1</v>
      </c>
      <c r="U853" s="50">
        <v>76008</v>
      </c>
      <c r="Y853" s="4" t="s">
        <v>2249</v>
      </c>
    </row>
    <row r="854" spans="1:25">
      <c r="A854" s="4">
        <v>100070574</v>
      </c>
      <c r="B854" s="4">
        <v>7</v>
      </c>
      <c r="D854" s="4">
        <v>5</v>
      </c>
      <c r="E854" s="4" t="s">
        <v>2161</v>
      </c>
      <c r="F854" s="4">
        <v>70571</v>
      </c>
      <c r="H854" s="4">
        <f t="shared" si="34"/>
        <v>100070575</v>
      </c>
      <c r="I854" s="4" t="s">
        <v>2250</v>
      </c>
      <c r="K854" s="4" t="s">
        <v>1772</v>
      </c>
      <c r="N854" s="38">
        <v>11028</v>
      </c>
      <c r="Q854" s="50">
        <v>1</v>
      </c>
      <c r="U854" s="50">
        <v>76008</v>
      </c>
      <c r="Y854" s="4" t="s">
        <v>2251</v>
      </c>
    </row>
    <row r="855" spans="1:25">
      <c r="A855" s="4">
        <v>100070575</v>
      </c>
      <c r="B855" s="4">
        <v>7</v>
      </c>
      <c r="D855" s="4">
        <v>5</v>
      </c>
      <c r="E855" s="4" t="s">
        <v>2161</v>
      </c>
      <c r="F855" s="4">
        <v>70571</v>
      </c>
      <c r="H855" s="4">
        <f t="shared" si="34"/>
        <v>100070576</v>
      </c>
      <c r="I855" s="4" t="s">
        <v>2252</v>
      </c>
      <c r="K855" s="4" t="s">
        <v>1775</v>
      </c>
      <c r="N855" s="38">
        <v>11028</v>
      </c>
      <c r="Q855" s="50">
        <v>1</v>
      </c>
      <c r="U855" s="50">
        <v>76008</v>
      </c>
      <c r="Y855" s="4" t="s">
        <v>2253</v>
      </c>
    </row>
    <row r="856" spans="1:25">
      <c r="A856" s="4">
        <v>100070576</v>
      </c>
      <c r="B856" s="4">
        <v>7</v>
      </c>
      <c r="D856" s="4">
        <v>5</v>
      </c>
      <c r="E856" s="4" t="s">
        <v>2161</v>
      </c>
      <c r="F856" s="4">
        <v>70571</v>
      </c>
      <c r="I856" s="4" t="s">
        <v>2254</v>
      </c>
      <c r="K856" s="4" t="s">
        <v>1778</v>
      </c>
      <c r="N856" s="38">
        <v>11028</v>
      </c>
      <c r="Q856" s="50">
        <v>1</v>
      </c>
      <c r="U856" s="50">
        <v>76008</v>
      </c>
      <c r="Y856" s="4" t="s">
        <v>2255</v>
      </c>
    </row>
    <row r="857" spans="1:25">
      <c r="A857" s="4">
        <v>100070601</v>
      </c>
      <c r="B857" s="4">
        <v>7</v>
      </c>
      <c r="C857" s="4" t="s">
        <v>1760</v>
      </c>
      <c r="D857" s="4">
        <v>6</v>
      </c>
      <c r="E857" s="4" t="s">
        <v>2256</v>
      </c>
      <c r="F857" s="4">
        <v>70601</v>
      </c>
      <c r="H857" s="4">
        <f t="shared" ref="H857:H861" si="35">A858</f>
        <v>100070602</v>
      </c>
      <c r="I857" s="4" t="s">
        <v>919</v>
      </c>
      <c r="K857" s="4" t="s">
        <v>1763</v>
      </c>
      <c r="N857" s="38">
        <v>3208</v>
      </c>
      <c r="Q857" s="50">
        <v>1</v>
      </c>
      <c r="U857" s="61">
        <v>76001</v>
      </c>
      <c r="Y857" s="4" t="s">
        <v>2257</v>
      </c>
    </row>
    <row r="858" spans="1:25">
      <c r="A858" s="4">
        <v>100070602</v>
      </c>
      <c r="B858" s="4">
        <v>7</v>
      </c>
      <c r="C858" s="4" t="s">
        <v>1760</v>
      </c>
      <c r="D858" s="4">
        <v>6</v>
      </c>
      <c r="E858" s="4" t="s">
        <v>2256</v>
      </c>
      <c r="F858" s="4">
        <v>70601</v>
      </c>
      <c r="H858" s="4">
        <f t="shared" si="35"/>
        <v>100070603</v>
      </c>
      <c r="I858" s="4" t="s">
        <v>930</v>
      </c>
      <c r="K858" s="4" t="s">
        <v>1766</v>
      </c>
      <c r="N858" s="38">
        <v>3208</v>
      </c>
      <c r="Q858" s="50">
        <v>1</v>
      </c>
      <c r="U858" s="61">
        <v>76001</v>
      </c>
      <c r="Y858" s="4" t="s">
        <v>2258</v>
      </c>
    </row>
    <row r="859" spans="1:25">
      <c r="A859" s="4">
        <v>100070603</v>
      </c>
      <c r="B859" s="4">
        <v>7</v>
      </c>
      <c r="C859" s="4" t="s">
        <v>1760</v>
      </c>
      <c r="D859" s="4">
        <v>6</v>
      </c>
      <c r="E859" s="4" t="s">
        <v>2256</v>
      </c>
      <c r="F859" s="4">
        <v>70601</v>
      </c>
      <c r="H859" s="4">
        <f t="shared" si="35"/>
        <v>100070604</v>
      </c>
      <c r="I859" s="4" t="s">
        <v>941</v>
      </c>
      <c r="K859" s="4" t="s">
        <v>1769</v>
      </c>
      <c r="N859" s="38">
        <v>3208</v>
      </c>
      <c r="Q859" s="50">
        <v>1</v>
      </c>
      <c r="U859" s="61">
        <v>76001</v>
      </c>
      <c r="Y859" s="4" t="s">
        <v>2259</v>
      </c>
    </row>
    <row r="860" spans="1:25">
      <c r="A860" s="4">
        <v>100070604</v>
      </c>
      <c r="B860" s="4">
        <v>7</v>
      </c>
      <c r="C860" s="4" t="s">
        <v>1760</v>
      </c>
      <c r="D860" s="4">
        <v>6</v>
      </c>
      <c r="E860" s="4" t="s">
        <v>2256</v>
      </c>
      <c r="F860" s="4">
        <v>70601</v>
      </c>
      <c r="H860" s="4">
        <f t="shared" si="35"/>
        <v>100070605</v>
      </c>
      <c r="I860" s="4" t="s">
        <v>947</v>
      </c>
      <c r="K860" s="4" t="s">
        <v>1772</v>
      </c>
      <c r="N860" s="38">
        <v>3208</v>
      </c>
      <c r="Q860" s="50">
        <v>1</v>
      </c>
      <c r="U860" s="61">
        <v>76001</v>
      </c>
      <c r="Y860" s="4" t="s">
        <v>2260</v>
      </c>
    </row>
    <row r="861" spans="1:25">
      <c r="A861" s="4">
        <v>100070605</v>
      </c>
      <c r="B861" s="4">
        <v>7</v>
      </c>
      <c r="C861" s="4" t="s">
        <v>1760</v>
      </c>
      <c r="D861" s="4">
        <v>6</v>
      </c>
      <c r="E861" s="4" t="s">
        <v>2256</v>
      </c>
      <c r="F861" s="4">
        <v>70601</v>
      </c>
      <c r="H861" s="4">
        <f t="shared" si="35"/>
        <v>100070606</v>
      </c>
      <c r="I861" s="4" t="s">
        <v>2261</v>
      </c>
      <c r="K861" s="4" t="s">
        <v>1775</v>
      </c>
      <c r="N861" s="38">
        <v>3208</v>
      </c>
      <c r="Q861" s="50">
        <v>1</v>
      </c>
      <c r="U861" s="61">
        <v>76001</v>
      </c>
      <c r="Y861" s="4" t="s">
        <v>2262</v>
      </c>
    </row>
    <row r="862" spans="1:25">
      <c r="A862" s="4">
        <v>100070606</v>
      </c>
      <c r="B862" s="4">
        <v>7</v>
      </c>
      <c r="C862" s="4" t="s">
        <v>1760</v>
      </c>
      <c r="D862" s="4">
        <v>6</v>
      </c>
      <c r="E862" s="4" t="s">
        <v>2256</v>
      </c>
      <c r="F862" s="4">
        <v>70601</v>
      </c>
      <c r="I862" s="4" t="s">
        <v>2263</v>
      </c>
      <c r="K862" s="4" t="s">
        <v>1778</v>
      </c>
      <c r="N862" s="38">
        <v>3208</v>
      </c>
      <c r="Q862" s="50">
        <v>1</v>
      </c>
      <c r="U862" s="61">
        <v>76001</v>
      </c>
      <c r="Y862" s="4" t="s">
        <v>2264</v>
      </c>
    </row>
    <row r="863" spans="1:25">
      <c r="A863" s="4">
        <v>100070611</v>
      </c>
      <c r="B863" s="4">
        <v>7</v>
      </c>
      <c r="D863" s="4">
        <v>6</v>
      </c>
      <c r="E863" s="4" t="s">
        <v>2256</v>
      </c>
      <c r="F863" s="4">
        <v>70611</v>
      </c>
      <c r="H863" s="4">
        <f t="shared" ref="H863:H867" si="36">A864</f>
        <v>100070612</v>
      </c>
      <c r="I863" s="4" t="s">
        <v>922</v>
      </c>
      <c r="K863" s="4" t="s">
        <v>1763</v>
      </c>
      <c r="N863" s="38">
        <v>3305</v>
      </c>
      <c r="Q863" s="50">
        <v>1</v>
      </c>
      <c r="U863" s="50">
        <v>76002</v>
      </c>
      <c r="Y863" s="4" t="s">
        <v>2265</v>
      </c>
    </row>
    <row r="864" spans="1:25">
      <c r="A864" s="4">
        <v>100070612</v>
      </c>
      <c r="B864" s="4">
        <v>7</v>
      </c>
      <c r="D864" s="4">
        <v>6</v>
      </c>
      <c r="E864" s="4" t="s">
        <v>2256</v>
      </c>
      <c r="F864" s="4">
        <v>70611</v>
      </c>
      <c r="H864" s="4">
        <f t="shared" si="36"/>
        <v>100070613</v>
      </c>
      <c r="I864" s="4" t="s">
        <v>2266</v>
      </c>
      <c r="K864" s="4" t="s">
        <v>1766</v>
      </c>
      <c r="N864" s="38">
        <v>3305</v>
      </c>
      <c r="Q864" s="50">
        <v>1</v>
      </c>
      <c r="U864" s="50">
        <v>76002</v>
      </c>
      <c r="Y864" s="4" t="s">
        <v>2267</v>
      </c>
    </row>
    <row r="865" spans="1:25">
      <c r="A865" s="4">
        <v>100070613</v>
      </c>
      <c r="B865" s="4">
        <v>7</v>
      </c>
      <c r="D865" s="4">
        <v>6</v>
      </c>
      <c r="E865" s="4" t="s">
        <v>2256</v>
      </c>
      <c r="F865" s="4">
        <v>70611</v>
      </c>
      <c r="H865" s="4">
        <f t="shared" si="36"/>
        <v>100070614</v>
      </c>
      <c r="I865" s="4" t="s">
        <v>2268</v>
      </c>
      <c r="K865" s="4" t="s">
        <v>1769</v>
      </c>
      <c r="N865" s="38">
        <v>3305</v>
      </c>
      <c r="Q865" s="50">
        <v>1</v>
      </c>
      <c r="U865" s="50">
        <v>76002</v>
      </c>
      <c r="Y865" s="4" t="s">
        <v>2269</v>
      </c>
    </row>
    <row r="866" spans="1:25">
      <c r="A866" s="4">
        <v>100070614</v>
      </c>
      <c r="B866" s="4">
        <v>7</v>
      </c>
      <c r="D866" s="4">
        <v>6</v>
      </c>
      <c r="E866" s="4" t="s">
        <v>2256</v>
      </c>
      <c r="F866" s="4">
        <v>70611</v>
      </c>
      <c r="H866" s="4">
        <f t="shared" si="36"/>
        <v>100070615</v>
      </c>
      <c r="I866" s="4" t="s">
        <v>2270</v>
      </c>
      <c r="K866" s="4" t="s">
        <v>1772</v>
      </c>
      <c r="N866" s="38">
        <v>3305</v>
      </c>
      <c r="Q866" s="50">
        <v>1</v>
      </c>
      <c r="U866" s="50">
        <v>76002</v>
      </c>
      <c r="Y866" s="4" t="s">
        <v>2271</v>
      </c>
    </row>
    <row r="867" spans="1:25">
      <c r="A867" s="4">
        <v>100070615</v>
      </c>
      <c r="B867" s="4">
        <v>7</v>
      </c>
      <c r="D867" s="4">
        <v>6</v>
      </c>
      <c r="E867" s="4" t="s">
        <v>2256</v>
      </c>
      <c r="F867" s="4">
        <v>70611</v>
      </c>
      <c r="H867" s="4">
        <f t="shared" si="36"/>
        <v>100070616</v>
      </c>
      <c r="I867" s="4" t="s">
        <v>2272</v>
      </c>
      <c r="K867" s="4" t="s">
        <v>1775</v>
      </c>
      <c r="N867" s="38">
        <v>3305</v>
      </c>
      <c r="Q867" s="50">
        <v>1</v>
      </c>
      <c r="U867" s="50">
        <v>76002</v>
      </c>
      <c r="Y867" s="4" t="s">
        <v>2273</v>
      </c>
    </row>
    <row r="868" spans="1:25">
      <c r="A868" s="4">
        <v>100070616</v>
      </c>
      <c r="B868" s="4">
        <v>7</v>
      </c>
      <c r="D868" s="4">
        <v>6</v>
      </c>
      <c r="E868" s="4" t="s">
        <v>2256</v>
      </c>
      <c r="F868" s="4">
        <v>70611</v>
      </c>
      <c r="I868" s="4" t="s">
        <v>2274</v>
      </c>
      <c r="K868" s="4" t="s">
        <v>1778</v>
      </c>
      <c r="N868" s="38">
        <v>3305</v>
      </c>
      <c r="Q868" s="50">
        <v>1</v>
      </c>
      <c r="U868" s="50">
        <v>76002</v>
      </c>
      <c r="Y868" s="4" t="s">
        <v>2275</v>
      </c>
    </row>
    <row r="869" spans="1:25">
      <c r="A869" s="4">
        <v>100070621</v>
      </c>
      <c r="B869" s="4">
        <v>7</v>
      </c>
      <c r="D869" s="4">
        <v>6</v>
      </c>
      <c r="E869" s="4" t="s">
        <v>2256</v>
      </c>
      <c r="F869" s="4">
        <v>70621</v>
      </c>
      <c r="H869" s="4">
        <f t="shared" ref="H869:H873" si="37">A870</f>
        <v>100070622</v>
      </c>
      <c r="I869" s="4" t="s">
        <v>2276</v>
      </c>
      <c r="K869" s="4" t="s">
        <v>1763</v>
      </c>
      <c r="N869" s="38">
        <v>11043</v>
      </c>
      <c r="Q869" s="50">
        <v>1</v>
      </c>
      <c r="U869" s="50">
        <v>76003</v>
      </c>
      <c r="Y869" s="4" t="s">
        <v>2277</v>
      </c>
    </row>
    <row r="870" spans="1:25">
      <c r="A870" s="4">
        <v>100070622</v>
      </c>
      <c r="B870" s="4">
        <v>7</v>
      </c>
      <c r="D870" s="4">
        <v>6</v>
      </c>
      <c r="E870" s="4" t="s">
        <v>2256</v>
      </c>
      <c r="F870" s="4">
        <v>70621</v>
      </c>
      <c r="H870" s="4">
        <f t="shared" si="37"/>
        <v>100070623</v>
      </c>
      <c r="I870" s="4" t="s">
        <v>2278</v>
      </c>
      <c r="K870" s="4" t="s">
        <v>1766</v>
      </c>
      <c r="N870" s="38">
        <v>11043</v>
      </c>
      <c r="Q870" s="50">
        <v>1</v>
      </c>
      <c r="U870" s="50">
        <v>76003</v>
      </c>
      <c r="Y870" s="4" t="s">
        <v>2279</v>
      </c>
    </row>
    <row r="871" spans="1:25">
      <c r="A871" s="4">
        <v>100070623</v>
      </c>
      <c r="B871" s="4">
        <v>7</v>
      </c>
      <c r="D871" s="4">
        <v>6</v>
      </c>
      <c r="E871" s="4" t="s">
        <v>2256</v>
      </c>
      <c r="F871" s="4">
        <v>70621</v>
      </c>
      <c r="H871" s="4">
        <f t="shared" si="37"/>
        <v>100070624</v>
      </c>
      <c r="I871" s="4" t="s">
        <v>2280</v>
      </c>
      <c r="K871" s="4" t="s">
        <v>1769</v>
      </c>
      <c r="N871" s="38">
        <v>11043</v>
      </c>
      <c r="Q871" s="50">
        <v>1</v>
      </c>
      <c r="U871" s="50">
        <v>76003</v>
      </c>
      <c r="Y871" s="4" t="s">
        <v>2281</v>
      </c>
    </row>
    <row r="872" spans="1:25">
      <c r="A872" s="4">
        <v>100070624</v>
      </c>
      <c r="B872" s="4">
        <v>7</v>
      </c>
      <c r="D872" s="4">
        <v>6</v>
      </c>
      <c r="E872" s="4" t="s">
        <v>2256</v>
      </c>
      <c r="F872" s="4">
        <v>70621</v>
      </c>
      <c r="H872" s="4">
        <f t="shared" si="37"/>
        <v>100070625</v>
      </c>
      <c r="I872" s="4" t="s">
        <v>2282</v>
      </c>
      <c r="K872" s="4" t="s">
        <v>1772</v>
      </c>
      <c r="N872" s="38">
        <v>11043</v>
      </c>
      <c r="Q872" s="50">
        <v>1</v>
      </c>
      <c r="U872" s="50">
        <v>76003</v>
      </c>
      <c r="Y872" s="4" t="s">
        <v>2283</v>
      </c>
    </row>
    <row r="873" spans="1:25">
      <c r="A873" s="4">
        <v>100070625</v>
      </c>
      <c r="B873" s="4">
        <v>7</v>
      </c>
      <c r="D873" s="4">
        <v>6</v>
      </c>
      <c r="E873" s="4" t="s">
        <v>2256</v>
      </c>
      <c r="F873" s="4">
        <v>70621</v>
      </c>
      <c r="H873" s="4">
        <f t="shared" si="37"/>
        <v>100070626</v>
      </c>
      <c r="I873" s="4" t="s">
        <v>2284</v>
      </c>
      <c r="K873" s="4" t="s">
        <v>1775</v>
      </c>
      <c r="N873" s="38">
        <v>11043</v>
      </c>
      <c r="Q873" s="50">
        <v>1</v>
      </c>
      <c r="U873" s="50">
        <v>76003</v>
      </c>
      <c r="Y873" s="4" t="s">
        <v>2285</v>
      </c>
    </row>
    <row r="874" spans="1:25">
      <c r="A874" s="4">
        <v>100070626</v>
      </c>
      <c r="B874" s="4">
        <v>7</v>
      </c>
      <c r="D874" s="4">
        <v>6</v>
      </c>
      <c r="E874" s="4" t="s">
        <v>2256</v>
      </c>
      <c r="F874" s="4">
        <v>70621</v>
      </c>
      <c r="I874" s="4" t="s">
        <v>2286</v>
      </c>
      <c r="K874" s="4" t="s">
        <v>1778</v>
      </c>
      <c r="N874" s="38">
        <v>11043</v>
      </c>
      <c r="Q874" s="50">
        <v>1</v>
      </c>
      <c r="U874" s="50">
        <v>76003</v>
      </c>
      <c r="Y874" s="4" t="s">
        <v>2287</v>
      </c>
    </row>
    <row r="875" spans="1:25">
      <c r="A875" s="4">
        <v>100070631</v>
      </c>
      <c r="B875" s="4">
        <v>7</v>
      </c>
      <c r="D875" s="4">
        <v>6</v>
      </c>
      <c r="E875" s="4" t="s">
        <v>2256</v>
      </c>
      <c r="F875" s="4">
        <v>70631</v>
      </c>
      <c r="H875" s="4">
        <f t="shared" ref="H875:H879" si="38">A876</f>
        <v>100070632</v>
      </c>
      <c r="I875" s="4" t="s">
        <v>2288</v>
      </c>
      <c r="K875" s="4" t="s">
        <v>1763</v>
      </c>
      <c r="N875" s="38">
        <v>11043</v>
      </c>
      <c r="Q875" s="50">
        <v>1</v>
      </c>
      <c r="U875" s="50">
        <v>76004</v>
      </c>
      <c r="Y875" s="4" t="s">
        <v>2289</v>
      </c>
    </row>
    <row r="876" spans="1:25">
      <c r="A876" s="4">
        <v>100070632</v>
      </c>
      <c r="B876" s="4">
        <v>7</v>
      </c>
      <c r="D876" s="4">
        <v>6</v>
      </c>
      <c r="E876" s="4" t="s">
        <v>2256</v>
      </c>
      <c r="F876" s="4">
        <v>70631</v>
      </c>
      <c r="H876" s="4">
        <f t="shared" si="38"/>
        <v>100070633</v>
      </c>
      <c r="I876" s="4" t="s">
        <v>2290</v>
      </c>
      <c r="K876" s="4" t="s">
        <v>1766</v>
      </c>
      <c r="N876" s="38">
        <v>11043</v>
      </c>
      <c r="Q876" s="50">
        <v>1</v>
      </c>
      <c r="U876" s="50">
        <v>76004</v>
      </c>
      <c r="Y876" s="4" t="s">
        <v>2291</v>
      </c>
    </row>
    <row r="877" spans="1:25">
      <c r="A877" s="4">
        <v>100070633</v>
      </c>
      <c r="B877" s="4">
        <v>7</v>
      </c>
      <c r="D877" s="4">
        <v>6</v>
      </c>
      <c r="E877" s="4" t="s">
        <v>2256</v>
      </c>
      <c r="F877" s="4">
        <v>70631</v>
      </c>
      <c r="H877" s="4">
        <f t="shared" si="38"/>
        <v>100070634</v>
      </c>
      <c r="I877" s="4" t="s">
        <v>2292</v>
      </c>
      <c r="K877" s="4" t="s">
        <v>1769</v>
      </c>
      <c r="N877" s="38">
        <v>11043</v>
      </c>
      <c r="Q877" s="50">
        <v>1</v>
      </c>
      <c r="U877" s="50">
        <v>76004</v>
      </c>
      <c r="Y877" s="4" t="s">
        <v>2293</v>
      </c>
    </row>
    <row r="878" spans="1:25">
      <c r="A878" s="4">
        <v>100070634</v>
      </c>
      <c r="B878" s="4">
        <v>7</v>
      </c>
      <c r="D878" s="4">
        <v>6</v>
      </c>
      <c r="E878" s="4" t="s">
        <v>2256</v>
      </c>
      <c r="F878" s="4">
        <v>70631</v>
      </c>
      <c r="H878" s="4">
        <f t="shared" si="38"/>
        <v>100070635</v>
      </c>
      <c r="I878" s="4" t="s">
        <v>2294</v>
      </c>
      <c r="K878" s="4" t="s">
        <v>1772</v>
      </c>
      <c r="N878" s="38">
        <v>11043</v>
      </c>
      <c r="Q878" s="50">
        <v>1</v>
      </c>
      <c r="U878" s="50">
        <v>76004</v>
      </c>
      <c r="Y878" s="4" t="s">
        <v>2295</v>
      </c>
    </row>
    <row r="879" spans="1:25">
      <c r="A879" s="4">
        <v>100070635</v>
      </c>
      <c r="B879" s="4">
        <v>7</v>
      </c>
      <c r="D879" s="4">
        <v>6</v>
      </c>
      <c r="E879" s="4" t="s">
        <v>2256</v>
      </c>
      <c r="F879" s="4">
        <v>70631</v>
      </c>
      <c r="H879" s="4">
        <f t="shared" si="38"/>
        <v>100070636</v>
      </c>
      <c r="I879" s="4" t="s">
        <v>2296</v>
      </c>
      <c r="K879" s="4" t="s">
        <v>1775</v>
      </c>
      <c r="N879" s="38">
        <v>11043</v>
      </c>
      <c r="Q879" s="50">
        <v>1</v>
      </c>
      <c r="U879" s="50">
        <v>76004</v>
      </c>
      <c r="Y879" s="4" t="s">
        <v>2297</v>
      </c>
    </row>
    <row r="880" spans="1:25">
      <c r="A880" s="4">
        <v>100070636</v>
      </c>
      <c r="B880" s="4">
        <v>7</v>
      </c>
      <c r="D880" s="4">
        <v>6</v>
      </c>
      <c r="E880" s="4" t="s">
        <v>2256</v>
      </c>
      <c r="F880" s="4">
        <v>70631</v>
      </c>
      <c r="I880" s="4" t="s">
        <v>2298</v>
      </c>
      <c r="K880" s="4" t="s">
        <v>1778</v>
      </c>
      <c r="N880" s="38">
        <v>11043</v>
      </c>
      <c r="Q880" s="50">
        <v>1</v>
      </c>
      <c r="U880" s="50">
        <v>76004</v>
      </c>
      <c r="Y880" s="4" t="s">
        <v>2299</v>
      </c>
    </row>
    <row r="881" spans="1:25">
      <c r="A881" s="4">
        <v>100070641</v>
      </c>
      <c r="B881" s="4">
        <v>7</v>
      </c>
      <c r="D881" s="4">
        <v>6</v>
      </c>
      <c r="E881" s="4" t="s">
        <v>2256</v>
      </c>
      <c r="F881" s="4">
        <v>70641</v>
      </c>
      <c r="H881" s="4">
        <f t="shared" ref="H881:H885" si="39">A882</f>
        <v>100070642</v>
      </c>
      <c r="I881" s="4" t="s">
        <v>2300</v>
      </c>
      <c r="K881" s="4" t="s">
        <v>1763</v>
      </c>
      <c r="N881" s="38">
        <v>11043</v>
      </c>
      <c r="Q881" s="50">
        <v>1</v>
      </c>
      <c r="U881" s="50">
        <v>76005</v>
      </c>
      <c r="Y881" s="4" t="s">
        <v>2301</v>
      </c>
    </row>
    <row r="882" spans="1:25">
      <c r="A882" s="4">
        <v>100070642</v>
      </c>
      <c r="B882" s="4">
        <v>7</v>
      </c>
      <c r="D882" s="4">
        <v>6</v>
      </c>
      <c r="E882" s="4" t="s">
        <v>2256</v>
      </c>
      <c r="F882" s="4">
        <v>70641</v>
      </c>
      <c r="H882" s="4">
        <f t="shared" si="39"/>
        <v>100070643</v>
      </c>
      <c r="I882" s="4" t="s">
        <v>2302</v>
      </c>
      <c r="K882" s="4" t="s">
        <v>1766</v>
      </c>
      <c r="N882" s="38">
        <v>11043</v>
      </c>
      <c r="Q882" s="50">
        <v>1</v>
      </c>
      <c r="U882" s="50">
        <v>76005</v>
      </c>
      <c r="Y882" s="4" t="s">
        <v>2303</v>
      </c>
    </row>
    <row r="883" spans="1:25">
      <c r="A883" s="4">
        <v>100070643</v>
      </c>
      <c r="B883" s="4">
        <v>7</v>
      </c>
      <c r="D883" s="4">
        <v>6</v>
      </c>
      <c r="E883" s="4" t="s">
        <v>2256</v>
      </c>
      <c r="F883" s="4">
        <v>70641</v>
      </c>
      <c r="H883" s="4">
        <f t="shared" si="39"/>
        <v>100070644</v>
      </c>
      <c r="I883" s="4" t="s">
        <v>2304</v>
      </c>
      <c r="K883" s="4" t="s">
        <v>1769</v>
      </c>
      <c r="N883" s="38">
        <v>11043</v>
      </c>
      <c r="Q883" s="50">
        <v>1</v>
      </c>
      <c r="U883" s="50">
        <v>76005</v>
      </c>
      <c r="Y883" s="4" t="s">
        <v>2305</v>
      </c>
    </row>
    <row r="884" spans="1:25">
      <c r="A884" s="4">
        <v>100070644</v>
      </c>
      <c r="B884" s="4">
        <v>7</v>
      </c>
      <c r="D884" s="4">
        <v>6</v>
      </c>
      <c r="E884" s="4" t="s">
        <v>2256</v>
      </c>
      <c r="F884" s="4">
        <v>70641</v>
      </c>
      <c r="H884" s="4">
        <f t="shared" si="39"/>
        <v>100070645</v>
      </c>
      <c r="I884" s="4" t="s">
        <v>2306</v>
      </c>
      <c r="K884" s="4" t="s">
        <v>1772</v>
      </c>
      <c r="N884" s="38">
        <v>11043</v>
      </c>
      <c r="Q884" s="50">
        <v>1</v>
      </c>
      <c r="U884" s="50">
        <v>76005</v>
      </c>
      <c r="Y884" s="4" t="s">
        <v>2307</v>
      </c>
    </row>
    <row r="885" spans="1:25">
      <c r="A885" s="4">
        <v>100070645</v>
      </c>
      <c r="B885" s="4">
        <v>7</v>
      </c>
      <c r="D885" s="4">
        <v>6</v>
      </c>
      <c r="E885" s="4" t="s">
        <v>2256</v>
      </c>
      <c r="F885" s="4">
        <v>70641</v>
      </c>
      <c r="H885" s="4">
        <f t="shared" si="39"/>
        <v>100070646</v>
      </c>
      <c r="I885" s="4" t="s">
        <v>2308</v>
      </c>
      <c r="K885" s="4" t="s">
        <v>1775</v>
      </c>
      <c r="N885" s="38">
        <v>11043</v>
      </c>
      <c r="Q885" s="50">
        <v>1</v>
      </c>
      <c r="U885" s="50">
        <v>76005</v>
      </c>
      <c r="Y885" s="4" t="s">
        <v>2309</v>
      </c>
    </row>
    <row r="886" spans="1:25">
      <c r="A886" s="4">
        <v>100070646</v>
      </c>
      <c r="B886" s="4">
        <v>7</v>
      </c>
      <c r="D886" s="4">
        <v>6</v>
      </c>
      <c r="E886" s="4" t="s">
        <v>2256</v>
      </c>
      <c r="F886" s="4">
        <v>70641</v>
      </c>
      <c r="I886" s="4" t="s">
        <v>2310</v>
      </c>
      <c r="K886" s="4" t="s">
        <v>1778</v>
      </c>
      <c r="N886" s="38">
        <v>11043</v>
      </c>
      <c r="Q886" s="50">
        <v>1</v>
      </c>
      <c r="U886" s="50">
        <v>76005</v>
      </c>
      <c r="Y886" s="4" t="s">
        <v>2311</v>
      </c>
    </row>
    <row r="887" spans="1:25">
      <c r="A887" s="4">
        <v>100070651</v>
      </c>
      <c r="B887" s="4">
        <v>7</v>
      </c>
      <c r="D887" s="4">
        <v>6</v>
      </c>
      <c r="E887" s="4" t="s">
        <v>2256</v>
      </c>
      <c r="F887" s="4">
        <v>70651</v>
      </c>
      <c r="H887" s="4">
        <f t="shared" ref="H887:H891" si="40">A888</f>
        <v>100070652</v>
      </c>
      <c r="I887" s="4" t="s">
        <v>2312</v>
      </c>
      <c r="K887" s="4" t="s">
        <v>1763</v>
      </c>
      <c r="N887" s="38">
        <v>11043</v>
      </c>
      <c r="Q887" s="50">
        <v>1</v>
      </c>
      <c r="U887" s="50">
        <v>76006</v>
      </c>
      <c r="Y887" s="4" t="s">
        <v>2313</v>
      </c>
    </row>
    <row r="888" spans="1:25">
      <c r="A888" s="4">
        <v>100070652</v>
      </c>
      <c r="B888" s="4">
        <v>7</v>
      </c>
      <c r="D888" s="4">
        <v>6</v>
      </c>
      <c r="E888" s="4" t="s">
        <v>2256</v>
      </c>
      <c r="F888" s="4">
        <v>70651</v>
      </c>
      <c r="H888" s="4">
        <f t="shared" si="40"/>
        <v>100070653</v>
      </c>
      <c r="I888" s="4" t="s">
        <v>2314</v>
      </c>
      <c r="K888" s="4" t="s">
        <v>1766</v>
      </c>
      <c r="N888" s="38">
        <v>11043</v>
      </c>
      <c r="Q888" s="50">
        <v>1</v>
      </c>
      <c r="U888" s="50">
        <v>76006</v>
      </c>
      <c r="Y888" s="4" t="s">
        <v>2315</v>
      </c>
    </row>
    <row r="889" spans="1:25">
      <c r="A889" s="4">
        <v>100070653</v>
      </c>
      <c r="B889" s="4">
        <v>7</v>
      </c>
      <c r="D889" s="4">
        <v>6</v>
      </c>
      <c r="E889" s="4" t="s">
        <v>2256</v>
      </c>
      <c r="F889" s="4">
        <v>70651</v>
      </c>
      <c r="H889" s="4">
        <f t="shared" si="40"/>
        <v>100070654</v>
      </c>
      <c r="I889" s="4" t="s">
        <v>2316</v>
      </c>
      <c r="K889" s="4" t="s">
        <v>1769</v>
      </c>
      <c r="N889" s="38">
        <v>11043</v>
      </c>
      <c r="Q889" s="50">
        <v>1</v>
      </c>
      <c r="U889" s="50">
        <v>76006</v>
      </c>
      <c r="Y889" s="4" t="s">
        <v>2317</v>
      </c>
    </row>
    <row r="890" spans="1:25">
      <c r="A890" s="4">
        <v>100070654</v>
      </c>
      <c r="B890" s="4">
        <v>7</v>
      </c>
      <c r="D890" s="4">
        <v>6</v>
      </c>
      <c r="E890" s="4" t="s">
        <v>2256</v>
      </c>
      <c r="F890" s="4">
        <v>70651</v>
      </c>
      <c r="H890" s="4">
        <f t="shared" si="40"/>
        <v>100070655</v>
      </c>
      <c r="I890" s="4" t="s">
        <v>2318</v>
      </c>
      <c r="K890" s="4" t="s">
        <v>1772</v>
      </c>
      <c r="N890" s="38">
        <v>11043</v>
      </c>
      <c r="Q890" s="50">
        <v>1</v>
      </c>
      <c r="U890" s="50">
        <v>76006</v>
      </c>
      <c r="Y890" s="4" t="s">
        <v>2319</v>
      </c>
    </row>
    <row r="891" spans="1:25">
      <c r="A891" s="4">
        <v>100070655</v>
      </c>
      <c r="B891" s="4">
        <v>7</v>
      </c>
      <c r="D891" s="4">
        <v>6</v>
      </c>
      <c r="E891" s="4" t="s">
        <v>2256</v>
      </c>
      <c r="F891" s="4">
        <v>70651</v>
      </c>
      <c r="H891" s="4">
        <f t="shared" si="40"/>
        <v>100070656</v>
      </c>
      <c r="I891" s="4" t="s">
        <v>2320</v>
      </c>
      <c r="K891" s="4" t="s">
        <v>1775</v>
      </c>
      <c r="N891" s="38">
        <v>11043</v>
      </c>
      <c r="Q891" s="50">
        <v>1</v>
      </c>
      <c r="U891" s="50">
        <v>76006</v>
      </c>
      <c r="Y891" s="4" t="s">
        <v>2321</v>
      </c>
    </row>
    <row r="892" spans="1:25">
      <c r="A892" s="4">
        <v>100070656</v>
      </c>
      <c r="B892" s="4">
        <v>7</v>
      </c>
      <c r="D892" s="4">
        <v>6</v>
      </c>
      <c r="E892" s="4" t="s">
        <v>2256</v>
      </c>
      <c r="F892" s="4">
        <v>70651</v>
      </c>
      <c r="I892" s="4" t="s">
        <v>2322</v>
      </c>
      <c r="K892" s="4" t="s">
        <v>1778</v>
      </c>
      <c r="N892" s="38">
        <v>11043</v>
      </c>
      <c r="Q892" s="50">
        <v>1</v>
      </c>
      <c r="U892" s="50">
        <v>76006</v>
      </c>
      <c r="Y892" s="4" t="s">
        <v>2323</v>
      </c>
    </row>
    <row r="893" spans="1:25">
      <c r="A893" s="4">
        <v>100070661</v>
      </c>
      <c r="B893" s="4">
        <v>7</v>
      </c>
      <c r="D893" s="4">
        <v>6</v>
      </c>
      <c r="E893" s="4" t="s">
        <v>2256</v>
      </c>
      <c r="F893" s="4">
        <v>70661</v>
      </c>
      <c r="H893" s="4">
        <f t="shared" ref="H893:H899" si="41">A894</f>
        <v>100070662</v>
      </c>
      <c r="I893" s="4" t="s">
        <v>2324</v>
      </c>
      <c r="K893" s="4" t="s">
        <v>1763</v>
      </c>
      <c r="N893" s="38">
        <v>11043</v>
      </c>
      <c r="Q893" s="50">
        <v>1</v>
      </c>
      <c r="U893" s="50">
        <v>76007</v>
      </c>
      <c r="Y893" s="4" t="s">
        <v>2325</v>
      </c>
    </row>
    <row r="894" spans="1:25">
      <c r="A894" s="4">
        <v>100070662</v>
      </c>
      <c r="B894" s="4">
        <v>7</v>
      </c>
      <c r="D894" s="4">
        <v>6</v>
      </c>
      <c r="E894" s="4" t="s">
        <v>2256</v>
      </c>
      <c r="F894" s="4">
        <v>70661</v>
      </c>
      <c r="H894" s="4">
        <f t="shared" si="41"/>
        <v>100070663</v>
      </c>
      <c r="I894" s="4" t="s">
        <v>2326</v>
      </c>
      <c r="K894" s="4" t="s">
        <v>1766</v>
      </c>
      <c r="N894" s="38">
        <v>11043</v>
      </c>
      <c r="Q894" s="50">
        <v>1</v>
      </c>
      <c r="U894" s="50">
        <v>76007</v>
      </c>
      <c r="Y894" s="4" t="s">
        <v>2327</v>
      </c>
    </row>
    <row r="895" spans="1:25">
      <c r="A895" s="4">
        <v>100070663</v>
      </c>
      <c r="B895" s="4">
        <v>7</v>
      </c>
      <c r="D895" s="4">
        <v>6</v>
      </c>
      <c r="E895" s="4" t="s">
        <v>2256</v>
      </c>
      <c r="F895" s="4">
        <v>70661</v>
      </c>
      <c r="H895" s="4">
        <f t="shared" si="41"/>
        <v>100070664</v>
      </c>
      <c r="I895" s="4" t="s">
        <v>2328</v>
      </c>
      <c r="K895" s="4" t="s">
        <v>1845</v>
      </c>
      <c r="N895" s="38">
        <v>11043</v>
      </c>
      <c r="Q895" s="50">
        <v>1</v>
      </c>
      <c r="U895" s="50">
        <v>76007</v>
      </c>
      <c r="Y895" s="4" t="s">
        <v>2329</v>
      </c>
    </row>
    <row r="896" spans="1:25">
      <c r="A896" s="4">
        <v>100070664</v>
      </c>
      <c r="B896" s="4">
        <v>7</v>
      </c>
      <c r="D896" s="4">
        <v>6</v>
      </c>
      <c r="E896" s="4" t="s">
        <v>2256</v>
      </c>
      <c r="F896" s="4">
        <v>70661</v>
      </c>
      <c r="H896" s="4">
        <f t="shared" si="41"/>
        <v>100070665</v>
      </c>
      <c r="I896" s="4" t="s">
        <v>2330</v>
      </c>
      <c r="K896" s="4" t="s">
        <v>1769</v>
      </c>
      <c r="N896" s="38">
        <v>11043</v>
      </c>
      <c r="Q896" s="50">
        <v>1</v>
      </c>
      <c r="U896" s="50">
        <v>76007</v>
      </c>
      <c r="Y896" s="4" t="s">
        <v>2331</v>
      </c>
    </row>
    <row r="897" spans="1:25">
      <c r="A897" s="4">
        <v>100070665</v>
      </c>
      <c r="B897" s="4">
        <v>7</v>
      </c>
      <c r="D897" s="4">
        <v>6</v>
      </c>
      <c r="E897" s="4" t="s">
        <v>2256</v>
      </c>
      <c r="F897" s="4">
        <v>70661</v>
      </c>
      <c r="H897" s="4">
        <f t="shared" si="41"/>
        <v>100070666</v>
      </c>
      <c r="I897" s="4" t="s">
        <v>2332</v>
      </c>
      <c r="K897" s="4" t="s">
        <v>1850</v>
      </c>
      <c r="N897" s="38">
        <v>11043</v>
      </c>
      <c r="Q897" s="50">
        <v>1</v>
      </c>
      <c r="U897" s="50">
        <v>76007</v>
      </c>
      <c r="Y897" s="4" t="s">
        <v>2333</v>
      </c>
    </row>
    <row r="898" spans="1:25">
      <c r="A898" s="4">
        <v>100070666</v>
      </c>
      <c r="B898" s="4">
        <v>7</v>
      </c>
      <c r="D898" s="4">
        <v>6</v>
      </c>
      <c r="E898" s="4" t="s">
        <v>2256</v>
      </c>
      <c r="F898" s="4">
        <v>70661</v>
      </c>
      <c r="H898" s="4">
        <f t="shared" si="41"/>
        <v>100070667</v>
      </c>
      <c r="I898" s="4" t="s">
        <v>2334</v>
      </c>
      <c r="K898" s="4" t="s">
        <v>1853</v>
      </c>
      <c r="N898" s="38">
        <v>11043</v>
      </c>
      <c r="Q898" s="50">
        <v>1</v>
      </c>
      <c r="U898" s="50">
        <v>76007</v>
      </c>
      <c r="Y898" s="4" t="s">
        <v>2335</v>
      </c>
    </row>
    <row r="899" spans="1:25">
      <c r="A899" s="4">
        <v>100070667</v>
      </c>
      <c r="B899" s="4">
        <v>7</v>
      </c>
      <c r="D899" s="4">
        <v>6</v>
      </c>
      <c r="E899" s="4" t="s">
        <v>2256</v>
      </c>
      <c r="F899" s="4">
        <v>70661</v>
      </c>
      <c r="H899" s="4">
        <f t="shared" si="41"/>
        <v>100070668</v>
      </c>
      <c r="I899" s="4" t="s">
        <v>2336</v>
      </c>
      <c r="K899" s="4" t="s">
        <v>1856</v>
      </c>
      <c r="N899" s="38">
        <v>11043</v>
      </c>
      <c r="Q899" s="50">
        <v>1</v>
      </c>
      <c r="U899" s="50">
        <v>76007</v>
      </c>
      <c r="Y899" s="4" t="s">
        <v>2337</v>
      </c>
    </row>
    <row r="900" spans="1:25">
      <c r="A900" s="4">
        <v>100070668</v>
      </c>
      <c r="B900" s="4">
        <v>7</v>
      </c>
      <c r="D900" s="4">
        <v>6</v>
      </c>
      <c r="E900" s="4" t="s">
        <v>2256</v>
      </c>
      <c r="F900" s="4">
        <v>70661</v>
      </c>
      <c r="I900" s="4" t="s">
        <v>2338</v>
      </c>
      <c r="K900" s="4" t="s">
        <v>1772</v>
      </c>
      <c r="N900" s="38">
        <v>11043</v>
      </c>
      <c r="Q900" s="50">
        <v>1</v>
      </c>
      <c r="U900" s="50">
        <v>76007</v>
      </c>
      <c r="Y900" s="4" t="s">
        <v>2339</v>
      </c>
    </row>
    <row r="901" spans="1:25">
      <c r="A901" s="4">
        <v>100070671</v>
      </c>
      <c r="B901" s="4">
        <v>7</v>
      </c>
      <c r="D901" s="4">
        <v>6</v>
      </c>
      <c r="E901" s="4" t="s">
        <v>2256</v>
      </c>
      <c r="F901" s="4">
        <v>70671</v>
      </c>
      <c r="H901" s="4">
        <f t="shared" ref="H901:H905" si="42">A902</f>
        <v>100070672</v>
      </c>
      <c r="I901" s="4" t="s">
        <v>2340</v>
      </c>
      <c r="K901" s="4" t="s">
        <v>1763</v>
      </c>
      <c r="N901" s="38">
        <v>11043</v>
      </c>
      <c r="Q901" s="50">
        <v>1</v>
      </c>
      <c r="U901" s="50">
        <v>76008</v>
      </c>
      <c r="Y901" s="4" t="s">
        <v>2341</v>
      </c>
    </row>
    <row r="902" spans="1:25">
      <c r="A902" s="4">
        <v>100070672</v>
      </c>
      <c r="B902" s="4">
        <v>7</v>
      </c>
      <c r="D902" s="4">
        <v>6</v>
      </c>
      <c r="E902" s="4" t="s">
        <v>2256</v>
      </c>
      <c r="F902" s="4">
        <v>70671</v>
      </c>
      <c r="H902" s="4">
        <f t="shared" si="42"/>
        <v>100070673</v>
      </c>
      <c r="I902" s="4" t="s">
        <v>2342</v>
      </c>
      <c r="K902" s="4" t="s">
        <v>1766</v>
      </c>
      <c r="N902" s="38">
        <v>11043</v>
      </c>
      <c r="Q902" s="50">
        <v>1</v>
      </c>
      <c r="U902" s="50">
        <v>76008</v>
      </c>
      <c r="Y902" s="4" t="s">
        <v>2343</v>
      </c>
    </row>
    <row r="903" spans="1:25">
      <c r="A903" s="4">
        <v>100070673</v>
      </c>
      <c r="B903" s="4">
        <v>7</v>
      </c>
      <c r="D903" s="4">
        <v>6</v>
      </c>
      <c r="E903" s="4" t="s">
        <v>2256</v>
      </c>
      <c r="F903" s="4">
        <v>70671</v>
      </c>
      <c r="H903" s="4">
        <f t="shared" si="42"/>
        <v>100070674</v>
      </c>
      <c r="I903" s="4" t="s">
        <v>2344</v>
      </c>
      <c r="K903" s="4" t="s">
        <v>1769</v>
      </c>
      <c r="N903" s="38">
        <v>11043</v>
      </c>
      <c r="Q903" s="50">
        <v>1</v>
      </c>
      <c r="U903" s="50">
        <v>76008</v>
      </c>
      <c r="Y903" s="4" t="s">
        <v>2345</v>
      </c>
    </row>
    <row r="904" spans="1:25">
      <c r="A904" s="4">
        <v>100070674</v>
      </c>
      <c r="B904" s="4">
        <v>7</v>
      </c>
      <c r="D904" s="4">
        <v>6</v>
      </c>
      <c r="E904" s="4" t="s">
        <v>2256</v>
      </c>
      <c r="F904" s="4">
        <v>70671</v>
      </c>
      <c r="H904" s="4">
        <f t="shared" si="42"/>
        <v>100070675</v>
      </c>
      <c r="I904" s="4" t="s">
        <v>2346</v>
      </c>
      <c r="K904" s="4" t="s">
        <v>1772</v>
      </c>
      <c r="N904" s="38">
        <v>11043</v>
      </c>
      <c r="Q904" s="50">
        <v>1</v>
      </c>
      <c r="U904" s="50">
        <v>76008</v>
      </c>
      <c r="Y904" s="4" t="s">
        <v>2347</v>
      </c>
    </row>
    <row r="905" spans="1:25">
      <c r="A905" s="4">
        <v>100070675</v>
      </c>
      <c r="B905" s="4">
        <v>7</v>
      </c>
      <c r="D905" s="4">
        <v>6</v>
      </c>
      <c r="E905" s="4" t="s">
        <v>2256</v>
      </c>
      <c r="F905" s="4">
        <v>70671</v>
      </c>
      <c r="H905" s="4">
        <f t="shared" si="42"/>
        <v>100070676</v>
      </c>
      <c r="I905" s="4" t="s">
        <v>2348</v>
      </c>
      <c r="K905" s="4" t="s">
        <v>1775</v>
      </c>
      <c r="N905" s="38">
        <v>11043</v>
      </c>
      <c r="Q905" s="50">
        <v>1</v>
      </c>
      <c r="U905" s="50">
        <v>76008</v>
      </c>
      <c r="Y905" s="4" t="s">
        <v>2349</v>
      </c>
    </row>
    <row r="906" spans="1:25">
      <c r="A906" s="4">
        <v>100070676</v>
      </c>
      <c r="B906" s="4">
        <v>7</v>
      </c>
      <c r="D906" s="4">
        <v>6</v>
      </c>
      <c r="E906" s="4" t="s">
        <v>2256</v>
      </c>
      <c r="F906" s="4">
        <v>70671</v>
      </c>
      <c r="I906" s="4" t="s">
        <v>2350</v>
      </c>
      <c r="K906" s="4" t="s">
        <v>1778</v>
      </c>
      <c r="N906" s="38">
        <v>11043</v>
      </c>
      <c r="Q906" s="50">
        <v>1</v>
      </c>
      <c r="U906" s="50">
        <v>76008</v>
      </c>
      <c r="Y906" s="4" t="s">
        <v>2351</v>
      </c>
    </row>
    <row r="907" spans="1:25">
      <c r="A907" s="4">
        <v>100070701</v>
      </c>
      <c r="B907" s="4">
        <v>7</v>
      </c>
      <c r="C907" s="4" t="s">
        <v>1760</v>
      </c>
      <c r="D907" s="4">
        <v>7</v>
      </c>
      <c r="E907" s="4" t="s">
        <v>2352</v>
      </c>
      <c r="F907" s="4">
        <v>70701</v>
      </c>
      <c r="H907" s="4">
        <f t="shared" ref="H907:H911" si="43">A908</f>
        <v>100070702</v>
      </c>
      <c r="I907" s="4" t="s">
        <v>877</v>
      </c>
      <c r="K907" s="4" t="s">
        <v>1763</v>
      </c>
      <c r="N907" s="38">
        <v>3204</v>
      </c>
      <c r="Q907" s="50">
        <v>1</v>
      </c>
      <c r="U907" s="61">
        <v>76001</v>
      </c>
      <c r="Y907" s="4" t="s">
        <v>2353</v>
      </c>
    </row>
    <row r="908" spans="1:25">
      <c r="A908" s="4">
        <v>100070702</v>
      </c>
      <c r="B908" s="4">
        <v>7</v>
      </c>
      <c r="C908" s="4" t="s">
        <v>1760</v>
      </c>
      <c r="D908" s="4">
        <v>7</v>
      </c>
      <c r="E908" s="4" t="s">
        <v>2352</v>
      </c>
      <c r="F908" s="4">
        <v>70701</v>
      </c>
      <c r="H908" s="4">
        <f t="shared" si="43"/>
        <v>100070703</v>
      </c>
      <c r="I908" s="4" t="s">
        <v>2354</v>
      </c>
      <c r="K908" s="4" t="s">
        <v>1766</v>
      </c>
      <c r="N908" s="38">
        <v>3204</v>
      </c>
      <c r="Q908" s="50">
        <v>1</v>
      </c>
      <c r="U908" s="61">
        <v>76001</v>
      </c>
      <c r="Y908" s="4" t="s">
        <v>2355</v>
      </c>
    </row>
    <row r="909" spans="1:25">
      <c r="A909" s="4">
        <v>100070703</v>
      </c>
      <c r="B909" s="4">
        <v>7</v>
      </c>
      <c r="C909" s="4" t="s">
        <v>1760</v>
      </c>
      <c r="D909" s="4">
        <v>7</v>
      </c>
      <c r="E909" s="4" t="s">
        <v>2352</v>
      </c>
      <c r="F909" s="4">
        <v>70701</v>
      </c>
      <c r="H909" s="4">
        <f t="shared" si="43"/>
        <v>100070704</v>
      </c>
      <c r="I909" s="4" t="s">
        <v>2356</v>
      </c>
      <c r="K909" s="4" t="s">
        <v>1769</v>
      </c>
      <c r="N909" s="38">
        <v>3204</v>
      </c>
      <c r="Q909" s="50">
        <v>1</v>
      </c>
      <c r="U909" s="61">
        <v>76001</v>
      </c>
      <c r="Y909" s="4" t="s">
        <v>2357</v>
      </c>
    </row>
    <row r="910" spans="1:25">
      <c r="A910" s="4">
        <v>100070704</v>
      </c>
      <c r="B910" s="4">
        <v>7</v>
      </c>
      <c r="C910" s="4" t="s">
        <v>1760</v>
      </c>
      <c r="D910" s="4">
        <v>7</v>
      </c>
      <c r="E910" s="4" t="s">
        <v>2352</v>
      </c>
      <c r="F910" s="4">
        <v>70701</v>
      </c>
      <c r="H910" s="4">
        <f t="shared" si="43"/>
        <v>100070705</v>
      </c>
      <c r="I910" s="4" t="s">
        <v>2358</v>
      </c>
      <c r="K910" s="4" t="s">
        <v>1772</v>
      </c>
      <c r="N910" s="38">
        <v>3204</v>
      </c>
      <c r="Q910" s="50">
        <v>1</v>
      </c>
      <c r="U910" s="61">
        <v>76001</v>
      </c>
      <c r="Y910" s="4" t="s">
        <v>2359</v>
      </c>
    </row>
    <row r="911" spans="1:25">
      <c r="A911" s="4">
        <v>100070705</v>
      </c>
      <c r="B911" s="4">
        <v>7</v>
      </c>
      <c r="C911" s="4" t="s">
        <v>1760</v>
      </c>
      <c r="D911" s="4">
        <v>7</v>
      </c>
      <c r="E911" s="4" t="s">
        <v>2352</v>
      </c>
      <c r="F911" s="4">
        <v>70701</v>
      </c>
      <c r="H911" s="4">
        <f t="shared" si="43"/>
        <v>100070706</v>
      </c>
      <c r="I911" s="4" t="s">
        <v>2360</v>
      </c>
      <c r="K911" s="4" t="s">
        <v>1775</v>
      </c>
      <c r="N911" s="38">
        <v>3204</v>
      </c>
      <c r="Q911" s="50">
        <v>1</v>
      </c>
      <c r="U911" s="61">
        <v>76001</v>
      </c>
      <c r="Y911" s="4" t="s">
        <v>2361</v>
      </c>
    </row>
    <row r="912" spans="1:25">
      <c r="A912" s="4">
        <v>100070706</v>
      </c>
      <c r="B912" s="4">
        <v>7</v>
      </c>
      <c r="C912" s="4" t="s">
        <v>1760</v>
      </c>
      <c r="D912" s="4">
        <v>7</v>
      </c>
      <c r="E912" s="4" t="s">
        <v>2352</v>
      </c>
      <c r="F912" s="4">
        <v>70701</v>
      </c>
      <c r="I912" s="4" t="s">
        <v>2362</v>
      </c>
      <c r="K912" s="4" t="s">
        <v>1778</v>
      </c>
      <c r="N912" s="38">
        <v>3204</v>
      </c>
      <c r="Q912" s="50">
        <v>1</v>
      </c>
      <c r="U912" s="61">
        <v>76001</v>
      </c>
      <c r="Y912" s="4" t="s">
        <v>2363</v>
      </c>
    </row>
    <row r="913" spans="1:25">
      <c r="A913" s="4">
        <v>100070711</v>
      </c>
      <c r="B913" s="4">
        <v>7</v>
      </c>
      <c r="D913" s="4">
        <v>7</v>
      </c>
      <c r="E913" s="4" t="s">
        <v>2352</v>
      </c>
      <c r="F913" s="4">
        <v>70711</v>
      </c>
      <c r="H913" s="4">
        <f t="shared" ref="H913:H917" si="44">A914</f>
        <v>100070712</v>
      </c>
      <c r="I913" s="4" t="s">
        <v>883</v>
      </c>
      <c r="K913" s="4" t="s">
        <v>1763</v>
      </c>
      <c r="N913" s="38">
        <v>3304</v>
      </c>
      <c r="Q913" s="50">
        <v>1</v>
      </c>
      <c r="U913" s="50">
        <v>76002</v>
      </c>
      <c r="Y913" s="4" t="s">
        <v>2364</v>
      </c>
    </row>
    <row r="914" spans="1:25">
      <c r="A914" s="4">
        <v>100070712</v>
      </c>
      <c r="B914" s="4">
        <v>7</v>
      </c>
      <c r="D914" s="4">
        <v>7</v>
      </c>
      <c r="E914" s="4" t="s">
        <v>2352</v>
      </c>
      <c r="F914" s="4">
        <v>70711</v>
      </c>
      <c r="H914" s="4">
        <f t="shared" si="44"/>
        <v>100070713</v>
      </c>
      <c r="I914" s="4" t="s">
        <v>892</v>
      </c>
      <c r="K914" s="4" t="s">
        <v>1766</v>
      </c>
      <c r="N914" s="38">
        <v>3304</v>
      </c>
      <c r="Q914" s="50">
        <v>1</v>
      </c>
      <c r="U914" s="50">
        <v>76002</v>
      </c>
      <c r="Y914" s="4" t="s">
        <v>2365</v>
      </c>
    </row>
    <row r="915" spans="1:25">
      <c r="A915" s="4">
        <v>100070713</v>
      </c>
      <c r="B915" s="4">
        <v>7</v>
      </c>
      <c r="D915" s="4">
        <v>7</v>
      </c>
      <c r="E915" s="4" t="s">
        <v>2352</v>
      </c>
      <c r="F915" s="4">
        <v>70711</v>
      </c>
      <c r="H915" s="4">
        <f t="shared" si="44"/>
        <v>100070714</v>
      </c>
      <c r="I915" s="4" t="s">
        <v>2366</v>
      </c>
      <c r="K915" s="4" t="s">
        <v>1769</v>
      </c>
      <c r="N915" s="38">
        <v>3304</v>
      </c>
      <c r="Q915" s="50">
        <v>1</v>
      </c>
      <c r="U915" s="50">
        <v>76002</v>
      </c>
      <c r="Y915" s="4" t="s">
        <v>2367</v>
      </c>
    </row>
    <row r="916" spans="1:25">
      <c r="A916" s="4">
        <v>100070714</v>
      </c>
      <c r="B916" s="4">
        <v>7</v>
      </c>
      <c r="D916" s="4">
        <v>7</v>
      </c>
      <c r="E916" s="4" t="s">
        <v>2352</v>
      </c>
      <c r="F916" s="4">
        <v>70711</v>
      </c>
      <c r="H916" s="4">
        <f t="shared" si="44"/>
        <v>100070715</v>
      </c>
      <c r="I916" s="4" t="s">
        <v>2368</v>
      </c>
      <c r="K916" s="4" t="s">
        <v>1772</v>
      </c>
      <c r="N916" s="38">
        <v>3304</v>
      </c>
      <c r="Q916" s="50">
        <v>1</v>
      </c>
      <c r="U916" s="50">
        <v>76002</v>
      </c>
      <c r="Y916" s="4" t="s">
        <v>2369</v>
      </c>
    </row>
    <row r="917" spans="1:25">
      <c r="A917" s="4">
        <v>100070715</v>
      </c>
      <c r="B917" s="4">
        <v>7</v>
      </c>
      <c r="D917" s="4">
        <v>7</v>
      </c>
      <c r="E917" s="4" t="s">
        <v>2352</v>
      </c>
      <c r="F917" s="4">
        <v>70711</v>
      </c>
      <c r="H917" s="4">
        <f t="shared" si="44"/>
        <v>100070716</v>
      </c>
      <c r="I917" s="4" t="s">
        <v>2370</v>
      </c>
      <c r="K917" s="4" t="s">
        <v>1775</v>
      </c>
      <c r="N917" s="38">
        <v>3304</v>
      </c>
      <c r="Q917" s="50">
        <v>1</v>
      </c>
      <c r="U917" s="50">
        <v>76002</v>
      </c>
      <c r="Y917" s="4" t="s">
        <v>2371</v>
      </c>
    </row>
    <row r="918" spans="1:25">
      <c r="A918" s="4">
        <v>100070716</v>
      </c>
      <c r="B918" s="4">
        <v>7</v>
      </c>
      <c r="D918" s="4">
        <v>7</v>
      </c>
      <c r="E918" s="4" t="s">
        <v>2352</v>
      </c>
      <c r="F918" s="4">
        <v>70711</v>
      </c>
      <c r="I918" s="4" t="s">
        <v>2372</v>
      </c>
      <c r="K918" s="4" t="s">
        <v>1778</v>
      </c>
      <c r="N918" s="38">
        <v>3304</v>
      </c>
      <c r="Q918" s="50">
        <v>1</v>
      </c>
      <c r="U918" s="50">
        <v>76002</v>
      </c>
      <c r="Y918" s="4" t="s">
        <v>2373</v>
      </c>
    </row>
    <row r="919" spans="1:25">
      <c r="A919" s="4">
        <v>100070721</v>
      </c>
      <c r="B919" s="4">
        <v>7</v>
      </c>
      <c r="D919" s="4">
        <v>7</v>
      </c>
      <c r="E919" s="4" t="s">
        <v>2352</v>
      </c>
      <c r="F919" s="4">
        <v>70721</v>
      </c>
      <c r="H919" s="4">
        <f t="shared" ref="H919:H923" si="45">A920</f>
        <v>100070722</v>
      </c>
      <c r="I919" s="4" t="s">
        <v>2374</v>
      </c>
      <c r="K919" s="4" t="s">
        <v>1763</v>
      </c>
      <c r="N919" s="38">
        <v>11027</v>
      </c>
      <c r="Q919" s="50">
        <v>1</v>
      </c>
      <c r="U919" s="50">
        <v>76003</v>
      </c>
      <c r="Y919" s="4" t="s">
        <v>2375</v>
      </c>
    </row>
    <row r="920" spans="1:25">
      <c r="A920" s="4">
        <v>100070722</v>
      </c>
      <c r="B920" s="4">
        <v>7</v>
      </c>
      <c r="D920" s="4">
        <v>7</v>
      </c>
      <c r="E920" s="4" t="s">
        <v>2352</v>
      </c>
      <c r="F920" s="4">
        <v>70721</v>
      </c>
      <c r="H920" s="4">
        <f t="shared" si="45"/>
        <v>100070723</v>
      </c>
      <c r="I920" s="4" t="s">
        <v>2376</v>
      </c>
      <c r="K920" s="4" t="s">
        <v>1766</v>
      </c>
      <c r="N920" s="38">
        <v>11027</v>
      </c>
      <c r="Q920" s="50">
        <v>1</v>
      </c>
      <c r="U920" s="50">
        <v>76003</v>
      </c>
      <c r="Y920" s="4" t="s">
        <v>2377</v>
      </c>
    </row>
    <row r="921" spans="1:25">
      <c r="A921" s="4">
        <v>100070723</v>
      </c>
      <c r="B921" s="4">
        <v>7</v>
      </c>
      <c r="D921" s="4">
        <v>7</v>
      </c>
      <c r="E921" s="4" t="s">
        <v>2352</v>
      </c>
      <c r="F921" s="4">
        <v>70721</v>
      </c>
      <c r="H921" s="4">
        <f t="shared" si="45"/>
        <v>100070724</v>
      </c>
      <c r="I921" s="4" t="s">
        <v>2378</v>
      </c>
      <c r="K921" s="4" t="s">
        <v>1769</v>
      </c>
      <c r="N921" s="38">
        <v>11027</v>
      </c>
      <c r="Q921" s="50">
        <v>1</v>
      </c>
      <c r="U921" s="50">
        <v>76003</v>
      </c>
      <c r="Y921" s="4" t="s">
        <v>2379</v>
      </c>
    </row>
    <row r="922" spans="1:25">
      <c r="A922" s="4">
        <v>100070724</v>
      </c>
      <c r="B922" s="4">
        <v>7</v>
      </c>
      <c r="D922" s="4">
        <v>7</v>
      </c>
      <c r="E922" s="4" t="s">
        <v>2352</v>
      </c>
      <c r="F922" s="4">
        <v>70721</v>
      </c>
      <c r="H922" s="4">
        <f t="shared" si="45"/>
        <v>100070725</v>
      </c>
      <c r="I922" s="4" t="s">
        <v>2380</v>
      </c>
      <c r="K922" s="4" t="s">
        <v>1772</v>
      </c>
      <c r="N922" s="38">
        <v>11027</v>
      </c>
      <c r="Q922" s="50">
        <v>1</v>
      </c>
      <c r="U922" s="50">
        <v>76003</v>
      </c>
      <c r="Y922" s="4" t="s">
        <v>2381</v>
      </c>
    </row>
    <row r="923" spans="1:25">
      <c r="A923" s="4">
        <v>100070725</v>
      </c>
      <c r="B923" s="4">
        <v>7</v>
      </c>
      <c r="D923" s="4">
        <v>7</v>
      </c>
      <c r="E923" s="4" t="s">
        <v>2352</v>
      </c>
      <c r="F923" s="4">
        <v>70721</v>
      </c>
      <c r="H923" s="4">
        <f t="shared" si="45"/>
        <v>100070726</v>
      </c>
      <c r="I923" s="4" t="s">
        <v>2382</v>
      </c>
      <c r="K923" s="4" t="s">
        <v>1775</v>
      </c>
      <c r="N923" s="38">
        <v>11027</v>
      </c>
      <c r="Q923" s="50">
        <v>1</v>
      </c>
      <c r="U923" s="50">
        <v>76003</v>
      </c>
      <c r="Y923" s="4" t="s">
        <v>2383</v>
      </c>
    </row>
    <row r="924" spans="1:25">
      <c r="A924" s="4">
        <v>100070726</v>
      </c>
      <c r="B924" s="4">
        <v>7</v>
      </c>
      <c r="D924" s="4">
        <v>7</v>
      </c>
      <c r="E924" s="4" t="s">
        <v>2352</v>
      </c>
      <c r="F924" s="4">
        <v>70721</v>
      </c>
      <c r="I924" s="4" t="s">
        <v>2384</v>
      </c>
      <c r="K924" s="4" t="s">
        <v>1778</v>
      </c>
      <c r="N924" s="38">
        <v>11027</v>
      </c>
      <c r="Q924" s="50">
        <v>1</v>
      </c>
      <c r="U924" s="50">
        <v>76003</v>
      </c>
      <c r="Y924" s="4" t="s">
        <v>2385</v>
      </c>
    </row>
    <row r="925" spans="1:25">
      <c r="A925" s="4">
        <v>100070731</v>
      </c>
      <c r="B925" s="4">
        <v>7</v>
      </c>
      <c r="D925" s="4">
        <v>7</v>
      </c>
      <c r="E925" s="4" t="s">
        <v>2352</v>
      </c>
      <c r="F925" s="4">
        <v>70731</v>
      </c>
      <c r="H925" s="4">
        <f t="shared" ref="H925:H929" si="46">A926</f>
        <v>100070732</v>
      </c>
      <c r="I925" s="4" t="s">
        <v>2386</v>
      </c>
      <c r="K925" s="4" t="s">
        <v>1763</v>
      </c>
      <c r="N925" s="38">
        <v>11027</v>
      </c>
      <c r="Q925" s="50">
        <v>1</v>
      </c>
      <c r="U925" s="50">
        <v>76004</v>
      </c>
      <c r="Y925" s="4" t="s">
        <v>2387</v>
      </c>
    </row>
    <row r="926" spans="1:25">
      <c r="A926" s="4">
        <v>100070732</v>
      </c>
      <c r="B926" s="4">
        <v>7</v>
      </c>
      <c r="D926" s="4">
        <v>7</v>
      </c>
      <c r="E926" s="4" t="s">
        <v>2352</v>
      </c>
      <c r="F926" s="4">
        <v>70731</v>
      </c>
      <c r="H926" s="4">
        <f t="shared" si="46"/>
        <v>100070733</v>
      </c>
      <c r="I926" s="4" t="s">
        <v>2388</v>
      </c>
      <c r="K926" s="4" t="s">
        <v>1766</v>
      </c>
      <c r="N926" s="38">
        <v>11027</v>
      </c>
      <c r="Q926" s="50">
        <v>1</v>
      </c>
      <c r="U926" s="50">
        <v>76004</v>
      </c>
      <c r="Y926" s="4" t="s">
        <v>2389</v>
      </c>
    </row>
    <row r="927" spans="1:25">
      <c r="A927" s="4">
        <v>100070733</v>
      </c>
      <c r="B927" s="4">
        <v>7</v>
      </c>
      <c r="D927" s="4">
        <v>7</v>
      </c>
      <c r="E927" s="4" t="s">
        <v>2352</v>
      </c>
      <c r="F927" s="4">
        <v>70731</v>
      </c>
      <c r="H927" s="4">
        <f t="shared" si="46"/>
        <v>100070734</v>
      </c>
      <c r="I927" s="4" t="s">
        <v>2390</v>
      </c>
      <c r="K927" s="4" t="s">
        <v>1769</v>
      </c>
      <c r="N927" s="38">
        <v>11027</v>
      </c>
      <c r="Q927" s="50">
        <v>1</v>
      </c>
      <c r="U927" s="50">
        <v>76004</v>
      </c>
      <c r="Y927" s="4" t="s">
        <v>2391</v>
      </c>
    </row>
    <row r="928" spans="1:25">
      <c r="A928" s="4">
        <v>100070734</v>
      </c>
      <c r="B928" s="4">
        <v>7</v>
      </c>
      <c r="D928" s="4">
        <v>7</v>
      </c>
      <c r="E928" s="4" t="s">
        <v>2352</v>
      </c>
      <c r="F928" s="4">
        <v>70731</v>
      </c>
      <c r="H928" s="4">
        <f t="shared" si="46"/>
        <v>100070735</v>
      </c>
      <c r="I928" s="4" t="s">
        <v>2392</v>
      </c>
      <c r="K928" s="4" t="s">
        <v>1772</v>
      </c>
      <c r="N928" s="38">
        <v>11027</v>
      </c>
      <c r="Q928" s="50">
        <v>1</v>
      </c>
      <c r="U928" s="50">
        <v>76004</v>
      </c>
      <c r="Y928" s="4" t="s">
        <v>2393</v>
      </c>
    </row>
    <row r="929" spans="1:25">
      <c r="A929" s="4">
        <v>100070735</v>
      </c>
      <c r="B929" s="4">
        <v>7</v>
      </c>
      <c r="D929" s="4">
        <v>7</v>
      </c>
      <c r="E929" s="4" t="s">
        <v>2352</v>
      </c>
      <c r="F929" s="4">
        <v>70731</v>
      </c>
      <c r="H929" s="4">
        <f t="shared" si="46"/>
        <v>100070736</v>
      </c>
      <c r="I929" s="4" t="s">
        <v>2394</v>
      </c>
      <c r="K929" s="4" t="s">
        <v>1775</v>
      </c>
      <c r="N929" s="38">
        <v>11027</v>
      </c>
      <c r="Q929" s="50">
        <v>1</v>
      </c>
      <c r="U929" s="50">
        <v>76004</v>
      </c>
      <c r="Y929" s="4" t="s">
        <v>2395</v>
      </c>
    </row>
    <row r="930" spans="1:25">
      <c r="A930" s="4">
        <v>100070736</v>
      </c>
      <c r="B930" s="4">
        <v>7</v>
      </c>
      <c r="D930" s="4">
        <v>7</v>
      </c>
      <c r="E930" s="4" t="s">
        <v>2352</v>
      </c>
      <c r="F930" s="4">
        <v>70731</v>
      </c>
      <c r="I930" s="4" t="s">
        <v>2396</v>
      </c>
      <c r="K930" s="4" t="s">
        <v>1778</v>
      </c>
      <c r="N930" s="38">
        <v>11027</v>
      </c>
      <c r="Q930" s="50">
        <v>1</v>
      </c>
      <c r="U930" s="50">
        <v>76004</v>
      </c>
      <c r="Y930" s="4" t="s">
        <v>2397</v>
      </c>
    </row>
    <row r="931" spans="1:25">
      <c r="A931" s="4">
        <v>100070741</v>
      </c>
      <c r="B931" s="4">
        <v>7</v>
      </c>
      <c r="D931" s="4">
        <v>7</v>
      </c>
      <c r="E931" s="4" t="s">
        <v>2352</v>
      </c>
      <c r="F931" s="4">
        <v>70741</v>
      </c>
      <c r="H931" s="4">
        <f t="shared" ref="H931:H935" si="47">A932</f>
        <v>100070742</v>
      </c>
      <c r="I931" s="4" t="s">
        <v>2398</v>
      </c>
      <c r="K931" s="4" t="s">
        <v>1763</v>
      </c>
      <c r="N931" s="38">
        <v>11027</v>
      </c>
      <c r="Q931" s="50">
        <v>1</v>
      </c>
      <c r="U931" s="50">
        <v>76005</v>
      </c>
      <c r="Y931" s="4" t="s">
        <v>2399</v>
      </c>
    </row>
    <row r="932" spans="1:25">
      <c r="A932" s="4">
        <v>100070742</v>
      </c>
      <c r="B932" s="4">
        <v>7</v>
      </c>
      <c r="D932" s="4">
        <v>7</v>
      </c>
      <c r="E932" s="4" t="s">
        <v>2352</v>
      </c>
      <c r="F932" s="4">
        <v>70741</v>
      </c>
      <c r="H932" s="4">
        <f t="shared" si="47"/>
        <v>100070743</v>
      </c>
      <c r="I932" s="4" t="s">
        <v>2400</v>
      </c>
      <c r="K932" s="4" t="s">
        <v>1766</v>
      </c>
      <c r="N932" s="38">
        <v>11027</v>
      </c>
      <c r="Q932" s="50">
        <v>1</v>
      </c>
      <c r="U932" s="50">
        <v>76005</v>
      </c>
      <c r="Y932" s="4" t="s">
        <v>2401</v>
      </c>
    </row>
    <row r="933" spans="1:25">
      <c r="A933" s="4">
        <v>100070743</v>
      </c>
      <c r="B933" s="4">
        <v>7</v>
      </c>
      <c r="D933" s="4">
        <v>7</v>
      </c>
      <c r="E933" s="4" t="s">
        <v>2352</v>
      </c>
      <c r="F933" s="4">
        <v>70741</v>
      </c>
      <c r="H933" s="4">
        <f t="shared" si="47"/>
        <v>100070744</v>
      </c>
      <c r="I933" s="4" t="s">
        <v>2402</v>
      </c>
      <c r="K933" s="4" t="s">
        <v>1769</v>
      </c>
      <c r="N933" s="38">
        <v>11027</v>
      </c>
      <c r="Q933" s="50">
        <v>1</v>
      </c>
      <c r="U933" s="50">
        <v>76005</v>
      </c>
      <c r="Y933" s="4" t="s">
        <v>2403</v>
      </c>
    </row>
    <row r="934" spans="1:25">
      <c r="A934" s="4">
        <v>100070744</v>
      </c>
      <c r="B934" s="4">
        <v>7</v>
      </c>
      <c r="D934" s="4">
        <v>7</v>
      </c>
      <c r="E934" s="4" t="s">
        <v>2352</v>
      </c>
      <c r="F934" s="4">
        <v>70741</v>
      </c>
      <c r="H934" s="4">
        <f t="shared" si="47"/>
        <v>100070745</v>
      </c>
      <c r="I934" s="4" t="s">
        <v>2404</v>
      </c>
      <c r="K934" s="4" t="s">
        <v>1772</v>
      </c>
      <c r="N934" s="38">
        <v>11027</v>
      </c>
      <c r="Q934" s="50">
        <v>1</v>
      </c>
      <c r="U934" s="50">
        <v>76005</v>
      </c>
      <c r="Y934" s="4" t="s">
        <v>2405</v>
      </c>
    </row>
    <row r="935" spans="1:25">
      <c r="A935" s="4">
        <v>100070745</v>
      </c>
      <c r="B935" s="4">
        <v>7</v>
      </c>
      <c r="D935" s="4">
        <v>7</v>
      </c>
      <c r="E935" s="4" t="s">
        <v>2352</v>
      </c>
      <c r="F935" s="4">
        <v>70741</v>
      </c>
      <c r="H935" s="4">
        <f t="shared" si="47"/>
        <v>100070746</v>
      </c>
      <c r="I935" s="4" t="s">
        <v>2406</v>
      </c>
      <c r="K935" s="4" t="s">
        <v>1775</v>
      </c>
      <c r="N935" s="38">
        <v>11027</v>
      </c>
      <c r="Q935" s="50">
        <v>1</v>
      </c>
      <c r="U935" s="50">
        <v>76005</v>
      </c>
      <c r="Y935" s="4" t="s">
        <v>2407</v>
      </c>
    </row>
    <row r="936" spans="1:25">
      <c r="A936" s="4">
        <v>100070746</v>
      </c>
      <c r="B936" s="4">
        <v>7</v>
      </c>
      <c r="D936" s="4">
        <v>7</v>
      </c>
      <c r="E936" s="4" t="s">
        <v>2352</v>
      </c>
      <c r="F936" s="4">
        <v>70741</v>
      </c>
      <c r="I936" s="4" t="s">
        <v>2408</v>
      </c>
      <c r="K936" s="4" t="s">
        <v>1778</v>
      </c>
      <c r="N936" s="38">
        <v>11027</v>
      </c>
      <c r="Q936" s="50">
        <v>1</v>
      </c>
      <c r="U936" s="50">
        <v>76005</v>
      </c>
      <c r="Y936" s="4" t="s">
        <v>2409</v>
      </c>
    </row>
    <row r="937" spans="1:25">
      <c r="A937" s="4">
        <v>100070751</v>
      </c>
      <c r="B937" s="4">
        <v>7</v>
      </c>
      <c r="D937" s="4">
        <v>7</v>
      </c>
      <c r="E937" s="4" t="s">
        <v>2352</v>
      </c>
      <c r="F937" s="4">
        <v>70751</v>
      </c>
      <c r="H937" s="4">
        <f t="shared" ref="H937:H941" si="48">A938</f>
        <v>100070752</v>
      </c>
      <c r="I937" s="4" t="s">
        <v>2410</v>
      </c>
      <c r="K937" s="4" t="s">
        <v>1763</v>
      </c>
      <c r="N937" s="38">
        <v>11027</v>
      </c>
      <c r="Q937" s="50">
        <v>1</v>
      </c>
      <c r="U937" s="50">
        <v>76006</v>
      </c>
      <c r="Y937" s="4" t="s">
        <v>2411</v>
      </c>
    </row>
    <row r="938" spans="1:25">
      <c r="A938" s="4">
        <v>100070752</v>
      </c>
      <c r="B938" s="4">
        <v>7</v>
      </c>
      <c r="D938" s="4">
        <v>7</v>
      </c>
      <c r="E938" s="4" t="s">
        <v>2352</v>
      </c>
      <c r="F938" s="4">
        <v>70751</v>
      </c>
      <c r="H938" s="4">
        <f t="shared" si="48"/>
        <v>100070753</v>
      </c>
      <c r="I938" s="4" t="s">
        <v>2412</v>
      </c>
      <c r="K938" s="4" t="s">
        <v>1766</v>
      </c>
      <c r="N938" s="38">
        <v>11027</v>
      </c>
      <c r="Q938" s="50">
        <v>1</v>
      </c>
      <c r="U938" s="50">
        <v>76006</v>
      </c>
      <c r="Y938" s="4" t="s">
        <v>2413</v>
      </c>
    </row>
    <row r="939" spans="1:25">
      <c r="A939" s="4">
        <v>100070753</v>
      </c>
      <c r="B939" s="4">
        <v>7</v>
      </c>
      <c r="D939" s="4">
        <v>7</v>
      </c>
      <c r="E939" s="4" t="s">
        <v>2352</v>
      </c>
      <c r="F939" s="4">
        <v>70751</v>
      </c>
      <c r="H939" s="4">
        <f t="shared" si="48"/>
        <v>100070754</v>
      </c>
      <c r="I939" s="4" t="s">
        <v>2414</v>
      </c>
      <c r="K939" s="4" t="s">
        <v>1769</v>
      </c>
      <c r="N939" s="38">
        <v>11027</v>
      </c>
      <c r="Q939" s="50">
        <v>1</v>
      </c>
      <c r="U939" s="50">
        <v>76006</v>
      </c>
      <c r="Y939" s="4" t="s">
        <v>2415</v>
      </c>
    </row>
    <row r="940" spans="1:25">
      <c r="A940" s="4">
        <v>100070754</v>
      </c>
      <c r="B940" s="4">
        <v>7</v>
      </c>
      <c r="D940" s="4">
        <v>7</v>
      </c>
      <c r="E940" s="4" t="s">
        <v>2352</v>
      </c>
      <c r="F940" s="4">
        <v>70751</v>
      </c>
      <c r="H940" s="4">
        <f t="shared" si="48"/>
        <v>100070755</v>
      </c>
      <c r="I940" s="4" t="s">
        <v>2416</v>
      </c>
      <c r="K940" s="4" t="s">
        <v>1772</v>
      </c>
      <c r="N940" s="38">
        <v>11027</v>
      </c>
      <c r="Q940" s="50">
        <v>1</v>
      </c>
      <c r="U940" s="50">
        <v>76006</v>
      </c>
      <c r="Y940" s="4" t="s">
        <v>2417</v>
      </c>
    </row>
    <row r="941" spans="1:25">
      <c r="A941" s="4">
        <v>100070755</v>
      </c>
      <c r="B941" s="4">
        <v>7</v>
      </c>
      <c r="D941" s="4">
        <v>7</v>
      </c>
      <c r="E941" s="4" t="s">
        <v>2352</v>
      </c>
      <c r="F941" s="4">
        <v>70751</v>
      </c>
      <c r="H941" s="4">
        <f t="shared" si="48"/>
        <v>100070756</v>
      </c>
      <c r="I941" s="4" t="s">
        <v>2418</v>
      </c>
      <c r="K941" s="4" t="s">
        <v>1775</v>
      </c>
      <c r="N941" s="38">
        <v>11027</v>
      </c>
      <c r="Q941" s="50">
        <v>1</v>
      </c>
      <c r="U941" s="50">
        <v>76006</v>
      </c>
      <c r="Y941" s="4" t="s">
        <v>2419</v>
      </c>
    </row>
    <row r="942" spans="1:25">
      <c r="A942" s="4">
        <v>100070756</v>
      </c>
      <c r="B942" s="4">
        <v>7</v>
      </c>
      <c r="D942" s="4">
        <v>7</v>
      </c>
      <c r="E942" s="4" t="s">
        <v>2352</v>
      </c>
      <c r="F942" s="4">
        <v>70751</v>
      </c>
      <c r="I942" s="4" t="s">
        <v>2420</v>
      </c>
      <c r="K942" s="4" t="s">
        <v>1778</v>
      </c>
      <c r="N942" s="38">
        <v>11027</v>
      </c>
      <c r="Q942" s="50">
        <v>1</v>
      </c>
      <c r="U942" s="50">
        <v>76006</v>
      </c>
      <c r="Y942" s="4" t="s">
        <v>2421</v>
      </c>
    </row>
    <row r="943" spans="1:25">
      <c r="A943" s="4">
        <v>100070761</v>
      </c>
      <c r="B943" s="4">
        <v>7</v>
      </c>
      <c r="D943" s="4">
        <v>7</v>
      </c>
      <c r="E943" s="4" t="s">
        <v>2352</v>
      </c>
      <c r="F943" s="4">
        <v>70761</v>
      </c>
      <c r="H943" s="4">
        <f t="shared" ref="H943:H949" si="49">A944</f>
        <v>100070762</v>
      </c>
      <c r="I943" s="4" t="s">
        <v>2422</v>
      </c>
      <c r="K943" s="4" t="s">
        <v>1763</v>
      </c>
      <c r="N943" s="38">
        <v>11027</v>
      </c>
      <c r="Q943" s="50">
        <v>1</v>
      </c>
      <c r="U943" s="50">
        <v>76007</v>
      </c>
      <c r="Y943" s="4" t="s">
        <v>2423</v>
      </c>
    </row>
    <row r="944" spans="1:25">
      <c r="A944" s="4">
        <v>100070762</v>
      </c>
      <c r="B944" s="4">
        <v>7</v>
      </c>
      <c r="D944" s="4">
        <v>7</v>
      </c>
      <c r="E944" s="4" t="s">
        <v>2352</v>
      </c>
      <c r="F944" s="4">
        <v>70761</v>
      </c>
      <c r="H944" s="4">
        <f t="shared" si="49"/>
        <v>100070763</v>
      </c>
      <c r="I944" s="4" t="s">
        <v>2424</v>
      </c>
      <c r="K944" s="4" t="s">
        <v>1766</v>
      </c>
      <c r="N944" s="38">
        <v>11027</v>
      </c>
      <c r="Q944" s="50">
        <v>1</v>
      </c>
      <c r="U944" s="50">
        <v>76007</v>
      </c>
      <c r="Y944" s="4" t="s">
        <v>2425</v>
      </c>
    </row>
    <row r="945" spans="1:25">
      <c r="A945" s="4">
        <v>100070763</v>
      </c>
      <c r="B945" s="4">
        <v>7</v>
      </c>
      <c r="D945" s="4">
        <v>7</v>
      </c>
      <c r="E945" s="4" t="s">
        <v>2352</v>
      </c>
      <c r="F945" s="4">
        <v>70761</v>
      </c>
      <c r="H945" s="4">
        <f t="shared" si="49"/>
        <v>100070764</v>
      </c>
      <c r="I945" s="4" t="s">
        <v>2426</v>
      </c>
      <c r="K945" s="4" t="s">
        <v>1845</v>
      </c>
      <c r="N945" s="38">
        <v>11027</v>
      </c>
      <c r="Q945" s="50">
        <v>1</v>
      </c>
      <c r="U945" s="50">
        <v>76007</v>
      </c>
      <c r="Y945" s="4" t="s">
        <v>2427</v>
      </c>
    </row>
    <row r="946" spans="1:25">
      <c r="A946" s="4">
        <v>100070764</v>
      </c>
      <c r="B946" s="4">
        <v>7</v>
      </c>
      <c r="D946" s="4">
        <v>7</v>
      </c>
      <c r="E946" s="4" t="s">
        <v>2352</v>
      </c>
      <c r="F946" s="4">
        <v>70761</v>
      </c>
      <c r="H946" s="4">
        <f t="shared" si="49"/>
        <v>100070765</v>
      </c>
      <c r="I946" s="4" t="s">
        <v>2428</v>
      </c>
      <c r="K946" s="4" t="s">
        <v>1769</v>
      </c>
      <c r="N946" s="38">
        <v>11027</v>
      </c>
      <c r="Q946" s="50">
        <v>1</v>
      </c>
      <c r="U946" s="50">
        <v>76007</v>
      </c>
      <c r="Y946" s="4" t="s">
        <v>2429</v>
      </c>
    </row>
    <row r="947" spans="1:25">
      <c r="A947" s="4">
        <v>100070765</v>
      </c>
      <c r="B947" s="4">
        <v>7</v>
      </c>
      <c r="D947" s="4">
        <v>7</v>
      </c>
      <c r="E947" s="4" t="s">
        <v>2352</v>
      </c>
      <c r="F947" s="4">
        <v>70761</v>
      </c>
      <c r="H947" s="4">
        <f t="shared" si="49"/>
        <v>100070766</v>
      </c>
      <c r="I947" s="4" t="s">
        <v>2430</v>
      </c>
      <c r="K947" s="4" t="s">
        <v>1850</v>
      </c>
      <c r="N947" s="38">
        <v>11027</v>
      </c>
      <c r="Q947" s="50">
        <v>1</v>
      </c>
      <c r="U947" s="50">
        <v>76007</v>
      </c>
      <c r="Y947" s="4" t="s">
        <v>2431</v>
      </c>
    </row>
    <row r="948" spans="1:25">
      <c r="A948" s="4">
        <v>100070766</v>
      </c>
      <c r="B948" s="4">
        <v>7</v>
      </c>
      <c r="D948" s="4">
        <v>7</v>
      </c>
      <c r="E948" s="4" t="s">
        <v>2352</v>
      </c>
      <c r="F948" s="4">
        <v>70761</v>
      </c>
      <c r="H948" s="4">
        <f t="shared" si="49"/>
        <v>100070767</v>
      </c>
      <c r="I948" s="4" t="s">
        <v>2432</v>
      </c>
      <c r="K948" s="4" t="s">
        <v>1853</v>
      </c>
      <c r="N948" s="38">
        <v>11027</v>
      </c>
      <c r="Q948" s="50">
        <v>1</v>
      </c>
      <c r="U948" s="50">
        <v>76007</v>
      </c>
      <c r="Y948" s="4" t="s">
        <v>2433</v>
      </c>
    </row>
    <row r="949" spans="1:25">
      <c r="A949" s="4">
        <v>100070767</v>
      </c>
      <c r="B949" s="4">
        <v>7</v>
      </c>
      <c r="D949" s="4">
        <v>7</v>
      </c>
      <c r="E949" s="4" t="s">
        <v>2352</v>
      </c>
      <c r="F949" s="4">
        <v>70761</v>
      </c>
      <c r="H949" s="4">
        <f t="shared" si="49"/>
        <v>100070768</v>
      </c>
      <c r="I949" s="4" t="s">
        <v>2434</v>
      </c>
      <c r="K949" s="4" t="s">
        <v>1856</v>
      </c>
      <c r="N949" s="38">
        <v>11027</v>
      </c>
      <c r="Q949" s="50">
        <v>1</v>
      </c>
      <c r="U949" s="50">
        <v>76007</v>
      </c>
      <c r="Y949" s="4" t="s">
        <v>2435</v>
      </c>
    </row>
    <row r="950" spans="1:25">
      <c r="A950" s="4">
        <v>100070768</v>
      </c>
      <c r="B950" s="4">
        <v>7</v>
      </c>
      <c r="D950" s="4">
        <v>7</v>
      </c>
      <c r="E950" s="4" t="s">
        <v>2352</v>
      </c>
      <c r="F950" s="4">
        <v>70761</v>
      </c>
      <c r="I950" s="4" t="s">
        <v>2436</v>
      </c>
      <c r="K950" s="4" t="s">
        <v>1772</v>
      </c>
      <c r="N950" s="38">
        <v>11027</v>
      </c>
      <c r="Q950" s="50">
        <v>1</v>
      </c>
      <c r="U950" s="50">
        <v>76007</v>
      </c>
      <c r="Y950" s="4" t="s">
        <v>2437</v>
      </c>
    </row>
    <row r="951" spans="1:25">
      <c r="A951" s="4">
        <v>100070771</v>
      </c>
      <c r="B951" s="4">
        <v>7</v>
      </c>
      <c r="D951" s="4">
        <v>7</v>
      </c>
      <c r="E951" s="4" t="s">
        <v>2352</v>
      </c>
      <c r="F951" s="4">
        <v>70771</v>
      </c>
      <c r="H951" s="4">
        <f t="shared" ref="H951:H955" si="50">A952</f>
        <v>100070772</v>
      </c>
      <c r="I951" s="4" t="s">
        <v>2438</v>
      </c>
      <c r="K951" s="4" t="s">
        <v>1763</v>
      </c>
      <c r="N951" s="38">
        <v>11027</v>
      </c>
      <c r="Q951" s="50">
        <v>1</v>
      </c>
      <c r="U951" s="50">
        <v>76008</v>
      </c>
      <c r="Y951" s="4" t="s">
        <v>2439</v>
      </c>
    </row>
    <row r="952" spans="1:25">
      <c r="A952" s="4">
        <v>100070772</v>
      </c>
      <c r="B952" s="4">
        <v>7</v>
      </c>
      <c r="D952" s="4">
        <v>7</v>
      </c>
      <c r="E952" s="4" t="s">
        <v>2352</v>
      </c>
      <c r="F952" s="4">
        <v>70771</v>
      </c>
      <c r="H952" s="4">
        <f t="shared" si="50"/>
        <v>100070773</v>
      </c>
      <c r="I952" s="4" t="s">
        <v>2440</v>
      </c>
      <c r="K952" s="4" t="s">
        <v>1766</v>
      </c>
      <c r="N952" s="38">
        <v>11027</v>
      </c>
      <c r="Q952" s="50">
        <v>1</v>
      </c>
      <c r="U952" s="50">
        <v>76008</v>
      </c>
      <c r="Y952" s="4" t="s">
        <v>2441</v>
      </c>
    </row>
    <row r="953" spans="1:25">
      <c r="A953" s="4">
        <v>100070773</v>
      </c>
      <c r="B953" s="4">
        <v>7</v>
      </c>
      <c r="D953" s="4">
        <v>7</v>
      </c>
      <c r="E953" s="4" t="s">
        <v>2352</v>
      </c>
      <c r="F953" s="4">
        <v>70771</v>
      </c>
      <c r="H953" s="4">
        <f t="shared" si="50"/>
        <v>100070774</v>
      </c>
      <c r="I953" s="4" t="s">
        <v>2442</v>
      </c>
      <c r="K953" s="4" t="s">
        <v>1769</v>
      </c>
      <c r="N953" s="38">
        <v>11027</v>
      </c>
      <c r="Q953" s="50">
        <v>1</v>
      </c>
      <c r="U953" s="50">
        <v>76008</v>
      </c>
      <c r="Y953" s="4" t="s">
        <v>2443</v>
      </c>
    </row>
    <row r="954" spans="1:25">
      <c r="A954" s="4">
        <v>100070774</v>
      </c>
      <c r="B954" s="4">
        <v>7</v>
      </c>
      <c r="D954" s="4">
        <v>7</v>
      </c>
      <c r="E954" s="4" t="s">
        <v>2352</v>
      </c>
      <c r="F954" s="4">
        <v>70771</v>
      </c>
      <c r="H954" s="4">
        <f t="shared" si="50"/>
        <v>100070775</v>
      </c>
      <c r="I954" s="4" t="s">
        <v>2444</v>
      </c>
      <c r="K954" s="4" t="s">
        <v>1772</v>
      </c>
      <c r="N954" s="38">
        <v>11027</v>
      </c>
      <c r="Q954" s="50">
        <v>1</v>
      </c>
      <c r="U954" s="50">
        <v>76008</v>
      </c>
      <c r="Y954" s="4" t="s">
        <v>2445</v>
      </c>
    </row>
    <row r="955" spans="1:25">
      <c r="A955" s="4">
        <v>100070775</v>
      </c>
      <c r="B955" s="4">
        <v>7</v>
      </c>
      <c r="D955" s="4">
        <v>7</v>
      </c>
      <c r="E955" s="4" t="s">
        <v>2352</v>
      </c>
      <c r="F955" s="4">
        <v>70771</v>
      </c>
      <c r="H955" s="4">
        <f t="shared" si="50"/>
        <v>100070776</v>
      </c>
      <c r="I955" s="4" t="s">
        <v>2446</v>
      </c>
      <c r="K955" s="4" t="s">
        <v>1775</v>
      </c>
      <c r="N955" s="38">
        <v>11027</v>
      </c>
      <c r="Q955" s="50">
        <v>1</v>
      </c>
      <c r="U955" s="50">
        <v>76008</v>
      </c>
      <c r="Y955" s="4" t="s">
        <v>2447</v>
      </c>
    </row>
    <row r="956" spans="1:25">
      <c r="A956" s="4">
        <v>100070776</v>
      </c>
      <c r="B956" s="4">
        <v>7</v>
      </c>
      <c r="D956" s="4">
        <v>7</v>
      </c>
      <c r="E956" s="4" t="s">
        <v>2352</v>
      </c>
      <c r="F956" s="4">
        <v>70771</v>
      </c>
      <c r="I956" s="4" t="s">
        <v>2448</v>
      </c>
      <c r="K956" s="4" t="s">
        <v>1778</v>
      </c>
      <c r="N956" s="38">
        <v>11027</v>
      </c>
      <c r="Q956" s="50">
        <v>1</v>
      </c>
      <c r="U956" s="50">
        <v>76008</v>
      </c>
      <c r="Y956" s="4" t="s">
        <v>2449</v>
      </c>
    </row>
    <row r="957" spans="1:25">
      <c r="A957" s="4">
        <v>100070801</v>
      </c>
      <c r="B957" s="4">
        <v>7</v>
      </c>
      <c r="C957" s="4" t="s">
        <v>1760</v>
      </c>
      <c r="D957" s="4">
        <v>8</v>
      </c>
      <c r="E957" s="4" t="s">
        <v>2450</v>
      </c>
      <c r="F957" s="4">
        <v>70801</v>
      </c>
      <c r="H957" s="4">
        <f t="shared" ref="H957:H961" si="51">A958</f>
        <v>100070802</v>
      </c>
      <c r="I957" s="4" t="s">
        <v>1174</v>
      </c>
      <c r="K957" s="4" t="s">
        <v>1763</v>
      </c>
      <c r="N957" s="38">
        <v>3211</v>
      </c>
      <c r="Q957" s="50">
        <v>1</v>
      </c>
      <c r="U957" s="61">
        <v>76001</v>
      </c>
      <c r="Y957" s="4" t="s">
        <v>2451</v>
      </c>
    </row>
    <row r="958" spans="1:25">
      <c r="A958" s="4">
        <v>100070802</v>
      </c>
      <c r="B958" s="4">
        <v>7</v>
      </c>
      <c r="C958" s="4" t="s">
        <v>1760</v>
      </c>
      <c r="D958" s="4">
        <v>8</v>
      </c>
      <c r="E958" s="4" t="s">
        <v>2450</v>
      </c>
      <c r="F958" s="4">
        <v>70801</v>
      </c>
      <c r="H958" s="4">
        <f t="shared" si="51"/>
        <v>100070803</v>
      </c>
      <c r="I958" s="4" t="s">
        <v>1185</v>
      </c>
      <c r="K958" s="4" t="s">
        <v>1766</v>
      </c>
      <c r="N958" s="38">
        <v>3211</v>
      </c>
      <c r="Q958" s="50">
        <v>1</v>
      </c>
      <c r="U958" s="61">
        <v>76001</v>
      </c>
      <c r="Y958" s="4" t="s">
        <v>2452</v>
      </c>
    </row>
    <row r="959" spans="1:25">
      <c r="A959" s="4">
        <v>100070803</v>
      </c>
      <c r="B959" s="4">
        <v>7</v>
      </c>
      <c r="C959" s="4" t="s">
        <v>1760</v>
      </c>
      <c r="D959" s="4">
        <v>8</v>
      </c>
      <c r="E959" s="4" t="s">
        <v>2450</v>
      </c>
      <c r="F959" s="4">
        <v>70801</v>
      </c>
      <c r="H959" s="4">
        <f t="shared" si="51"/>
        <v>100070804</v>
      </c>
      <c r="I959" s="4" t="s">
        <v>1196</v>
      </c>
      <c r="K959" s="4" t="s">
        <v>1769</v>
      </c>
      <c r="N959" s="38">
        <v>3211</v>
      </c>
      <c r="Q959" s="50">
        <v>1</v>
      </c>
      <c r="U959" s="61">
        <v>76001</v>
      </c>
      <c r="Y959" s="4" t="s">
        <v>2453</v>
      </c>
    </row>
    <row r="960" spans="1:25">
      <c r="A960" s="4">
        <v>100070804</v>
      </c>
      <c r="B960" s="4">
        <v>7</v>
      </c>
      <c r="C960" s="4" t="s">
        <v>1760</v>
      </c>
      <c r="D960" s="4">
        <v>8</v>
      </c>
      <c r="E960" s="4" t="s">
        <v>2450</v>
      </c>
      <c r="F960" s="4">
        <v>70801</v>
      </c>
      <c r="H960" s="4">
        <f t="shared" si="51"/>
        <v>100070805</v>
      </c>
      <c r="I960" s="4" t="s">
        <v>1202</v>
      </c>
      <c r="K960" s="4" t="s">
        <v>1772</v>
      </c>
      <c r="N960" s="38">
        <v>3211</v>
      </c>
      <c r="Q960" s="50">
        <v>1</v>
      </c>
      <c r="U960" s="61">
        <v>76001</v>
      </c>
      <c r="Y960" s="4" t="s">
        <v>2454</v>
      </c>
    </row>
    <row r="961" spans="1:25">
      <c r="A961" s="4">
        <v>100070805</v>
      </c>
      <c r="B961" s="4">
        <v>7</v>
      </c>
      <c r="C961" s="4" t="s">
        <v>1760</v>
      </c>
      <c r="D961" s="4">
        <v>8</v>
      </c>
      <c r="E961" s="4" t="s">
        <v>2450</v>
      </c>
      <c r="F961" s="4">
        <v>70801</v>
      </c>
      <c r="H961" s="4">
        <f t="shared" si="51"/>
        <v>100070806</v>
      </c>
      <c r="I961" s="4" t="s">
        <v>2455</v>
      </c>
      <c r="K961" s="4" t="s">
        <v>1775</v>
      </c>
      <c r="N961" s="38">
        <v>3211</v>
      </c>
      <c r="Q961" s="50">
        <v>1</v>
      </c>
      <c r="U961" s="61">
        <v>76001</v>
      </c>
      <c r="Y961" s="4" t="s">
        <v>2456</v>
      </c>
    </row>
    <row r="962" spans="1:25">
      <c r="A962" s="4">
        <v>100070806</v>
      </c>
      <c r="B962" s="4">
        <v>7</v>
      </c>
      <c r="C962" s="4" t="s">
        <v>1760</v>
      </c>
      <c r="D962" s="4">
        <v>8</v>
      </c>
      <c r="E962" s="4" t="s">
        <v>2450</v>
      </c>
      <c r="F962" s="4">
        <v>70801</v>
      </c>
      <c r="I962" s="4" t="s">
        <v>2457</v>
      </c>
      <c r="K962" s="4" t="s">
        <v>1778</v>
      </c>
      <c r="N962" s="38">
        <v>3211</v>
      </c>
      <c r="Q962" s="50">
        <v>1</v>
      </c>
      <c r="U962" s="61">
        <v>76001</v>
      </c>
      <c r="Y962" s="4" t="s">
        <v>2458</v>
      </c>
    </row>
    <row r="963" spans="1:25">
      <c r="A963" s="4">
        <v>100070811</v>
      </c>
      <c r="B963" s="4">
        <v>7</v>
      </c>
      <c r="D963" s="4">
        <v>8</v>
      </c>
      <c r="E963" s="4" t="s">
        <v>2450</v>
      </c>
      <c r="F963" s="4">
        <v>70811</v>
      </c>
      <c r="H963" s="4">
        <f t="shared" ref="H963:H967" si="52">A964</f>
        <v>100070812</v>
      </c>
      <c r="I963" s="4" t="s">
        <v>1177</v>
      </c>
      <c r="K963" s="4" t="s">
        <v>1763</v>
      </c>
      <c r="N963" s="38">
        <v>3310</v>
      </c>
      <c r="Q963" s="50">
        <v>1</v>
      </c>
      <c r="U963" s="50">
        <v>76002</v>
      </c>
      <c r="Y963" s="4" t="s">
        <v>2459</v>
      </c>
    </row>
    <row r="964" spans="1:25">
      <c r="A964" s="4">
        <v>100070812</v>
      </c>
      <c r="B964" s="4">
        <v>7</v>
      </c>
      <c r="D964" s="4">
        <v>8</v>
      </c>
      <c r="E964" s="4" t="s">
        <v>2450</v>
      </c>
      <c r="F964" s="4">
        <v>70811</v>
      </c>
      <c r="H964" s="4">
        <f t="shared" si="52"/>
        <v>100070813</v>
      </c>
      <c r="I964" s="4" t="s">
        <v>2460</v>
      </c>
      <c r="K964" s="4" t="s">
        <v>1766</v>
      </c>
      <c r="N964" s="38">
        <v>3310</v>
      </c>
      <c r="Q964" s="50">
        <v>1</v>
      </c>
      <c r="U964" s="50">
        <v>76002</v>
      </c>
      <c r="Y964" s="4" t="s">
        <v>2461</v>
      </c>
    </row>
    <row r="965" spans="1:25">
      <c r="A965" s="4">
        <v>100070813</v>
      </c>
      <c r="B965" s="4">
        <v>7</v>
      </c>
      <c r="D965" s="4">
        <v>8</v>
      </c>
      <c r="E965" s="4" t="s">
        <v>2450</v>
      </c>
      <c r="F965" s="4">
        <v>70811</v>
      </c>
      <c r="H965" s="4">
        <f t="shared" si="52"/>
        <v>100070814</v>
      </c>
      <c r="I965" s="4" t="s">
        <v>2462</v>
      </c>
      <c r="K965" s="4" t="s">
        <v>1769</v>
      </c>
      <c r="N965" s="38">
        <v>3310</v>
      </c>
      <c r="Q965" s="50">
        <v>1</v>
      </c>
      <c r="U965" s="50">
        <v>76002</v>
      </c>
      <c r="Y965" s="4" t="s">
        <v>2463</v>
      </c>
    </row>
    <row r="966" spans="1:25">
      <c r="A966" s="4">
        <v>100070814</v>
      </c>
      <c r="B966" s="4">
        <v>7</v>
      </c>
      <c r="D966" s="4">
        <v>8</v>
      </c>
      <c r="E966" s="4" t="s">
        <v>2450</v>
      </c>
      <c r="F966" s="4">
        <v>70811</v>
      </c>
      <c r="H966" s="4">
        <f t="shared" si="52"/>
        <v>100070815</v>
      </c>
      <c r="I966" s="4" t="s">
        <v>1205</v>
      </c>
      <c r="K966" s="4" t="s">
        <v>1772</v>
      </c>
      <c r="N966" s="38">
        <v>3310</v>
      </c>
      <c r="Q966" s="50">
        <v>1</v>
      </c>
      <c r="U966" s="50">
        <v>76002</v>
      </c>
      <c r="Y966" s="4" t="s">
        <v>2464</v>
      </c>
    </row>
    <row r="967" spans="1:25">
      <c r="A967" s="4">
        <v>100070815</v>
      </c>
      <c r="B967" s="4">
        <v>7</v>
      </c>
      <c r="D967" s="4">
        <v>8</v>
      </c>
      <c r="E967" s="4" t="s">
        <v>2450</v>
      </c>
      <c r="F967" s="4">
        <v>70811</v>
      </c>
      <c r="H967" s="4">
        <f t="shared" si="52"/>
        <v>100070816</v>
      </c>
      <c r="I967" s="4" t="s">
        <v>2465</v>
      </c>
      <c r="K967" s="4" t="s">
        <v>1775</v>
      </c>
      <c r="N967" s="38">
        <v>3310</v>
      </c>
      <c r="Q967" s="50">
        <v>1</v>
      </c>
      <c r="U967" s="50">
        <v>76002</v>
      </c>
      <c r="Y967" s="4" t="s">
        <v>2466</v>
      </c>
    </row>
    <row r="968" spans="1:25">
      <c r="A968" s="4">
        <v>100070816</v>
      </c>
      <c r="B968" s="4">
        <v>7</v>
      </c>
      <c r="D968" s="4">
        <v>8</v>
      </c>
      <c r="E968" s="4" t="s">
        <v>2450</v>
      </c>
      <c r="F968" s="4">
        <v>70811</v>
      </c>
      <c r="I968" s="4" t="s">
        <v>2467</v>
      </c>
      <c r="K968" s="4" t="s">
        <v>1778</v>
      </c>
      <c r="N968" s="38">
        <v>3310</v>
      </c>
      <c r="Q968" s="50">
        <v>1</v>
      </c>
      <c r="U968" s="50">
        <v>76002</v>
      </c>
      <c r="Y968" s="4" t="s">
        <v>2468</v>
      </c>
    </row>
    <row r="969" spans="1:25">
      <c r="A969" s="4">
        <v>100070821</v>
      </c>
      <c r="B969" s="4">
        <v>7</v>
      </c>
      <c r="D969" s="4">
        <v>8</v>
      </c>
      <c r="E969" s="4" t="s">
        <v>2450</v>
      </c>
      <c r="F969" s="4">
        <v>70821</v>
      </c>
      <c r="H969" s="4">
        <f t="shared" ref="H969:H973" si="53">A970</f>
        <v>100070822</v>
      </c>
      <c r="I969" s="4" t="s">
        <v>2469</v>
      </c>
      <c r="K969" s="4" t="s">
        <v>1763</v>
      </c>
      <c r="N969" s="38">
        <v>11045</v>
      </c>
      <c r="Q969" s="50">
        <v>1</v>
      </c>
      <c r="U969" s="50">
        <v>76003</v>
      </c>
      <c r="Y969" s="4" t="s">
        <v>2470</v>
      </c>
    </row>
    <row r="970" spans="1:25">
      <c r="A970" s="4">
        <v>100070822</v>
      </c>
      <c r="B970" s="4">
        <v>7</v>
      </c>
      <c r="D970" s="4">
        <v>8</v>
      </c>
      <c r="E970" s="4" t="s">
        <v>2450</v>
      </c>
      <c r="F970" s="4">
        <v>70821</v>
      </c>
      <c r="H970" s="4">
        <f t="shared" si="53"/>
        <v>100070823</v>
      </c>
      <c r="I970" s="4" t="s">
        <v>2471</v>
      </c>
      <c r="K970" s="4" t="s">
        <v>1766</v>
      </c>
      <c r="N970" s="38">
        <v>11045</v>
      </c>
      <c r="Q970" s="50">
        <v>1</v>
      </c>
      <c r="U970" s="50">
        <v>76003</v>
      </c>
      <c r="Y970" s="4" t="s">
        <v>2472</v>
      </c>
    </row>
    <row r="971" spans="1:25">
      <c r="A971" s="4">
        <v>100070823</v>
      </c>
      <c r="B971" s="4">
        <v>7</v>
      </c>
      <c r="D971" s="4">
        <v>8</v>
      </c>
      <c r="E971" s="4" t="s">
        <v>2450</v>
      </c>
      <c r="F971" s="4">
        <v>70821</v>
      </c>
      <c r="H971" s="4">
        <f t="shared" si="53"/>
        <v>100070824</v>
      </c>
      <c r="I971" s="4" t="s">
        <v>2473</v>
      </c>
      <c r="K971" s="4" t="s">
        <v>1769</v>
      </c>
      <c r="N971" s="38">
        <v>11045</v>
      </c>
      <c r="Q971" s="50">
        <v>1</v>
      </c>
      <c r="U971" s="50">
        <v>76003</v>
      </c>
      <c r="Y971" s="4" t="s">
        <v>2474</v>
      </c>
    </row>
    <row r="972" spans="1:25">
      <c r="A972" s="4">
        <v>100070824</v>
      </c>
      <c r="B972" s="4">
        <v>7</v>
      </c>
      <c r="D972" s="4">
        <v>8</v>
      </c>
      <c r="E972" s="4" t="s">
        <v>2450</v>
      </c>
      <c r="F972" s="4">
        <v>70821</v>
      </c>
      <c r="H972" s="4">
        <f t="shared" si="53"/>
        <v>100070825</v>
      </c>
      <c r="I972" s="4" t="s">
        <v>2475</v>
      </c>
      <c r="K972" s="4" t="s">
        <v>1772</v>
      </c>
      <c r="N972" s="38">
        <v>11045</v>
      </c>
      <c r="Q972" s="50">
        <v>1</v>
      </c>
      <c r="U972" s="50">
        <v>76003</v>
      </c>
      <c r="Y972" s="4" t="s">
        <v>2476</v>
      </c>
    </row>
    <row r="973" spans="1:25">
      <c r="A973" s="4">
        <v>100070825</v>
      </c>
      <c r="B973" s="4">
        <v>7</v>
      </c>
      <c r="D973" s="4">
        <v>8</v>
      </c>
      <c r="E973" s="4" t="s">
        <v>2450</v>
      </c>
      <c r="F973" s="4">
        <v>70821</v>
      </c>
      <c r="H973" s="4">
        <f t="shared" si="53"/>
        <v>100070826</v>
      </c>
      <c r="I973" s="4" t="s">
        <v>2477</v>
      </c>
      <c r="K973" s="4" t="s">
        <v>1775</v>
      </c>
      <c r="N973" s="38">
        <v>11045</v>
      </c>
      <c r="Q973" s="50">
        <v>1</v>
      </c>
      <c r="U973" s="50">
        <v>76003</v>
      </c>
      <c r="Y973" s="4" t="s">
        <v>2478</v>
      </c>
    </row>
    <row r="974" spans="1:25">
      <c r="A974" s="4">
        <v>100070826</v>
      </c>
      <c r="B974" s="4">
        <v>7</v>
      </c>
      <c r="D974" s="4">
        <v>8</v>
      </c>
      <c r="E974" s="4" t="s">
        <v>2450</v>
      </c>
      <c r="F974" s="4">
        <v>70821</v>
      </c>
      <c r="I974" s="4" t="s">
        <v>2479</v>
      </c>
      <c r="K974" s="4" t="s">
        <v>1778</v>
      </c>
      <c r="N974" s="38">
        <v>11045</v>
      </c>
      <c r="Q974" s="50">
        <v>1</v>
      </c>
      <c r="U974" s="50">
        <v>76003</v>
      </c>
      <c r="Y974" s="4" t="s">
        <v>2480</v>
      </c>
    </row>
    <row r="975" spans="1:25">
      <c r="A975" s="4">
        <v>100070831</v>
      </c>
      <c r="B975" s="4">
        <v>7</v>
      </c>
      <c r="D975" s="4">
        <v>8</v>
      </c>
      <c r="E975" s="4" t="s">
        <v>2450</v>
      </c>
      <c r="F975" s="4">
        <v>70831</v>
      </c>
      <c r="H975" s="4">
        <f t="shared" ref="H975:H979" si="54">A976</f>
        <v>100070832</v>
      </c>
      <c r="I975" s="4" t="s">
        <v>2481</v>
      </c>
      <c r="K975" s="4" t="s">
        <v>1763</v>
      </c>
      <c r="N975" s="38">
        <v>11045</v>
      </c>
      <c r="Q975" s="50">
        <v>1</v>
      </c>
      <c r="U975" s="50">
        <v>76004</v>
      </c>
      <c r="Y975" s="4" t="s">
        <v>2482</v>
      </c>
    </row>
    <row r="976" spans="1:25">
      <c r="A976" s="4">
        <v>100070832</v>
      </c>
      <c r="B976" s="4">
        <v>7</v>
      </c>
      <c r="D976" s="4">
        <v>8</v>
      </c>
      <c r="E976" s="4" t="s">
        <v>2450</v>
      </c>
      <c r="F976" s="4">
        <v>70831</v>
      </c>
      <c r="H976" s="4">
        <f t="shared" si="54"/>
        <v>100070833</v>
      </c>
      <c r="I976" s="4" t="s">
        <v>2483</v>
      </c>
      <c r="K976" s="4" t="s">
        <v>1766</v>
      </c>
      <c r="N976" s="38">
        <v>11045</v>
      </c>
      <c r="Q976" s="50">
        <v>1</v>
      </c>
      <c r="U976" s="50">
        <v>76004</v>
      </c>
      <c r="Y976" s="4" t="s">
        <v>2484</v>
      </c>
    </row>
    <row r="977" spans="1:25">
      <c r="A977" s="4">
        <v>100070833</v>
      </c>
      <c r="B977" s="4">
        <v>7</v>
      </c>
      <c r="D977" s="4">
        <v>8</v>
      </c>
      <c r="E977" s="4" t="s">
        <v>2450</v>
      </c>
      <c r="F977" s="4">
        <v>70831</v>
      </c>
      <c r="H977" s="4">
        <f t="shared" si="54"/>
        <v>100070834</v>
      </c>
      <c r="I977" s="4" t="s">
        <v>2485</v>
      </c>
      <c r="K977" s="4" t="s">
        <v>1769</v>
      </c>
      <c r="N977" s="38">
        <v>11045</v>
      </c>
      <c r="Q977" s="50">
        <v>1</v>
      </c>
      <c r="U977" s="50">
        <v>76004</v>
      </c>
      <c r="Y977" s="4" t="s">
        <v>2486</v>
      </c>
    </row>
    <row r="978" spans="1:25">
      <c r="A978" s="4">
        <v>100070834</v>
      </c>
      <c r="B978" s="4">
        <v>7</v>
      </c>
      <c r="D978" s="4">
        <v>8</v>
      </c>
      <c r="E978" s="4" t="s">
        <v>2450</v>
      </c>
      <c r="F978" s="4">
        <v>70831</v>
      </c>
      <c r="H978" s="4">
        <f t="shared" si="54"/>
        <v>100070835</v>
      </c>
      <c r="I978" s="4" t="s">
        <v>2487</v>
      </c>
      <c r="K978" s="4" t="s">
        <v>1772</v>
      </c>
      <c r="N978" s="38">
        <v>11045</v>
      </c>
      <c r="Q978" s="50">
        <v>1</v>
      </c>
      <c r="U978" s="50">
        <v>76004</v>
      </c>
      <c r="Y978" s="4" t="s">
        <v>2488</v>
      </c>
    </row>
    <row r="979" spans="1:25">
      <c r="A979" s="4">
        <v>100070835</v>
      </c>
      <c r="B979" s="4">
        <v>7</v>
      </c>
      <c r="D979" s="4">
        <v>8</v>
      </c>
      <c r="E979" s="4" t="s">
        <v>2450</v>
      </c>
      <c r="F979" s="4">
        <v>70831</v>
      </c>
      <c r="H979" s="4">
        <f t="shared" si="54"/>
        <v>100070836</v>
      </c>
      <c r="I979" s="4" t="s">
        <v>2489</v>
      </c>
      <c r="K979" s="4" t="s">
        <v>1775</v>
      </c>
      <c r="N979" s="38">
        <v>11045</v>
      </c>
      <c r="Q979" s="50">
        <v>1</v>
      </c>
      <c r="U979" s="50">
        <v>76004</v>
      </c>
      <c r="Y979" s="4" t="s">
        <v>2490</v>
      </c>
    </row>
    <row r="980" spans="1:25">
      <c r="A980" s="4">
        <v>100070836</v>
      </c>
      <c r="B980" s="4">
        <v>7</v>
      </c>
      <c r="D980" s="4">
        <v>8</v>
      </c>
      <c r="E980" s="4" t="s">
        <v>2450</v>
      </c>
      <c r="F980" s="4">
        <v>70831</v>
      </c>
      <c r="I980" s="4" t="s">
        <v>2491</v>
      </c>
      <c r="K980" s="4" t="s">
        <v>1778</v>
      </c>
      <c r="N980" s="38">
        <v>11045</v>
      </c>
      <c r="Q980" s="50">
        <v>1</v>
      </c>
      <c r="U980" s="50">
        <v>76004</v>
      </c>
      <c r="Y980" s="4" t="s">
        <v>2492</v>
      </c>
    </row>
    <row r="981" spans="1:25">
      <c r="A981" s="4">
        <v>100070841</v>
      </c>
      <c r="B981" s="4">
        <v>7</v>
      </c>
      <c r="D981" s="4">
        <v>8</v>
      </c>
      <c r="E981" s="4" t="s">
        <v>2450</v>
      </c>
      <c r="F981" s="4">
        <v>70841</v>
      </c>
      <c r="H981" s="4">
        <f t="shared" ref="H981:H985" si="55">A982</f>
        <v>100070842</v>
      </c>
      <c r="I981" s="4" t="s">
        <v>2493</v>
      </c>
      <c r="K981" s="4" t="s">
        <v>1763</v>
      </c>
      <c r="N981" s="38">
        <v>11045</v>
      </c>
      <c r="Q981" s="50">
        <v>1</v>
      </c>
      <c r="U981" s="50">
        <v>76005</v>
      </c>
      <c r="Y981" s="4" t="s">
        <v>2494</v>
      </c>
    </row>
    <row r="982" spans="1:25">
      <c r="A982" s="4">
        <v>100070842</v>
      </c>
      <c r="B982" s="4">
        <v>7</v>
      </c>
      <c r="D982" s="4">
        <v>8</v>
      </c>
      <c r="E982" s="4" t="s">
        <v>2450</v>
      </c>
      <c r="F982" s="4">
        <v>70841</v>
      </c>
      <c r="H982" s="4">
        <f t="shared" si="55"/>
        <v>100070843</v>
      </c>
      <c r="I982" s="4" t="s">
        <v>2495</v>
      </c>
      <c r="K982" s="4" t="s">
        <v>1766</v>
      </c>
      <c r="N982" s="38">
        <v>11045</v>
      </c>
      <c r="Q982" s="50">
        <v>1</v>
      </c>
      <c r="U982" s="50">
        <v>76005</v>
      </c>
      <c r="Y982" s="4" t="s">
        <v>2496</v>
      </c>
    </row>
    <row r="983" spans="1:25">
      <c r="A983" s="4">
        <v>100070843</v>
      </c>
      <c r="B983" s="4">
        <v>7</v>
      </c>
      <c r="D983" s="4">
        <v>8</v>
      </c>
      <c r="E983" s="4" t="s">
        <v>2450</v>
      </c>
      <c r="F983" s="4">
        <v>70841</v>
      </c>
      <c r="H983" s="4">
        <f t="shared" si="55"/>
        <v>100070844</v>
      </c>
      <c r="I983" s="4" t="s">
        <v>2497</v>
      </c>
      <c r="K983" s="4" t="s">
        <v>1769</v>
      </c>
      <c r="N983" s="38">
        <v>11045</v>
      </c>
      <c r="Q983" s="50">
        <v>1</v>
      </c>
      <c r="U983" s="50">
        <v>76005</v>
      </c>
      <c r="Y983" s="4" t="s">
        <v>2498</v>
      </c>
    </row>
    <row r="984" spans="1:25">
      <c r="A984" s="4">
        <v>100070844</v>
      </c>
      <c r="B984" s="4">
        <v>7</v>
      </c>
      <c r="D984" s="4">
        <v>8</v>
      </c>
      <c r="E984" s="4" t="s">
        <v>2450</v>
      </c>
      <c r="F984" s="4">
        <v>70841</v>
      </c>
      <c r="H984" s="4">
        <f t="shared" si="55"/>
        <v>100070845</v>
      </c>
      <c r="I984" s="4" t="s">
        <v>2499</v>
      </c>
      <c r="K984" s="4" t="s">
        <v>1772</v>
      </c>
      <c r="N984" s="38">
        <v>11045</v>
      </c>
      <c r="Q984" s="50">
        <v>1</v>
      </c>
      <c r="U984" s="50">
        <v>76005</v>
      </c>
      <c r="Y984" s="4" t="s">
        <v>2500</v>
      </c>
    </row>
    <row r="985" spans="1:25">
      <c r="A985" s="4">
        <v>100070845</v>
      </c>
      <c r="B985" s="4">
        <v>7</v>
      </c>
      <c r="D985" s="4">
        <v>8</v>
      </c>
      <c r="E985" s="4" t="s">
        <v>2450</v>
      </c>
      <c r="F985" s="4">
        <v>70841</v>
      </c>
      <c r="H985" s="4">
        <f t="shared" si="55"/>
        <v>100070846</v>
      </c>
      <c r="I985" s="4" t="s">
        <v>2501</v>
      </c>
      <c r="K985" s="4" t="s">
        <v>1775</v>
      </c>
      <c r="N985" s="38">
        <v>11045</v>
      </c>
      <c r="Q985" s="50">
        <v>1</v>
      </c>
      <c r="U985" s="50">
        <v>76005</v>
      </c>
      <c r="Y985" s="4" t="s">
        <v>2502</v>
      </c>
    </row>
    <row r="986" spans="1:25">
      <c r="A986" s="4">
        <v>100070846</v>
      </c>
      <c r="B986" s="4">
        <v>7</v>
      </c>
      <c r="D986" s="4">
        <v>8</v>
      </c>
      <c r="E986" s="4" t="s">
        <v>2450</v>
      </c>
      <c r="F986" s="4">
        <v>70841</v>
      </c>
      <c r="I986" s="4" t="s">
        <v>2503</v>
      </c>
      <c r="K986" s="4" t="s">
        <v>1778</v>
      </c>
      <c r="N986" s="38">
        <v>11045</v>
      </c>
      <c r="Q986" s="50">
        <v>1</v>
      </c>
      <c r="U986" s="50">
        <v>76005</v>
      </c>
      <c r="Y986" s="4" t="s">
        <v>2504</v>
      </c>
    </row>
    <row r="987" spans="1:25">
      <c r="A987" s="4">
        <v>100070851</v>
      </c>
      <c r="B987" s="4">
        <v>7</v>
      </c>
      <c r="D987" s="4">
        <v>8</v>
      </c>
      <c r="E987" s="4" t="s">
        <v>2450</v>
      </c>
      <c r="F987" s="4">
        <v>70851</v>
      </c>
      <c r="H987" s="4">
        <f t="shared" ref="H987:H991" si="56">A988</f>
        <v>100070852</v>
      </c>
      <c r="I987" s="4" t="s">
        <v>2505</v>
      </c>
      <c r="K987" s="4" t="s">
        <v>1763</v>
      </c>
      <c r="N987" s="38">
        <v>11045</v>
      </c>
      <c r="Q987" s="50">
        <v>1</v>
      </c>
      <c r="U987" s="50">
        <v>76006</v>
      </c>
      <c r="Y987" s="4" t="s">
        <v>2506</v>
      </c>
    </row>
    <row r="988" spans="1:25">
      <c r="A988" s="4">
        <v>100070852</v>
      </c>
      <c r="B988" s="4">
        <v>7</v>
      </c>
      <c r="D988" s="4">
        <v>8</v>
      </c>
      <c r="E988" s="4" t="s">
        <v>2450</v>
      </c>
      <c r="F988" s="4">
        <v>70851</v>
      </c>
      <c r="H988" s="4">
        <f t="shared" si="56"/>
        <v>100070853</v>
      </c>
      <c r="I988" s="4" t="s">
        <v>2507</v>
      </c>
      <c r="K988" s="4" t="s">
        <v>1766</v>
      </c>
      <c r="N988" s="38">
        <v>11045</v>
      </c>
      <c r="Q988" s="50">
        <v>1</v>
      </c>
      <c r="U988" s="50">
        <v>76006</v>
      </c>
      <c r="Y988" s="4" t="s">
        <v>2508</v>
      </c>
    </row>
    <row r="989" spans="1:25">
      <c r="A989" s="4">
        <v>100070853</v>
      </c>
      <c r="B989" s="4">
        <v>7</v>
      </c>
      <c r="D989" s="4">
        <v>8</v>
      </c>
      <c r="E989" s="4" t="s">
        <v>2450</v>
      </c>
      <c r="F989" s="4">
        <v>70851</v>
      </c>
      <c r="H989" s="4">
        <f t="shared" si="56"/>
        <v>100070854</v>
      </c>
      <c r="I989" s="4" t="s">
        <v>2509</v>
      </c>
      <c r="K989" s="4" t="s">
        <v>1769</v>
      </c>
      <c r="N989" s="38">
        <v>11045</v>
      </c>
      <c r="Q989" s="50">
        <v>1</v>
      </c>
      <c r="U989" s="50">
        <v>76006</v>
      </c>
      <c r="Y989" s="4" t="s">
        <v>2510</v>
      </c>
    </row>
    <row r="990" spans="1:25">
      <c r="A990" s="4">
        <v>100070854</v>
      </c>
      <c r="B990" s="4">
        <v>7</v>
      </c>
      <c r="D990" s="4">
        <v>8</v>
      </c>
      <c r="E990" s="4" t="s">
        <v>2450</v>
      </c>
      <c r="F990" s="4">
        <v>70851</v>
      </c>
      <c r="H990" s="4">
        <f t="shared" si="56"/>
        <v>100070855</v>
      </c>
      <c r="I990" s="4" t="s">
        <v>2511</v>
      </c>
      <c r="K990" s="4" t="s">
        <v>1772</v>
      </c>
      <c r="N990" s="38">
        <v>11045</v>
      </c>
      <c r="Q990" s="50">
        <v>1</v>
      </c>
      <c r="U990" s="50">
        <v>76006</v>
      </c>
      <c r="Y990" s="4" t="s">
        <v>2512</v>
      </c>
    </row>
    <row r="991" spans="1:25">
      <c r="A991" s="4">
        <v>100070855</v>
      </c>
      <c r="B991" s="4">
        <v>7</v>
      </c>
      <c r="D991" s="4">
        <v>8</v>
      </c>
      <c r="E991" s="4" t="s">
        <v>2450</v>
      </c>
      <c r="F991" s="4">
        <v>70851</v>
      </c>
      <c r="H991" s="4">
        <f t="shared" si="56"/>
        <v>100070856</v>
      </c>
      <c r="I991" s="4" t="s">
        <v>2513</v>
      </c>
      <c r="K991" s="4" t="s">
        <v>1775</v>
      </c>
      <c r="N991" s="38">
        <v>11045</v>
      </c>
      <c r="Q991" s="50">
        <v>1</v>
      </c>
      <c r="U991" s="50">
        <v>76006</v>
      </c>
      <c r="Y991" s="4" t="s">
        <v>2514</v>
      </c>
    </row>
    <row r="992" spans="1:25">
      <c r="A992" s="4">
        <v>100070856</v>
      </c>
      <c r="B992" s="4">
        <v>7</v>
      </c>
      <c r="D992" s="4">
        <v>8</v>
      </c>
      <c r="E992" s="4" t="s">
        <v>2450</v>
      </c>
      <c r="F992" s="4">
        <v>70851</v>
      </c>
      <c r="I992" s="4" t="s">
        <v>2515</v>
      </c>
      <c r="K992" s="4" t="s">
        <v>1778</v>
      </c>
      <c r="N992" s="38">
        <v>11045</v>
      </c>
      <c r="Q992" s="50">
        <v>1</v>
      </c>
      <c r="U992" s="50">
        <v>76006</v>
      </c>
      <c r="Y992" s="4" t="s">
        <v>2516</v>
      </c>
    </row>
    <row r="993" spans="1:25">
      <c r="A993" s="4">
        <v>100070861</v>
      </c>
      <c r="B993" s="4">
        <v>7</v>
      </c>
      <c r="D993" s="4">
        <v>8</v>
      </c>
      <c r="E993" s="4" t="s">
        <v>2450</v>
      </c>
      <c r="F993" s="4">
        <v>70861</v>
      </c>
      <c r="H993" s="4">
        <f t="shared" ref="H993:H999" si="57">A994</f>
        <v>100070862</v>
      </c>
      <c r="I993" s="4" t="s">
        <v>2517</v>
      </c>
      <c r="K993" s="4" t="s">
        <v>1763</v>
      </c>
      <c r="N993" s="38">
        <v>11045</v>
      </c>
      <c r="Q993" s="50">
        <v>1</v>
      </c>
      <c r="U993" s="50">
        <v>76007</v>
      </c>
      <c r="Y993" s="4" t="s">
        <v>2518</v>
      </c>
    </row>
    <row r="994" spans="1:25">
      <c r="A994" s="4">
        <v>100070862</v>
      </c>
      <c r="B994" s="4">
        <v>7</v>
      </c>
      <c r="D994" s="4">
        <v>8</v>
      </c>
      <c r="E994" s="4" t="s">
        <v>2450</v>
      </c>
      <c r="F994" s="4">
        <v>70861</v>
      </c>
      <c r="H994" s="4">
        <f t="shared" si="57"/>
        <v>100070863</v>
      </c>
      <c r="I994" s="4" t="s">
        <v>2519</v>
      </c>
      <c r="K994" s="4" t="s">
        <v>1766</v>
      </c>
      <c r="N994" s="38">
        <v>11045</v>
      </c>
      <c r="Q994" s="50">
        <v>1</v>
      </c>
      <c r="U994" s="50">
        <v>76007</v>
      </c>
      <c r="Y994" s="4" t="s">
        <v>2520</v>
      </c>
    </row>
    <row r="995" spans="1:25">
      <c r="A995" s="4">
        <v>100070863</v>
      </c>
      <c r="B995" s="4">
        <v>7</v>
      </c>
      <c r="D995" s="4">
        <v>8</v>
      </c>
      <c r="E995" s="4" t="s">
        <v>2450</v>
      </c>
      <c r="F995" s="4">
        <v>70861</v>
      </c>
      <c r="H995" s="4">
        <f t="shared" si="57"/>
        <v>100070864</v>
      </c>
      <c r="I995" s="4" t="s">
        <v>2521</v>
      </c>
      <c r="K995" s="4" t="s">
        <v>1845</v>
      </c>
      <c r="N995" s="38">
        <v>11045</v>
      </c>
      <c r="Q995" s="50">
        <v>1</v>
      </c>
      <c r="U995" s="50">
        <v>76007</v>
      </c>
      <c r="Y995" s="4" t="s">
        <v>2522</v>
      </c>
    </row>
    <row r="996" spans="1:25">
      <c r="A996" s="4">
        <v>100070864</v>
      </c>
      <c r="B996" s="4">
        <v>7</v>
      </c>
      <c r="D996" s="4">
        <v>8</v>
      </c>
      <c r="E996" s="4" t="s">
        <v>2450</v>
      </c>
      <c r="F996" s="4">
        <v>70861</v>
      </c>
      <c r="H996" s="4">
        <f t="shared" si="57"/>
        <v>100070865</v>
      </c>
      <c r="I996" s="4" t="s">
        <v>2523</v>
      </c>
      <c r="K996" s="4" t="s">
        <v>1769</v>
      </c>
      <c r="N996" s="38">
        <v>11045</v>
      </c>
      <c r="Q996" s="50">
        <v>1</v>
      </c>
      <c r="U996" s="50">
        <v>76007</v>
      </c>
      <c r="Y996" s="4" t="s">
        <v>2524</v>
      </c>
    </row>
    <row r="997" spans="1:25">
      <c r="A997" s="4">
        <v>100070865</v>
      </c>
      <c r="B997" s="4">
        <v>7</v>
      </c>
      <c r="D997" s="4">
        <v>8</v>
      </c>
      <c r="E997" s="4" t="s">
        <v>2450</v>
      </c>
      <c r="F997" s="4">
        <v>70861</v>
      </c>
      <c r="H997" s="4">
        <f t="shared" si="57"/>
        <v>100070866</v>
      </c>
      <c r="I997" s="4" t="s">
        <v>2525</v>
      </c>
      <c r="K997" s="4" t="s">
        <v>1850</v>
      </c>
      <c r="N997" s="38">
        <v>11045</v>
      </c>
      <c r="Q997" s="50">
        <v>1</v>
      </c>
      <c r="U997" s="50">
        <v>76007</v>
      </c>
      <c r="Y997" s="4" t="s">
        <v>2526</v>
      </c>
    </row>
    <row r="998" spans="1:25">
      <c r="A998" s="4">
        <v>100070866</v>
      </c>
      <c r="B998" s="4">
        <v>7</v>
      </c>
      <c r="D998" s="4">
        <v>8</v>
      </c>
      <c r="E998" s="4" t="s">
        <v>2450</v>
      </c>
      <c r="F998" s="4">
        <v>70861</v>
      </c>
      <c r="H998" s="4">
        <f t="shared" si="57"/>
        <v>100070867</v>
      </c>
      <c r="I998" s="4" t="s">
        <v>2527</v>
      </c>
      <c r="K998" s="4" t="s">
        <v>1853</v>
      </c>
      <c r="N998" s="38">
        <v>11045</v>
      </c>
      <c r="Q998" s="50">
        <v>1</v>
      </c>
      <c r="U998" s="50">
        <v>76007</v>
      </c>
      <c r="Y998" s="4" t="s">
        <v>2528</v>
      </c>
    </row>
    <row r="999" spans="1:25">
      <c r="A999" s="4">
        <v>100070867</v>
      </c>
      <c r="B999" s="4">
        <v>7</v>
      </c>
      <c r="D999" s="4">
        <v>8</v>
      </c>
      <c r="E999" s="4" t="s">
        <v>2450</v>
      </c>
      <c r="F999" s="4">
        <v>70861</v>
      </c>
      <c r="H999" s="4">
        <f t="shared" si="57"/>
        <v>100070868</v>
      </c>
      <c r="I999" s="4" t="s">
        <v>2529</v>
      </c>
      <c r="K999" s="4" t="s">
        <v>1856</v>
      </c>
      <c r="N999" s="38">
        <v>11045</v>
      </c>
      <c r="Q999" s="50">
        <v>1</v>
      </c>
      <c r="U999" s="50">
        <v>76007</v>
      </c>
      <c r="Y999" s="4" t="s">
        <v>2530</v>
      </c>
    </row>
    <row r="1000" spans="1:25">
      <c r="A1000" s="4">
        <v>100070868</v>
      </c>
      <c r="B1000" s="4">
        <v>7</v>
      </c>
      <c r="D1000" s="4">
        <v>8</v>
      </c>
      <c r="E1000" s="4" t="s">
        <v>2450</v>
      </c>
      <c r="F1000" s="4">
        <v>70861</v>
      </c>
      <c r="I1000" s="4" t="s">
        <v>2531</v>
      </c>
      <c r="K1000" s="4" t="s">
        <v>1772</v>
      </c>
      <c r="N1000" s="38">
        <v>11045</v>
      </c>
      <c r="Q1000" s="50">
        <v>1</v>
      </c>
      <c r="U1000" s="50">
        <v>76007</v>
      </c>
      <c r="Y1000" s="4" t="s">
        <v>2532</v>
      </c>
    </row>
    <row r="1001" spans="1:25">
      <c r="A1001" s="4">
        <v>100070871</v>
      </c>
      <c r="B1001" s="4">
        <v>7</v>
      </c>
      <c r="D1001" s="4">
        <v>8</v>
      </c>
      <c r="E1001" s="4" t="s">
        <v>2450</v>
      </c>
      <c r="F1001" s="4">
        <v>70871</v>
      </c>
      <c r="H1001" s="4">
        <f t="shared" ref="H1001:H1005" si="58">A1002</f>
        <v>100070872</v>
      </c>
      <c r="I1001" s="4" t="s">
        <v>2533</v>
      </c>
      <c r="K1001" s="4" t="s">
        <v>1763</v>
      </c>
      <c r="N1001" s="38">
        <v>11045</v>
      </c>
      <c r="Q1001" s="50">
        <v>1</v>
      </c>
      <c r="U1001" s="50">
        <v>76008</v>
      </c>
      <c r="Y1001" s="4" t="s">
        <v>2534</v>
      </c>
    </row>
    <row r="1002" spans="1:25">
      <c r="A1002" s="4">
        <v>100070872</v>
      </c>
      <c r="B1002" s="4">
        <v>7</v>
      </c>
      <c r="D1002" s="4">
        <v>8</v>
      </c>
      <c r="E1002" s="4" t="s">
        <v>2450</v>
      </c>
      <c r="F1002" s="4">
        <v>70871</v>
      </c>
      <c r="H1002" s="4">
        <f t="shared" si="58"/>
        <v>100070873</v>
      </c>
      <c r="I1002" s="4" t="s">
        <v>2535</v>
      </c>
      <c r="K1002" s="4" t="s">
        <v>1766</v>
      </c>
      <c r="N1002" s="38">
        <v>11045</v>
      </c>
      <c r="Q1002" s="50">
        <v>1</v>
      </c>
      <c r="U1002" s="50">
        <v>76008</v>
      </c>
      <c r="Y1002" s="4" t="s">
        <v>2536</v>
      </c>
    </row>
    <row r="1003" spans="1:25">
      <c r="A1003" s="4">
        <v>100070873</v>
      </c>
      <c r="B1003" s="4">
        <v>7</v>
      </c>
      <c r="D1003" s="4">
        <v>8</v>
      </c>
      <c r="E1003" s="4" t="s">
        <v>2450</v>
      </c>
      <c r="F1003" s="4">
        <v>70871</v>
      </c>
      <c r="H1003" s="4">
        <f t="shared" si="58"/>
        <v>100070874</v>
      </c>
      <c r="I1003" s="4" t="s">
        <v>2537</v>
      </c>
      <c r="K1003" s="4" t="s">
        <v>1769</v>
      </c>
      <c r="N1003" s="38">
        <v>11045</v>
      </c>
      <c r="Q1003" s="50">
        <v>1</v>
      </c>
      <c r="U1003" s="50">
        <v>76008</v>
      </c>
      <c r="Y1003" s="4" t="s">
        <v>2538</v>
      </c>
    </row>
    <row r="1004" spans="1:25">
      <c r="A1004" s="4">
        <v>100070874</v>
      </c>
      <c r="B1004" s="4">
        <v>7</v>
      </c>
      <c r="D1004" s="4">
        <v>8</v>
      </c>
      <c r="E1004" s="4" t="s">
        <v>2450</v>
      </c>
      <c r="F1004" s="4">
        <v>70871</v>
      </c>
      <c r="H1004" s="4">
        <f t="shared" si="58"/>
        <v>100070875</v>
      </c>
      <c r="I1004" s="4" t="s">
        <v>2539</v>
      </c>
      <c r="K1004" s="4" t="s">
        <v>1772</v>
      </c>
      <c r="N1004" s="38">
        <v>11045</v>
      </c>
      <c r="Q1004" s="50">
        <v>1</v>
      </c>
      <c r="U1004" s="50">
        <v>76008</v>
      </c>
      <c r="Y1004" s="4" t="s">
        <v>2540</v>
      </c>
    </row>
    <row r="1005" spans="1:25">
      <c r="A1005" s="4">
        <v>100070875</v>
      </c>
      <c r="B1005" s="4">
        <v>7</v>
      </c>
      <c r="D1005" s="4">
        <v>8</v>
      </c>
      <c r="E1005" s="4" t="s">
        <v>2450</v>
      </c>
      <c r="F1005" s="4">
        <v>70871</v>
      </c>
      <c r="H1005" s="4">
        <f t="shared" si="58"/>
        <v>100070876</v>
      </c>
      <c r="I1005" s="4" t="s">
        <v>2541</v>
      </c>
      <c r="K1005" s="4" t="s">
        <v>1775</v>
      </c>
      <c r="N1005" s="38">
        <v>11045</v>
      </c>
      <c r="Q1005" s="50">
        <v>1</v>
      </c>
      <c r="U1005" s="50">
        <v>76008</v>
      </c>
      <c r="Y1005" s="4" t="s">
        <v>2542</v>
      </c>
    </row>
    <row r="1006" spans="1:25">
      <c r="A1006" s="4">
        <v>100070876</v>
      </c>
      <c r="B1006" s="4">
        <v>7</v>
      </c>
      <c r="D1006" s="4">
        <v>8</v>
      </c>
      <c r="E1006" s="4" t="s">
        <v>2450</v>
      </c>
      <c r="F1006" s="4">
        <v>70871</v>
      </c>
      <c r="I1006" s="4" t="s">
        <v>2543</v>
      </c>
      <c r="K1006" s="4" t="s">
        <v>1778</v>
      </c>
      <c r="N1006" s="38">
        <v>11045</v>
      </c>
      <c r="Q1006" s="50">
        <v>1</v>
      </c>
      <c r="U1006" s="50">
        <v>76008</v>
      </c>
      <c r="Y1006" s="4" t="s">
        <v>2544</v>
      </c>
    </row>
    <row r="1007" spans="1:25">
      <c r="A1007" s="4">
        <v>100070901</v>
      </c>
      <c r="B1007" s="4">
        <v>7</v>
      </c>
      <c r="C1007" s="4" t="s">
        <v>1760</v>
      </c>
      <c r="D1007" s="4">
        <v>9</v>
      </c>
      <c r="E1007" s="4" t="s">
        <v>2545</v>
      </c>
      <c r="F1007" s="4">
        <v>70901</v>
      </c>
      <c r="H1007" s="4">
        <f t="shared" ref="H1007:H1011" si="59">A1008</f>
        <v>100070902</v>
      </c>
      <c r="I1007" s="4" t="s">
        <v>1123</v>
      </c>
      <c r="K1007" s="4" t="s">
        <v>1763</v>
      </c>
      <c r="N1007" s="38">
        <v>3212</v>
      </c>
      <c r="Q1007" s="50">
        <v>1</v>
      </c>
      <c r="U1007" s="61">
        <v>76001</v>
      </c>
      <c r="Y1007" s="4" t="s">
        <v>2546</v>
      </c>
    </row>
    <row r="1008" spans="1:25">
      <c r="A1008" s="4">
        <v>100070902</v>
      </c>
      <c r="B1008" s="4">
        <v>7</v>
      </c>
      <c r="C1008" s="4" t="s">
        <v>1760</v>
      </c>
      <c r="D1008" s="4">
        <v>9</v>
      </c>
      <c r="E1008" s="4" t="s">
        <v>2545</v>
      </c>
      <c r="F1008" s="4">
        <v>70901</v>
      </c>
      <c r="H1008" s="4">
        <f t="shared" si="59"/>
        <v>100070903</v>
      </c>
      <c r="I1008" s="4" t="s">
        <v>1134</v>
      </c>
      <c r="K1008" s="4" t="s">
        <v>1766</v>
      </c>
      <c r="N1008" s="38">
        <v>3212</v>
      </c>
      <c r="Q1008" s="50">
        <v>1</v>
      </c>
      <c r="U1008" s="61">
        <v>76001</v>
      </c>
      <c r="Y1008" s="4" t="s">
        <v>2547</v>
      </c>
    </row>
    <row r="1009" spans="1:25">
      <c r="A1009" s="4">
        <v>100070903</v>
      </c>
      <c r="B1009" s="4">
        <v>7</v>
      </c>
      <c r="C1009" s="4" t="s">
        <v>1760</v>
      </c>
      <c r="D1009" s="4">
        <v>9</v>
      </c>
      <c r="E1009" s="4" t="s">
        <v>2545</v>
      </c>
      <c r="F1009" s="4">
        <v>70901</v>
      </c>
      <c r="H1009" s="4">
        <f t="shared" si="59"/>
        <v>100070904</v>
      </c>
      <c r="I1009" s="4" t="s">
        <v>1145</v>
      </c>
      <c r="K1009" s="4" t="s">
        <v>1769</v>
      </c>
      <c r="N1009" s="38">
        <v>3212</v>
      </c>
      <c r="Q1009" s="50">
        <v>1</v>
      </c>
      <c r="U1009" s="61">
        <v>76001</v>
      </c>
      <c r="Y1009" s="4" t="s">
        <v>2548</v>
      </c>
    </row>
    <row r="1010" spans="1:25">
      <c r="A1010" s="4">
        <v>100070904</v>
      </c>
      <c r="B1010" s="4">
        <v>7</v>
      </c>
      <c r="C1010" s="4" t="s">
        <v>1760</v>
      </c>
      <c r="D1010" s="4">
        <v>9</v>
      </c>
      <c r="E1010" s="4" t="s">
        <v>2545</v>
      </c>
      <c r="F1010" s="4">
        <v>70901</v>
      </c>
      <c r="H1010" s="4">
        <f t="shared" si="59"/>
        <v>100070905</v>
      </c>
      <c r="I1010" s="4" t="s">
        <v>1151</v>
      </c>
      <c r="K1010" s="4" t="s">
        <v>1772</v>
      </c>
      <c r="N1010" s="38">
        <v>3212</v>
      </c>
      <c r="Q1010" s="50">
        <v>1</v>
      </c>
      <c r="U1010" s="61">
        <v>76001</v>
      </c>
      <c r="Y1010" s="4" t="s">
        <v>2549</v>
      </c>
    </row>
    <row r="1011" spans="1:25">
      <c r="A1011" s="4">
        <v>100070905</v>
      </c>
      <c r="B1011" s="4">
        <v>7</v>
      </c>
      <c r="C1011" s="4" t="s">
        <v>1760</v>
      </c>
      <c r="D1011" s="4">
        <v>9</v>
      </c>
      <c r="E1011" s="4" t="s">
        <v>2545</v>
      </c>
      <c r="F1011" s="4">
        <v>70901</v>
      </c>
      <c r="H1011" s="4">
        <f t="shared" si="59"/>
        <v>100070906</v>
      </c>
      <c r="I1011" s="4" t="s">
        <v>2550</v>
      </c>
      <c r="K1011" s="4" t="s">
        <v>1775</v>
      </c>
      <c r="N1011" s="38">
        <v>3212</v>
      </c>
      <c r="Q1011" s="50">
        <v>1</v>
      </c>
      <c r="U1011" s="61">
        <v>76001</v>
      </c>
      <c r="Y1011" s="4" t="s">
        <v>2551</v>
      </c>
    </row>
    <row r="1012" spans="1:25">
      <c r="A1012" s="4">
        <v>100070906</v>
      </c>
      <c r="B1012" s="4">
        <v>7</v>
      </c>
      <c r="C1012" s="4" t="s">
        <v>1760</v>
      </c>
      <c r="D1012" s="4">
        <v>9</v>
      </c>
      <c r="E1012" s="4" t="s">
        <v>2545</v>
      </c>
      <c r="F1012" s="4">
        <v>70901</v>
      </c>
      <c r="I1012" s="4" t="s">
        <v>2552</v>
      </c>
      <c r="K1012" s="4" t="s">
        <v>1778</v>
      </c>
      <c r="N1012" s="38">
        <v>3212</v>
      </c>
      <c r="Q1012" s="50">
        <v>1</v>
      </c>
      <c r="U1012" s="61">
        <v>76001</v>
      </c>
      <c r="Y1012" s="4" t="s">
        <v>2553</v>
      </c>
    </row>
    <row r="1013" spans="1:25">
      <c r="A1013" s="4">
        <v>100070911</v>
      </c>
      <c r="B1013" s="4">
        <v>7</v>
      </c>
      <c r="D1013" s="4">
        <v>9</v>
      </c>
      <c r="E1013" s="4" t="s">
        <v>2545</v>
      </c>
      <c r="F1013" s="4">
        <v>70911</v>
      </c>
      <c r="H1013" s="4">
        <f t="shared" ref="H1013:H1017" si="60">A1014</f>
        <v>100070912</v>
      </c>
      <c r="I1013" s="4" t="s">
        <v>1126</v>
      </c>
      <c r="K1013" s="4" t="s">
        <v>1763</v>
      </c>
      <c r="N1013" s="38">
        <v>3309</v>
      </c>
      <c r="Q1013" s="50">
        <v>1</v>
      </c>
      <c r="U1013" s="50">
        <v>76002</v>
      </c>
      <c r="Y1013" s="4" t="s">
        <v>2554</v>
      </c>
    </row>
    <row r="1014" spans="1:25">
      <c r="A1014" s="4">
        <v>100070912</v>
      </c>
      <c r="B1014" s="4">
        <v>7</v>
      </c>
      <c r="D1014" s="4">
        <v>9</v>
      </c>
      <c r="E1014" s="4" t="s">
        <v>2545</v>
      </c>
      <c r="F1014" s="4">
        <v>70911</v>
      </c>
      <c r="H1014" s="4">
        <f t="shared" si="60"/>
        <v>100070913</v>
      </c>
      <c r="I1014" s="4" t="s">
        <v>1141</v>
      </c>
      <c r="K1014" s="4" t="s">
        <v>1766</v>
      </c>
      <c r="N1014" s="38">
        <v>3309</v>
      </c>
      <c r="Q1014" s="50">
        <v>1</v>
      </c>
      <c r="U1014" s="50">
        <v>76002</v>
      </c>
      <c r="Y1014" s="4" t="s">
        <v>2555</v>
      </c>
    </row>
    <row r="1015" spans="1:25">
      <c r="A1015" s="4">
        <v>100070913</v>
      </c>
      <c r="B1015" s="4">
        <v>7</v>
      </c>
      <c r="D1015" s="4">
        <v>9</v>
      </c>
      <c r="E1015" s="4" t="s">
        <v>2545</v>
      </c>
      <c r="F1015" s="4">
        <v>70911</v>
      </c>
      <c r="H1015" s="4">
        <f t="shared" si="60"/>
        <v>100070914</v>
      </c>
      <c r="I1015" s="4" t="s">
        <v>1154</v>
      </c>
      <c r="K1015" s="4" t="s">
        <v>1769</v>
      </c>
      <c r="N1015" s="38">
        <v>3309</v>
      </c>
      <c r="Q1015" s="50">
        <v>1</v>
      </c>
      <c r="U1015" s="50">
        <v>76002</v>
      </c>
      <c r="Y1015" s="4" t="s">
        <v>2556</v>
      </c>
    </row>
    <row r="1016" spans="1:25">
      <c r="A1016" s="4">
        <v>100070914</v>
      </c>
      <c r="B1016" s="4">
        <v>7</v>
      </c>
      <c r="D1016" s="4">
        <v>9</v>
      </c>
      <c r="E1016" s="4" t="s">
        <v>2545</v>
      </c>
      <c r="F1016" s="4">
        <v>70911</v>
      </c>
      <c r="H1016" s="4">
        <f t="shared" si="60"/>
        <v>100070915</v>
      </c>
      <c r="I1016" s="4" t="s">
        <v>2557</v>
      </c>
      <c r="K1016" s="4" t="s">
        <v>1772</v>
      </c>
      <c r="N1016" s="38">
        <v>3309</v>
      </c>
      <c r="Q1016" s="50">
        <v>1</v>
      </c>
      <c r="U1016" s="50">
        <v>76002</v>
      </c>
      <c r="Y1016" s="4" t="s">
        <v>2558</v>
      </c>
    </row>
    <row r="1017" spans="1:25">
      <c r="A1017" s="4">
        <v>100070915</v>
      </c>
      <c r="B1017" s="4">
        <v>7</v>
      </c>
      <c r="D1017" s="4">
        <v>9</v>
      </c>
      <c r="E1017" s="4" t="s">
        <v>2545</v>
      </c>
      <c r="F1017" s="4">
        <v>70911</v>
      </c>
      <c r="H1017" s="4">
        <f t="shared" si="60"/>
        <v>100070916</v>
      </c>
      <c r="I1017" s="4" t="s">
        <v>2559</v>
      </c>
      <c r="K1017" s="4" t="s">
        <v>1775</v>
      </c>
      <c r="N1017" s="38">
        <v>3309</v>
      </c>
      <c r="Q1017" s="50">
        <v>1</v>
      </c>
      <c r="U1017" s="50">
        <v>76002</v>
      </c>
      <c r="Y1017" s="4" t="s">
        <v>2560</v>
      </c>
    </row>
    <row r="1018" spans="1:25">
      <c r="A1018" s="4">
        <v>100070916</v>
      </c>
      <c r="B1018" s="4">
        <v>7</v>
      </c>
      <c r="D1018" s="4">
        <v>9</v>
      </c>
      <c r="E1018" s="4" t="s">
        <v>2545</v>
      </c>
      <c r="F1018" s="4">
        <v>70911</v>
      </c>
      <c r="I1018" s="4" t="s">
        <v>2561</v>
      </c>
      <c r="K1018" s="4" t="s">
        <v>1778</v>
      </c>
      <c r="N1018" s="38">
        <v>3309</v>
      </c>
      <c r="Q1018" s="50">
        <v>1</v>
      </c>
      <c r="U1018" s="50">
        <v>76002</v>
      </c>
      <c r="Y1018" s="4" t="s">
        <v>2562</v>
      </c>
    </row>
    <row r="1019" spans="1:25">
      <c r="A1019" s="4">
        <v>100070921</v>
      </c>
      <c r="B1019" s="4">
        <v>7</v>
      </c>
      <c r="D1019" s="4">
        <v>9</v>
      </c>
      <c r="E1019" s="4" t="s">
        <v>2545</v>
      </c>
      <c r="F1019" s="4">
        <v>70921</v>
      </c>
      <c r="H1019" s="4">
        <f t="shared" ref="H1019:H1023" si="61">A1020</f>
        <v>100070922</v>
      </c>
      <c r="I1019" s="4" t="s">
        <v>2563</v>
      </c>
      <c r="K1019" s="4" t="s">
        <v>1763</v>
      </c>
      <c r="N1019" s="38">
        <v>11044</v>
      </c>
      <c r="Q1019" s="50">
        <v>1</v>
      </c>
      <c r="U1019" s="50">
        <v>76003</v>
      </c>
      <c r="Y1019" s="4" t="s">
        <v>2564</v>
      </c>
    </row>
    <row r="1020" spans="1:25">
      <c r="A1020" s="4">
        <v>100070922</v>
      </c>
      <c r="B1020" s="4">
        <v>7</v>
      </c>
      <c r="D1020" s="4">
        <v>9</v>
      </c>
      <c r="E1020" s="4" t="s">
        <v>2545</v>
      </c>
      <c r="F1020" s="4">
        <v>70921</v>
      </c>
      <c r="H1020" s="4">
        <f t="shared" si="61"/>
        <v>100070923</v>
      </c>
      <c r="I1020" s="4" t="s">
        <v>2565</v>
      </c>
      <c r="K1020" s="4" t="s">
        <v>1766</v>
      </c>
      <c r="N1020" s="38">
        <v>11044</v>
      </c>
      <c r="Q1020" s="50">
        <v>1</v>
      </c>
      <c r="U1020" s="50">
        <v>76003</v>
      </c>
      <c r="Y1020" s="4" t="s">
        <v>2566</v>
      </c>
    </row>
    <row r="1021" spans="1:25">
      <c r="A1021" s="4">
        <v>100070923</v>
      </c>
      <c r="B1021" s="4">
        <v>7</v>
      </c>
      <c r="D1021" s="4">
        <v>9</v>
      </c>
      <c r="E1021" s="4" t="s">
        <v>2545</v>
      </c>
      <c r="F1021" s="4">
        <v>70921</v>
      </c>
      <c r="H1021" s="4">
        <f t="shared" si="61"/>
        <v>100070924</v>
      </c>
      <c r="I1021" s="4" t="s">
        <v>2567</v>
      </c>
      <c r="K1021" s="4" t="s">
        <v>1769</v>
      </c>
      <c r="N1021" s="38">
        <v>11044</v>
      </c>
      <c r="Q1021" s="50">
        <v>1</v>
      </c>
      <c r="U1021" s="50">
        <v>76003</v>
      </c>
      <c r="Y1021" s="4" t="s">
        <v>2568</v>
      </c>
    </row>
    <row r="1022" spans="1:25">
      <c r="A1022" s="4">
        <v>100070924</v>
      </c>
      <c r="B1022" s="4">
        <v>7</v>
      </c>
      <c r="D1022" s="4">
        <v>9</v>
      </c>
      <c r="E1022" s="4" t="s">
        <v>2545</v>
      </c>
      <c r="F1022" s="4">
        <v>70921</v>
      </c>
      <c r="H1022" s="4">
        <f t="shared" si="61"/>
        <v>100070925</v>
      </c>
      <c r="I1022" s="4" t="s">
        <v>2569</v>
      </c>
      <c r="K1022" s="4" t="s">
        <v>1772</v>
      </c>
      <c r="N1022" s="38">
        <v>11044</v>
      </c>
      <c r="Q1022" s="50">
        <v>1</v>
      </c>
      <c r="U1022" s="50">
        <v>76003</v>
      </c>
      <c r="Y1022" s="4" t="s">
        <v>2570</v>
      </c>
    </row>
    <row r="1023" spans="1:25">
      <c r="A1023" s="4">
        <v>100070925</v>
      </c>
      <c r="B1023" s="4">
        <v>7</v>
      </c>
      <c r="D1023" s="4">
        <v>9</v>
      </c>
      <c r="E1023" s="4" t="s">
        <v>2545</v>
      </c>
      <c r="F1023" s="4">
        <v>70921</v>
      </c>
      <c r="H1023" s="4">
        <f t="shared" si="61"/>
        <v>100070926</v>
      </c>
      <c r="I1023" s="4" t="s">
        <v>2571</v>
      </c>
      <c r="K1023" s="4" t="s">
        <v>1775</v>
      </c>
      <c r="N1023" s="38">
        <v>11044</v>
      </c>
      <c r="Q1023" s="50">
        <v>1</v>
      </c>
      <c r="U1023" s="50">
        <v>76003</v>
      </c>
      <c r="Y1023" s="4" t="s">
        <v>2572</v>
      </c>
    </row>
    <row r="1024" spans="1:25">
      <c r="A1024" s="4">
        <v>100070926</v>
      </c>
      <c r="B1024" s="4">
        <v>7</v>
      </c>
      <c r="D1024" s="4">
        <v>9</v>
      </c>
      <c r="E1024" s="4" t="s">
        <v>2545</v>
      </c>
      <c r="F1024" s="4">
        <v>70921</v>
      </c>
      <c r="I1024" s="4" t="s">
        <v>2573</v>
      </c>
      <c r="K1024" s="4" t="s">
        <v>1778</v>
      </c>
      <c r="N1024" s="38">
        <v>11044</v>
      </c>
      <c r="Q1024" s="50">
        <v>1</v>
      </c>
      <c r="U1024" s="50">
        <v>76003</v>
      </c>
      <c r="Y1024" s="4" t="s">
        <v>2574</v>
      </c>
    </row>
    <row r="1025" spans="1:25">
      <c r="A1025" s="4">
        <v>100070931</v>
      </c>
      <c r="B1025" s="4">
        <v>7</v>
      </c>
      <c r="D1025" s="4">
        <v>9</v>
      </c>
      <c r="E1025" s="4" t="s">
        <v>2545</v>
      </c>
      <c r="F1025" s="4">
        <v>70931</v>
      </c>
      <c r="H1025" s="4">
        <f t="shared" ref="H1025:H1029" si="62">A1026</f>
        <v>100070932</v>
      </c>
      <c r="I1025" s="4" t="s">
        <v>2575</v>
      </c>
      <c r="K1025" s="4" t="s">
        <v>1763</v>
      </c>
      <c r="N1025" s="38">
        <v>11044</v>
      </c>
      <c r="Q1025" s="50">
        <v>1</v>
      </c>
      <c r="U1025" s="50">
        <v>76004</v>
      </c>
      <c r="Y1025" s="4" t="s">
        <v>2576</v>
      </c>
    </row>
    <row r="1026" spans="1:25">
      <c r="A1026" s="4">
        <v>100070932</v>
      </c>
      <c r="B1026" s="4">
        <v>7</v>
      </c>
      <c r="D1026" s="4">
        <v>9</v>
      </c>
      <c r="E1026" s="4" t="s">
        <v>2545</v>
      </c>
      <c r="F1026" s="4">
        <v>70931</v>
      </c>
      <c r="H1026" s="4">
        <f t="shared" si="62"/>
        <v>100070933</v>
      </c>
      <c r="I1026" s="4" t="s">
        <v>2577</v>
      </c>
      <c r="K1026" s="4" t="s">
        <v>1766</v>
      </c>
      <c r="N1026" s="38">
        <v>11044</v>
      </c>
      <c r="Q1026" s="50">
        <v>1</v>
      </c>
      <c r="U1026" s="50">
        <v>76004</v>
      </c>
      <c r="Y1026" s="4" t="s">
        <v>2578</v>
      </c>
    </row>
    <row r="1027" spans="1:25">
      <c r="A1027" s="4">
        <v>100070933</v>
      </c>
      <c r="B1027" s="4">
        <v>7</v>
      </c>
      <c r="D1027" s="4">
        <v>9</v>
      </c>
      <c r="E1027" s="4" t="s">
        <v>2545</v>
      </c>
      <c r="F1027" s="4">
        <v>70931</v>
      </c>
      <c r="H1027" s="4">
        <f t="shared" si="62"/>
        <v>100070934</v>
      </c>
      <c r="I1027" s="4" t="s">
        <v>2579</v>
      </c>
      <c r="K1027" s="4" t="s">
        <v>1769</v>
      </c>
      <c r="N1027" s="38">
        <v>11044</v>
      </c>
      <c r="Q1027" s="50">
        <v>1</v>
      </c>
      <c r="U1027" s="50">
        <v>76004</v>
      </c>
      <c r="Y1027" s="4" t="s">
        <v>2580</v>
      </c>
    </row>
    <row r="1028" spans="1:25">
      <c r="A1028" s="4">
        <v>100070934</v>
      </c>
      <c r="B1028" s="4">
        <v>7</v>
      </c>
      <c r="D1028" s="4">
        <v>9</v>
      </c>
      <c r="E1028" s="4" t="s">
        <v>2545</v>
      </c>
      <c r="F1028" s="4">
        <v>70931</v>
      </c>
      <c r="H1028" s="4">
        <f t="shared" si="62"/>
        <v>100070935</v>
      </c>
      <c r="I1028" s="4" t="s">
        <v>2581</v>
      </c>
      <c r="K1028" s="4" t="s">
        <v>1772</v>
      </c>
      <c r="N1028" s="38">
        <v>11044</v>
      </c>
      <c r="Q1028" s="50">
        <v>1</v>
      </c>
      <c r="U1028" s="50">
        <v>76004</v>
      </c>
      <c r="Y1028" s="4" t="s">
        <v>2582</v>
      </c>
    </row>
    <row r="1029" spans="1:25">
      <c r="A1029" s="4">
        <v>100070935</v>
      </c>
      <c r="B1029" s="4">
        <v>7</v>
      </c>
      <c r="D1029" s="4">
        <v>9</v>
      </c>
      <c r="E1029" s="4" t="s">
        <v>2545</v>
      </c>
      <c r="F1029" s="4">
        <v>70931</v>
      </c>
      <c r="H1029" s="4">
        <f t="shared" si="62"/>
        <v>100070936</v>
      </c>
      <c r="I1029" s="4" t="s">
        <v>2583</v>
      </c>
      <c r="K1029" s="4" t="s">
        <v>1775</v>
      </c>
      <c r="N1029" s="38">
        <v>11044</v>
      </c>
      <c r="Q1029" s="50">
        <v>1</v>
      </c>
      <c r="U1029" s="50">
        <v>76004</v>
      </c>
      <c r="Y1029" s="4" t="s">
        <v>2584</v>
      </c>
    </row>
    <row r="1030" spans="1:25">
      <c r="A1030" s="4">
        <v>100070936</v>
      </c>
      <c r="B1030" s="4">
        <v>7</v>
      </c>
      <c r="D1030" s="4">
        <v>9</v>
      </c>
      <c r="E1030" s="4" t="s">
        <v>2545</v>
      </c>
      <c r="F1030" s="4">
        <v>70931</v>
      </c>
      <c r="I1030" s="4" t="s">
        <v>2585</v>
      </c>
      <c r="K1030" s="4" t="s">
        <v>1778</v>
      </c>
      <c r="N1030" s="38">
        <v>11044</v>
      </c>
      <c r="Q1030" s="50">
        <v>1</v>
      </c>
      <c r="U1030" s="50">
        <v>76004</v>
      </c>
      <c r="Y1030" s="4" t="s">
        <v>2586</v>
      </c>
    </row>
    <row r="1031" spans="1:25">
      <c r="A1031" s="4">
        <v>100070941</v>
      </c>
      <c r="B1031" s="4">
        <v>7</v>
      </c>
      <c r="D1031" s="4">
        <v>9</v>
      </c>
      <c r="E1031" s="4" t="s">
        <v>2545</v>
      </c>
      <c r="F1031" s="4">
        <v>70941</v>
      </c>
      <c r="H1031" s="4">
        <f t="shared" ref="H1031:H1035" si="63">A1032</f>
        <v>100070942</v>
      </c>
      <c r="I1031" s="4" t="s">
        <v>2587</v>
      </c>
      <c r="K1031" s="4" t="s">
        <v>1763</v>
      </c>
      <c r="N1031" s="38">
        <v>11044</v>
      </c>
      <c r="Q1031" s="50">
        <v>1</v>
      </c>
      <c r="U1031" s="50">
        <v>76005</v>
      </c>
      <c r="Y1031" s="4" t="s">
        <v>2588</v>
      </c>
    </row>
    <row r="1032" spans="1:25">
      <c r="A1032" s="4">
        <v>100070942</v>
      </c>
      <c r="B1032" s="4">
        <v>7</v>
      </c>
      <c r="D1032" s="4">
        <v>9</v>
      </c>
      <c r="E1032" s="4" t="s">
        <v>2545</v>
      </c>
      <c r="F1032" s="4">
        <v>70941</v>
      </c>
      <c r="H1032" s="4">
        <f t="shared" si="63"/>
        <v>100070943</v>
      </c>
      <c r="I1032" s="4" t="s">
        <v>2589</v>
      </c>
      <c r="K1032" s="4" t="s">
        <v>1766</v>
      </c>
      <c r="N1032" s="38">
        <v>11044</v>
      </c>
      <c r="Q1032" s="50">
        <v>1</v>
      </c>
      <c r="U1032" s="50">
        <v>76005</v>
      </c>
      <c r="Y1032" s="4" t="s">
        <v>2590</v>
      </c>
    </row>
    <row r="1033" spans="1:25">
      <c r="A1033" s="4">
        <v>100070943</v>
      </c>
      <c r="B1033" s="4">
        <v>7</v>
      </c>
      <c r="D1033" s="4">
        <v>9</v>
      </c>
      <c r="E1033" s="4" t="s">
        <v>2545</v>
      </c>
      <c r="F1033" s="4">
        <v>70941</v>
      </c>
      <c r="H1033" s="4">
        <f t="shared" si="63"/>
        <v>100070944</v>
      </c>
      <c r="I1033" s="4" t="s">
        <v>2591</v>
      </c>
      <c r="K1033" s="4" t="s">
        <v>1769</v>
      </c>
      <c r="N1033" s="38">
        <v>11044</v>
      </c>
      <c r="Q1033" s="50">
        <v>1</v>
      </c>
      <c r="U1033" s="50">
        <v>76005</v>
      </c>
      <c r="Y1033" s="4" t="s">
        <v>2592</v>
      </c>
    </row>
    <row r="1034" spans="1:25">
      <c r="A1034" s="4">
        <v>100070944</v>
      </c>
      <c r="B1034" s="4">
        <v>7</v>
      </c>
      <c r="D1034" s="4">
        <v>9</v>
      </c>
      <c r="E1034" s="4" t="s">
        <v>2545</v>
      </c>
      <c r="F1034" s="4">
        <v>70941</v>
      </c>
      <c r="H1034" s="4">
        <f t="shared" si="63"/>
        <v>100070945</v>
      </c>
      <c r="I1034" s="4" t="s">
        <v>2593</v>
      </c>
      <c r="K1034" s="4" t="s">
        <v>1772</v>
      </c>
      <c r="N1034" s="38">
        <v>11044</v>
      </c>
      <c r="Q1034" s="50">
        <v>1</v>
      </c>
      <c r="U1034" s="50">
        <v>76005</v>
      </c>
      <c r="Y1034" s="4" t="s">
        <v>2594</v>
      </c>
    </row>
    <row r="1035" spans="1:25">
      <c r="A1035" s="4">
        <v>100070945</v>
      </c>
      <c r="B1035" s="4">
        <v>7</v>
      </c>
      <c r="D1035" s="4">
        <v>9</v>
      </c>
      <c r="E1035" s="4" t="s">
        <v>2545</v>
      </c>
      <c r="F1035" s="4">
        <v>70941</v>
      </c>
      <c r="H1035" s="4">
        <f t="shared" si="63"/>
        <v>100070946</v>
      </c>
      <c r="I1035" s="4" t="s">
        <v>2595</v>
      </c>
      <c r="K1035" s="4" t="s">
        <v>1775</v>
      </c>
      <c r="N1035" s="38">
        <v>11044</v>
      </c>
      <c r="Q1035" s="50">
        <v>1</v>
      </c>
      <c r="U1035" s="50">
        <v>76005</v>
      </c>
      <c r="Y1035" s="4" t="s">
        <v>2596</v>
      </c>
    </row>
    <row r="1036" spans="1:25">
      <c r="A1036" s="4">
        <v>100070946</v>
      </c>
      <c r="B1036" s="4">
        <v>7</v>
      </c>
      <c r="D1036" s="4">
        <v>9</v>
      </c>
      <c r="E1036" s="4" t="s">
        <v>2545</v>
      </c>
      <c r="F1036" s="4">
        <v>70941</v>
      </c>
      <c r="I1036" s="4" t="s">
        <v>2597</v>
      </c>
      <c r="K1036" s="4" t="s">
        <v>1778</v>
      </c>
      <c r="N1036" s="38">
        <v>11044</v>
      </c>
      <c r="Q1036" s="50">
        <v>1</v>
      </c>
      <c r="U1036" s="50">
        <v>76005</v>
      </c>
      <c r="Y1036" s="4" t="s">
        <v>2598</v>
      </c>
    </row>
    <row r="1037" spans="1:25">
      <c r="A1037" s="4">
        <v>100070951</v>
      </c>
      <c r="B1037" s="4">
        <v>7</v>
      </c>
      <c r="D1037" s="4">
        <v>9</v>
      </c>
      <c r="E1037" s="4" t="s">
        <v>2545</v>
      </c>
      <c r="F1037" s="4">
        <v>70951</v>
      </c>
      <c r="H1037" s="4">
        <f t="shared" ref="H1037:H1041" si="64">A1038</f>
        <v>100070952</v>
      </c>
      <c r="I1037" s="4" t="s">
        <v>2599</v>
      </c>
      <c r="K1037" s="4" t="s">
        <v>1763</v>
      </c>
      <c r="N1037" s="38">
        <v>11044</v>
      </c>
      <c r="Q1037" s="50">
        <v>1</v>
      </c>
      <c r="U1037" s="50">
        <v>76006</v>
      </c>
      <c r="Y1037" s="4" t="s">
        <v>2600</v>
      </c>
    </row>
    <row r="1038" spans="1:25">
      <c r="A1038" s="4">
        <v>100070952</v>
      </c>
      <c r="B1038" s="4">
        <v>7</v>
      </c>
      <c r="D1038" s="4">
        <v>9</v>
      </c>
      <c r="E1038" s="4" t="s">
        <v>2545</v>
      </c>
      <c r="F1038" s="4">
        <v>70951</v>
      </c>
      <c r="H1038" s="4">
        <f t="shared" si="64"/>
        <v>100070953</v>
      </c>
      <c r="I1038" s="4" t="s">
        <v>2601</v>
      </c>
      <c r="K1038" s="4" t="s">
        <v>1766</v>
      </c>
      <c r="N1038" s="38">
        <v>11044</v>
      </c>
      <c r="Q1038" s="50">
        <v>1</v>
      </c>
      <c r="U1038" s="50">
        <v>76006</v>
      </c>
      <c r="Y1038" s="4" t="s">
        <v>2602</v>
      </c>
    </row>
    <row r="1039" spans="1:25">
      <c r="A1039" s="4">
        <v>100070953</v>
      </c>
      <c r="B1039" s="4">
        <v>7</v>
      </c>
      <c r="D1039" s="4">
        <v>9</v>
      </c>
      <c r="E1039" s="4" t="s">
        <v>2545</v>
      </c>
      <c r="F1039" s="4">
        <v>70951</v>
      </c>
      <c r="H1039" s="4">
        <f t="shared" si="64"/>
        <v>100070954</v>
      </c>
      <c r="I1039" s="4" t="s">
        <v>2603</v>
      </c>
      <c r="K1039" s="4" t="s">
        <v>1769</v>
      </c>
      <c r="N1039" s="38">
        <v>11044</v>
      </c>
      <c r="Q1039" s="50">
        <v>1</v>
      </c>
      <c r="U1039" s="50">
        <v>76006</v>
      </c>
      <c r="Y1039" s="4" t="s">
        <v>2604</v>
      </c>
    </row>
    <row r="1040" spans="1:25">
      <c r="A1040" s="4">
        <v>100070954</v>
      </c>
      <c r="B1040" s="4">
        <v>7</v>
      </c>
      <c r="D1040" s="4">
        <v>9</v>
      </c>
      <c r="E1040" s="4" t="s">
        <v>2545</v>
      </c>
      <c r="F1040" s="4">
        <v>70951</v>
      </c>
      <c r="H1040" s="4">
        <f t="shared" si="64"/>
        <v>100070955</v>
      </c>
      <c r="I1040" s="4" t="s">
        <v>2605</v>
      </c>
      <c r="K1040" s="4" t="s">
        <v>1772</v>
      </c>
      <c r="N1040" s="38">
        <v>11044</v>
      </c>
      <c r="Q1040" s="50">
        <v>1</v>
      </c>
      <c r="U1040" s="50">
        <v>76006</v>
      </c>
      <c r="Y1040" s="4" t="s">
        <v>2606</v>
      </c>
    </row>
    <row r="1041" spans="1:25">
      <c r="A1041" s="4">
        <v>100070955</v>
      </c>
      <c r="B1041" s="4">
        <v>7</v>
      </c>
      <c r="D1041" s="4">
        <v>9</v>
      </c>
      <c r="E1041" s="4" t="s">
        <v>2545</v>
      </c>
      <c r="F1041" s="4">
        <v>70951</v>
      </c>
      <c r="H1041" s="4">
        <f t="shared" si="64"/>
        <v>100070956</v>
      </c>
      <c r="I1041" s="4" t="s">
        <v>2607</v>
      </c>
      <c r="K1041" s="4" t="s">
        <v>1775</v>
      </c>
      <c r="N1041" s="38">
        <v>11044</v>
      </c>
      <c r="Q1041" s="50">
        <v>1</v>
      </c>
      <c r="U1041" s="50">
        <v>76006</v>
      </c>
      <c r="Y1041" s="4" t="s">
        <v>2608</v>
      </c>
    </row>
    <row r="1042" spans="1:25">
      <c r="A1042" s="4">
        <v>100070956</v>
      </c>
      <c r="B1042" s="4">
        <v>7</v>
      </c>
      <c r="D1042" s="4">
        <v>9</v>
      </c>
      <c r="E1042" s="4" t="s">
        <v>2545</v>
      </c>
      <c r="F1042" s="4">
        <v>70951</v>
      </c>
      <c r="I1042" s="4" t="s">
        <v>2609</v>
      </c>
      <c r="K1042" s="4" t="s">
        <v>1778</v>
      </c>
      <c r="N1042" s="38">
        <v>11044</v>
      </c>
      <c r="Q1042" s="50">
        <v>1</v>
      </c>
      <c r="U1042" s="50">
        <v>76006</v>
      </c>
      <c r="Y1042" s="4" t="s">
        <v>2610</v>
      </c>
    </row>
    <row r="1043" spans="1:25">
      <c r="A1043" s="4">
        <v>100070961</v>
      </c>
      <c r="B1043" s="4">
        <v>7</v>
      </c>
      <c r="D1043" s="4">
        <v>9</v>
      </c>
      <c r="E1043" s="4" t="s">
        <v>2545</v>
      </c>
      <c r="F1043" s="4">
        <v>70961</v>
      </c>
      <c r="H1043" s="4">
        <f t="shared" ref="H1043:H1049" si="65">A1044</f>
        <v>100070962</v>
      </c>
      <c r="I1043" s="4" t="s">
        <v>2611</v>
      </c>
      <c r="K1043" s="4" t="s">
        <v>1763</v>
      </c>
      <c r="N1043" s="38">
        <v>11044</v>
      </c>
      <c r="Q1043" s="50">
        <v>1</v>
      </c>
      <c r="U1043" s="50">
        <v>76007</v>
      </c>
      <c r="Y1043" s="4" t="s">
        <v>2612</v>
      </c>
    </row>
    <row r="1044" spans="1:25">
      <c r="A1044" s="4">
        <v>100070962</v>
      </c>
      <c r="B1044" s="4">
        <v>7</v>
      </c>
      <c r="D1044" s="4">
        <v>9</v>
      </c>
      <c r="E1044" s="4" t="s">
        <v>2545</v>
      </c>
      <c r="F1044" s="4">
        <v>70961</v>
      </c>
      <c r="H1044" s="4">
        <f t="shared" si="65"/>
        <v>100070963</v>
      </c>
      <c r="I1044" s="4" t="s">
        <v>2613</v>
      </c>
      <c r="K1044" s="4" t="s">
        <v>1766</v>
      </c>
      <c r="N1044" s="38">
        <v>11044</v>
      </c>
      <c r="Q1044" s="50">
        <v>1</v>
      </c>
      <c r="U1044" s="50">
        <v>76007</v>
      </c>
      <c r="Y1044" s="4" t="s">
        <v>2614</v>
      </c>
    </row>
    <row r="1045" spans="1:25">
      <c r="A1045" s="4">
        <v>100070963</v>
      </c>
      <c r="B1045" s="4">
        <v>7</v>
      </c>
      <c r="D1045" s="4">
        <v>9</v>
      </c>
      <c r="E1045" s="4" t="s">
        <v>2545</v>
      </c>
      <c r="F1045" s="4">
        <v>70961</v>
      </c>
      <c r="H1045" s="4">
        <f t="shared" si="65"/>
        <v>100070964</v>
      </c>
      <c r="I1045" s="4" t="s">
        <v>2615</v>
      </c>
      <c r="K1045" s="4" t="s">
        <v>1845</v>
      </c>
      <c r="N1045" s="38">
        <v>11044</v>
      </c>
      <c r="Q1045" s="50">
        <v>1</v>
      </c>
      <c r="U1045" s="50">
        <v>76007</v>
      </c>
      <c r="Y1045" s="4" t="s">
        <v>2616</v>
      </c>
    </row>
    <row r="1046" spans="1:25">
      <c r="A1046" s="4">
        <v>100070964</v>
      </c>
      <c r="B1046" s="4">
        <v>7</v>
      </c>
      <c r="D1046" s="4">
        <v>9</v>
      </c>
      <c r="E1046" s="4" t="s">
        <v>2545</v>
      </c>
      <c r="F1046" s="4">
        <v>70961</v>
      </c>
      <c r="H1046" s="4">
        <f t="shared" si="65"/>
        <v>100070965</v>
      </c>
      <c r="I1046" s="4" t="s">
        <v>2617</v>
      </c>
      <c r="K1046" s="4" t="s">
        <v>1769</v>
      </c>
      <c r="N1046" s="38">
        <v>11044</v>
      </c>
      <c r="Q1046" s="50">
        <v>1</v>
      </c>
      <c r="U1046" s="50">
        <v>76007</v>
      </c>
      <c r="Y1046" s="4" t="s">
        <v>2618</v>
      </c>
    </row>
    <row r="1047" spans="1:25">
      <c r="A1047" s="4">
        <v>100070965</v>
      </c>
      <c r="B1047" s="4">
        <v>7</v>
      </c>
      <c r="D1047" s="4">
        <v>9</v>
      </c>
      <c r="E1047" s="4" t="s">
        <v>2545</v>
      </c>
      <c r="F1047" s="4">
        <v>70961</v>
      </c>
      <c r="H1047" s="4">
        <f t="shared" si="65"/>
        <v>100070966</v>
      </c>
      <c r="I1047" s="4" t="s">
        <v>2619</v>
      </c>
      <c r="K1047" s="4" t="s">
        <v>1850</v>
      </c>
      <c r="N1047" s="38">
        <v>11044</v>
      </c>
      <c r="Q1047" s="50">
        <v>1</v>
      </c>
      <c r="U1047" s="50">
        <v>76007</v>
      </c>
      <c r="Y1047" s="4" t="s">
        <v>2620</v>
      </c>
    </row>
    <row r="1048" spans="1:25">
      <c r="A1048" s="4">
        <v>100070966</v>
      </c>
      <c r="B1048" s="4">
        <v>7</v>
      </c>
      <c r="D1048" s="4">
        <v>9</v>
      </c>
      <c r="E1048" s="4" t="s">
        <v>2545</v>
      </c>
      <c r="F1048" s="4">
        <v>70961</v>
      </c>
      <c r="H1048" s="4">
        <f t="shared" si="65"/>
        <v>100070967</v>
      </c>
      <c r="I1048" s="4" t="s">
        <v>2621</v>
      </c>
      <c r="K1048" s="4" t="s">
        <v>1853</v>
      </c>
      <c r="N1048" s="38">
        <v>11044</v>
      </c>
      <c r="Q1048" s="50">
        <v>1</v>
      </c>
      <c r="U1048" s="50">
        <v>76007</v>
      </c>
      <c r="Y1048" s="4" t="s">
        <v>2622</v>
      </c>
    </row>
    <row r="1049" spans="1:25">
      <c r="A1049" s="4">
        <v>100070967</v>
      </c>
      <c r="B1049" s="4">
        <v>7</v>
      </c>
      <c r="D1049" s="4">
        <v>9</v>
      </c>
      <c r="E1049" s="4" t="s">
        <v>2545</v>
      </c>
      <c r="F1049" s="4">
        <v>70961</v>
      </c>
      <c r="H1049" s="4">
        <f t="shared" si="65"/>
        <v>100070968</v>
      </c>
      <c r="I1049" s="4" t="s">
        <v>2623</v>
      </c>
      <c r="K1049" s="4" t="s">
        <v>1856</v>
      </c>
      <c r="N1049" s="38">
        <v>11044</v>
      </c>
      <c r="Q1049" s="50">
        <v>1</v>
      </c>
      <c r="U1049" s="50">
        <v>76007</v>
      </c>
      <c r="Y1049" s="4" t="s">
        <v>2624</v>
      </c>
    </row>
    <row r="1050" spans="1:25">
      <c r="A1050" s="4">
        <v>100070968</v>
      </c>
      <c r="B1050" s="4">
        <v>7</v>
      </c>
      <c r="D1050" s="4">
        <v>9</v>
      </c>
      <c r="E1050" s="4" t="s">
        <v>2545</v>
      </c>
      <c r="F1050" s="4">
        <v>70961</v>
      </c>
      <c r="I1050" s="4" t="s">
        <v>2625</v>
      </c>
      <c r="K1050" s="4" t="s">
        <v>1772</v>
      </c>
      <c r="N1050" s="38">
        <v>11044</v>
      </c>
      <c r="Q1050" s="50">
        <v>1</v>
      </c>
      <c r="U1050" s="50">
        <v>76007</v>
      </c>
      <c r="Y1050" s="4" t="s">
        <v>2626</v>
      </c>
    </row>
    <row r="1051" spans="1:25">
      <c r="A1051" s="4">
        <v>100070971</v>
      </c>
      <c r="B1051" s="4">
        <v>7</v>
      </c>
      <c r="D1051" s="4">
        <v>9</v>
      </c>
      <c r="E1051" s="4" t="s">
        <v>2545</v>
      </c>
      <c r="F1051" s="4">
        <v>70971</v>
      </c>
      <c r="H1051" s="4">
        <f t="shared" ref="H1051:H1055" si="66">A1052</f>
        <v>100070972</v>
      </c>
      <c r="I1051" s="4" t="s">
        <v>2627</v>
      </c>
      <c r="K1051" s="4" t="s">
        <v>1763</v>
      </c>
      <c r="N1051" s="38">
        <v>11044</v>
      </c>
      <c r="Q1051" s="50">
        <v>1</v>
      </c>
      <c r="U1051" s="50">
        <v>76008</v>
      </c>
      <c r="Y1051" s="4" t="s">
        <v>2628</v>
      </c>
    </row>
    <row r="1052" spans="1:25">
      <c r="A1052" s="4">
        <v>100070972</v>
      </c>
      <c r="B1052" s="4">
        <v>7</v>
      </c>
      <c r="D1052" s="4">
        <v>9</v>
      </c>
      <c r="E1052" s="4" t="s">
        <v>2545</v>
      </c>
      <c r="F1052" s="4">
        <v>70971</v>
      </c>
      <c r="H1052" s="4">
        <f t="shared" si="66"/>
        <v>100070973</v>
      </c>
      <c r="I1052" s="4" t="s">
        <v>2629</v>
      </c>
      <c r="K1052" s="4" t="s">
        <v>1766</v>
      </c>
      <c r="N1052" s="38">
        <v>11044</v>
      </c>
      <c r="Q1052" s="50">
        <v>1</v>
      </c>
      <c r="U1052" s="50">
        <v>76008</v>
      </c>
      <c r="Y1052" s="4" t="s">
        <v>2630</v>
      </c>
    </row>
    <row r="1053" spans="1:25">
      <c r="A1053" s="4">
        <v>100070973</v>
      </c>
      <c r="B1053" s="4">
        <v>7</v>
      </c>
      <c r="D1053" s="4">
        <v>9</v>
      </c>
      <c r="E1053" s="4" t="s">
        <v>2545</v>
      </c>
      <c r="F1053" s="4">
        <v>70971</v>
      </c>
      <c r="H1053" s="4">
        <f t="shared" si="66"/>
        <v>100070974</v>
      </c>
      <c r="I1053" s="4" t="s">
        <v>2631</v>
      </c>
      <c r="K1053" s="4" t="s">
        <v>1769</v>
      </c>
      <c r="N1053" s="38">
        <v>11044</v>
      </c>
      <c r="Q1053" s="50">
        <v>1</v>
      </c>
      <c r="U1053" s="50">
        <v>76008</v>
      </c>
      <c r="Y1053" s="4" t="s">
        <v>2632</v>
      </c>
    </row>
    <row r="1054" spans="1:25">
      <c r="A1054" s="4">
        <v>100070974</v>
      </c>
      <c r="B1054" s="4">
        <v>7</v>
      </c>
      <c r="D1054" s="4">
        <v>9</v>
      </c>
      <c r="E1054" s="4" t="s">
        <v>2545</v>
      </c>
      <c r="F1054" s="4">
        <v>70971</v>
      </c>
      <c r="H1054" s="4">
        <f t="shared" si="66"/>
        <v>100070975</v>
      </c>
      <c r="I1054" s="4" t="s">
        <v>2633</v>
      </c>
      <c r="K1054" s="4" t="s">
        <v>1772</v>
      </c>
      <c r="N1054" s="38">
        <v>11044</v>
      </c>
      <c r="Q1054" s="50">
        <v>1</v>
      </c>
      <c r="U1054" s="50">
        <v>76008</v>
      </c>
      <c r="Y1054" s="4" t="s">
        <v>2634</v>
      </c>
    </row>
    <row r="1055" spans="1:25">
      <c r="A1055" s="4">
        <v>100070975</v>
      </c>
      <c r="B1055" s="4">
        <v>7</v>
      </c>
      <c r="D1055" s="4">
        <v>9</v>
      </c>
      <c r="E1055" s="4" t="s">
        <v>2545</v>
      </c>
      <c r="F1055" s="4">
        <v>70971</v>
      </c>
      <c r="H1055" s="4">
        <f t="shared" si="66"/>
        <v>100070976</v>
      </c>
      <c r="I1055" s="4" t="s">
        <v>2635</v>
      </c>
      <c r="K1055" s="4" t="s">
        <v>1775</v>
      </c>
      <c r="N1055" s="38">
        <v>11044</v>
      </c>
      <c r="Q1055" s="50">
        <v>1</v>
      </c>
      <c r="U1055" s="50">
        <v>76008</v>
      </c>
      <c r="Y1055" s="4" t="s">
        <v>2636</v>
      </c>
    </row>
    <row r="1056" spans="1:25">
      <c r="A1056" s="4">
        <v>100070976</v>
      </c>
      <c r="B1056" s="4">
        <v>7</v>
      </c>
      <c r="D1056" s="4">
        <v>9</v>
      </c>
      <c r="E1056" s="4" t="s">
        <v>2545</v>
      </c>
      <c r="F1056" s="4">
        <v>70971</v>
      </c>
      <c r="I1056" s="4" t="s">
        <v>2637</v>
      </c>
      <c r="K1056" s="4" t="s">
        <v>1778</v>
      </c>
      <c r="N1056" s="38">
        <v>11044</v>
      </c>
      <c r="Q1056" s="50">
        <v>1</v>
      </c>
      <c r="U1056" s="50">
        <v>76008</v>
      </c>
      <c r="Y1056" s="4" t="s">
        <v>2638</v>
      </c>
    </row>
    <row r="1057" spans="1:25">
      <c r="A1057" s="4">
        <v>100071001</v>
      </c>
      <c r="B1057" s="4">
        <v>7</v>
      </c>
      <c r="C1057" s="4" t="s">
        <v>1760</v>
      </c>
      <c r="D1057" s="4">
        <v>10</v>
      </c>
      <c r="E1057" s="4" t="s">
        <v>94</v>
      </c>
      <c r="F1057" s="4">
        <v>71001</v>
      </c>
      <c r="H1057" s="4">
        <f t="shared" ref="H1057:H1061" si="67">A1058</f>
        <v>100071002</v>
      </c>
      <c r="I1057" s="4" t="s">
        <v>2639</v>
      </c>
      <c r="K1057" s="4" t="s">
        <v>1763</v>
      </c>
      <c r="N1057" s="38">
        <v>3203</v>
      </c>
      <c r="Q1057" s="50">
        <v>1</v>
      </c>
      <c r="U1057" s="50">
        <v>76001</v>
      </c>
      <c r="Y1057" s="4" t="s">
        <v>2640</v>
      </c>
    </row>
    <row r="1058" spans="1:25">
      <c r="A1058" s="4">
        <v>100071002</v>
      </c>
      <c r="B1058" s="4">
        <v>7</v>
      </c>
      <c r="C1058" s="4" t="s">
        <v>1760</v>
      </c>
      <c r="D1058" s="4">
        <v>10</v>
      </c>
      <c r="E1058" s="4" t="s">
        <v>94</v>
      </c>
      <c r="F1058" s="4">
        <v>71001</v>
      </c>
      <c r="H1058" s="4">
        <f t="shared" si="67"/>
        <v>100071003</v>
      </c>
      <c r="I1058" s="4" t="s">
        <v>2641</v>
      </c>
      <c r="K1058" s="4" t="s">
        <v>1766</v>
      </c>
      <c r="N1058" s="38">
        <v>3203</v>
      </c>
      <c r="Q1058" s="50">
        <v>1</v>
      </c>
      <c r="U1058" s="50">
        <v>76001</v>
      </c>
      <c r="Y1058" s="4" t="s">
        <v>2642</v>
      </c>
    </row>
    <row r="1059" spans="1:25">
      <c r="A1059" s="4">
        <v>100071003</v>
      </c>
      <c r="B1059" s="4">
        <v>7</v>
      </c>
      <c r="C1059" s="4" t="s">
        <v>1760</v>
      </c>
      <c r="D1059" s="4">
        <v>10</v>
      </c>
      <c r="E1059" s="4" t="s">
        <v>94</v>
      </c>
      <c r="F1059" s="4">
        <v>71001</v>
      </c>
      <c r="H1059" s="4">
        <f t="shared" si="67"/>
        <v>100071004</v>
      </c>
      <c r="I1059" s="4" t="s">
        <v>2643</v>
      </c>
      <c r="K1059" s="4" t="s">
        <v>1769</v>
      </c>
      <c r="N1059" s="38">
        <v>3203</v>
      </c>
      <c r="Q1059" s="50">
        <v>1</v>
      </c>
      <c r="U1059" s="50">
        <v>76001</v>
      </c>
      <c r="Y1059" s="4" t="s">
        <v>2644</v>
      </c>
    </row>
    <row r="1060" spans="1:25">
      <c r="A1060" s="4">
        <v>100071004</v>
      </c>
      <c r="B1060" s="4">
        <v>7</v>
      </c>
      <c r="C1060" s="4" t="s">
        <v>1760</v>
      </c>
      <c r="D1060" s="4">
        <v>10</v>
      </c>
      <c r="E1060" s="4" t="s">
        <v>94</v>
      </c>
      <c r="F1060" s="4">
        <v>71001</v>
      </c>
      <c r="H1060" s="4">
        <f t="shared" si="67"/>
        <v>100071005</v>
      </c>
      <c r="I1060" s="4" t="s">
        <v>2645</v>
      </c>
      <c r="K1060" s="4" t="s">
        <v>1772</v>
      </c>
      <c r="N1060" s="38">
        <v>3203</v>
      </c>
      <c r="Q1060" s="50">
        <v>1</v>
      </c>
      <c r="U1060" s="50">
        <v>76001</v>
      </c>
      <c r="Y1060" s="4" t="s">
        <v>2646</v>
      </c>
    </row>
    <row r="1061" spans="1:25">
      <c r="A1061" s="4">
        <v>100071005</v>
      </c>
      <c r="B1061" s="4">
        <v>7</v>
      </c>
      <c r="C1061" s="4" t="s">
        <v>1760</v>
      </c>
      <c r="D1061" s="4">
        <v>10</v>
      </c>
      <c r="E1061" s="4" t="s">
        <v>94</v>
      </c>
      <c r="F1061" s="4">
        <v>71001</v>
      </c>
      <c r="H1061" s="4">
        <f t="shared" si="67"/>
        <v>100071006</v>
      </c>
      <c r="I1061" s="4" t="s">
        <v>2647</v>
      </c>
      <c r="K1061" s="4" t="s">
        <v>1775</v>
      </c>
      <c r="N1061" s="38">
        <v>3203</v>
      </c>
      <c r="Q1061" s="50">
        <v>1</v>
      </c>
      <c r="U1061" s="50">
        <v>76001</v>
      </c>
      <c r="Y1061" s="4" t="s">
        <v>2648</v>
      </c>
    </row>
    <row r="1062" spans="1:25">
      <c r="A1062" s="4">
        <v>100071006</v>
      </c>
      <c r="B1062" s="4">
        <v>7</v>
      </c>
      <c r="C1062" s="4" t="s">
        <v>1760</v>
      </c>
      <c r="D1062" s="4">
        <v>10</v>
      </c>
      <c r="E1062" s="4" t="s">
        <v>94</v>
      </c>
      <c r="F1062" s="4">
        <v>71001</v>
      </c>
      <c r="I1062" s="4" t="s">
        <v>2649</v>
      </c>
      <c r="K1062" s="4" t="s">
        <v>1778</v>
      </c>
      <c r="N1062" s="38">
        <v>3203</v>
      </c>
      <c r="Q1062" s="50">
        <v>1</v>
      </c>
      <c r="U1062" s="50">
        <v>76001</v>
      </c>
      <c r="Y1062" s="4" t="s">
        <v>2650</v>
      </c>
    </row>
    <row r="1063" spans="1:25">
      <c r="A1063" s="4">
        <v>100071011</v>
      </c>
      <c r="B1063" s="4">
        <v>7</v>
      </c>
      <c r="D1063" s="4">
        <v>10</v>
      </c>
      <c r="E1063" s="4" t="s">
        <v>94</v>
      </c>
      <c r="F1063" s="4">
        <v>71011</v>
      </c>
      <c r="H1063" s="4">
        <f t="shared" ref="H1063:H1067" si="68">A1064</f>
        <v>100071012</v>
      </c>
      <c r="I1063" s="4" t="s">
        <v>2651</v>
      </c>
      <c r="K1063" s="4" t="s">
        <v>1763</v>
      </c>
      <c r="N1063" s="38">
        <v>3303</v>
      </c>
      <c r="Q1063" s="50">
        <v>1</v>
      </c>
      <c r="U1063" s="50">
        <v>76002</v>
      </c>
      <c r="Y1063" s="4" t="s">
        <v>2652</v>
      </c>
    </row>
    <row r="1064" spans="1:25">
      <c r="A1064" s="4">
        <v>100071012</v>
      </c>
      <c r="B1064" s="4">
        <v>7</v>
      </c>
      <c r="D1064" s="4">
        <v>10</v>
      </c>
      <c r="E1064" s="4" t="s">
        <v>94</v>
      </c>
      <c r="F1064" s="4">
        <v>71011</v>
      </c>
      <c r="H1064" s="4">
        <f t="shared" si="68"/>
        <v>100071013</v>
      </c>
      <c r="I1064" s="4" t="s">
        <v>2653</v>
      </c>
      <c r="K1064" s="4" t="s">
        <v>1766</v>
      </c>
      <c r="N1064" s="38">
        <v>3303</v>
      </c>
      <c r="Q1064" s="50">
        <v>1</v>
      </c>
      <c r="U1064" s="50">
        <v>76002</v>
      </c>
      <c r="Y1064" s="4" t="s">
        <v>2654</v>
      </c>
    </row>
    <row r="1065" spans="1:25">
      <c r="A1065" s="4">
        <v>100071013</v>
      </c>
      <c r="B1065" s="4">
        <v>7</v>
      </c>
      <c r="D1065" s="4">
        <v>10</v>
      </c>
      <c r="E1065" s="4" t="s">
        <v>94</v>
      </c>
      <c r="F1065" s="4">
        <v>71011</v>
      </c>
      <c r="H1065" s="4">
        <f t="shared" si="68"/>
        <v>100071014</v>
      </c>
      <c r="I1065" s="4" t="s">
        <v>2655</v>
      </c>
      <c r="K1065" s="4" t="s">
        <v>1769</v>
      </c>
      <c r="N1065" s="38">
        <v>3303</v>
      </c>
      <c r="Q1065" s="50">
        <v>1</v>
      </c>
      <c r="U1065" s="50">
        <v>76002</v>
      </c>
      <c r="Y1065" s="4" t="s">
        <v>2656</v>
      </c>
    </row>
    <row r="1066" spans="1:25">
      <c r="A1066" s="4">
        <v>100071014</v>
      </c>
      <c r="B1066" s="4">
        <v>7</v>
      </c>
      <c r="D1066" s="4">
        <v>10</v>
      </c>
      <c r="E1066" s="4" t="s">
        <v>94</v>
      </c>
      <c r="F1066" s="4">
        <v>71011</v>
      </c>
      <c r="H1066" s="4">
        <f t="shared" si="68"/>
        <v>100071015</v>
      </c>
      <c r="I1066" s="4" t="s">
        <v>2657</v>
      </c>
      <c r="K1066" s="4" t="s">
        <v>1772</v>
      </c>
      <c r="N1066" s="38">
        <v>3303</v>
      </c>
      <c r="Q1066" s="50">
        <v>1</v>
      </c>
      <c r="U1066" s="50">
        <v>76002</v>
      </c>
      <c r="Y1066" s="4" t="s">
        <v>2658</v>
      </c>
    </row>
    <row r="1067" spans="1:25">
      <c r="A1067" s="4">
        <v>100071015</v>
      </c>
      <c r="B1067" s="4">
        <v>7</v>
      </c>
      <c r="D1067" s="4">
        <v>10</v>
      </c>
      <c r="E1067" s="4" t="s">
        <v>94</v>
      </c>
      <c r="F1067" s="4">
        <v>71011</v>
      </c>
      <c r="H1067" s="4">
        <f t="shared" si="68"/>
        <v>100071016</v>
      </c>
      <c r="I1067" s="4" t="s">
        <v>2659</v>
      </c>
      <c r="K1067" s="4" t="s">
        <v>1775</v>
      </c>
      <c r="N1067" s="38">
        <v>3303</v>
      </c>
      <c r="Q1067" s="50">
        <v>1</v>
      </c>
      <c r="U1067" s="50">
        <v>76002</v>
      </c>
      <c r="Y1067" s="4" t="s">
        <v>2660</v>
      </c>
    </row>
    <row r="1068" spans="1:25">
      <c r="A1068" s="4">
        <v>100071016</v>
      </c>
      <c r="B1068" s="4">
        <v>7</v>
      </c>
      <c r="D1068" s="4">
        <v>10</v>
      </c>
      <c r="E1068" s="4" t="s">
        <v>94</v>
      </c>
      <c r="F1068" s="4">
        <v>71011</v>
      </c>
      <c r="I1068" s="4" t="s">
        <v>2661</v>
      </c>
      <c r="K1068" s="4" t="s">
        <v>1778</v>
      </c>
      <c r="N1068" s="38">
        <v>3303</v>
      </c>
      <c r="Q1068" s="50">
        <v>1</v>
      </c>
      <c r="U1068" s="50">
        <v>76002</v>
      </c>
      <c r="Y1068" s="4" t="s">
        <v>2662</v>
      </c>
    </row>
    <row r="1069" spans="1:25">
      <c r="A1069" s="4">
        <v>100071021</v>
      </c>
      <c r="B1069" s="4">
        <v>7</v>
      </c>
      <c r="D1069" s="4">
        <v>10</v>
      </c>
      <c r="E1069" s="4" t="s">
        <v>94</v>
      </c>
      <c r="F1069" s="4">
        <v>71021</v>
      </c>
      <c r="H1069" s="4">
        <f t="shared" ref="H1069:H1073" si="69">A1070</f>
        <v>100071022</v>
      </c>
      <c r="I1069" s="4" t="s">
        <v>2663</v>
      </c>
      <c r="K1069" s="4" t="s">
        <v>1763</v>
      </c>
      <c r="N1069" s="38">
        <v>11007</v>
      </c>
      <c r="Q1069" s="50">
        <v>1</v>
      </c>
      <c r="U1069" s="50">
        <v>76003</v>
      </c>
      <c r="Y1069" s="4" t="s">
        <v>2664</v>
      </c>
    </row>
    <row r="1070" spans="1:25">
      <c r="A1070" s="4">
        <v>100071022</v>
      </c>
      <c r="B1070" s="4">
        <v>7</v>
      </c>
      <c r="D1070" s="4">
        <v>10</v>
      </c>
      <c r="E1070" s="4" t="s">
        <v>94</v>
      </c>
      <c r="F1070" s="4">
        <v>71021</v>
      </c>
      <c r="H1070" s="4">
        <f t="shared" si="69"/>
        <v>100071023</v>
      </c>
      <c r="I1070" s="4" t="s">
        <v>2665</v>
      </c>
      <c r="K1070" s="4" t="s">
        <v>1766</v>
      </c>
      <c r="N1070" s="38">
        <v>11007</v>
      </c>
      <c r="Q1070" s="50">
        <v>1</v>
      </c>
      <c r="U1070" s="50">
        <v>76003</v>
      </c>
      <c r="Y1070" s="4" t="s">
        <v>2666</v>
      </c>
    </row>
    <row r="1071" spans="1:25">
      <c r="A1071" s="4">
        <v>100071023</v>
      </c>
      <c r="B1071" s="4">
        <v>7</v>
      </c>
      <c r="D1071" s="4">
        <v>10</v>
      </c>
      <c r="E1071" s="4" t="s">
        <v>94</v>
      </c>
      <c r="F1071" s="4">
        <v>71021</v>
      </c>
      <c r="H1071" s="4">
        <f t="shared" si="69"/>
        <v>100071024</v>
      </c>
      <c r="I1071" s="4" t="s">
        <v>2667</v>
      </c>
      <c r="K1071" s="4" t="s">
        <v>1769</v>
      </c>
      <c r="N1071" s="38">
        <v>11007</v>
      </c>
      <c r="Q1071" s="50">
        <v>1</v>
      </c>
      <c r="U1071" s="50">
        <v>76003</v>
      </c>
      <c r="Y1071" s="4" t="s">
        <v>2668</v>
      </c>
    </row>
    <row r="1072" spans="1:25">
      <c r="A1072" s="4">
        <v>100071024</v>
      </c>
      <c r="B1072" s="4">
        <v>7</v>
      </c>
      <c r="D1072" s="4">
        <v>10</v>
      </c>
      <c r="E1072" s="4" t="s">
        <v>94</v>
      </c>
      <c r="F1072" s="4">
        <v>71021</v>
      </c>
      <c r="H1072" s="4">
        <f t="shared" si="69"/>
        <v>100071025</v>
      </c>
      <c r="I1072" s="4" t="s">
        <v>2669</v>
      </c>
      <c r="K1072" s="4" t="s">
        <v>1772</v>
      </c>
      <c r="N1072" s="38">
        <v>11007</v>
      </c>
      <c r="Q1072" s="50">
        <v>1</v>
      </c>
      <c r="U1072" s="50">
        <v>76003</v>
      </c>
      <c r="Y1072" s="4" t="s">
        <v>2670</v>
      </c>
    </row>
    <row r="1073" spans="1:25">
      <c r="A1073" s="4">
        <v>100071025</v>
      </c>
      <c r="B1073" s="4">
        <v>7</v>
      </c>
      <c r="D1073" s="4">
        <v>10</v>
      </c>
      <c r="E1073" s="4" t="s">
        <v>94</v>
      </c>
      <c r="F1073" s="4">
        <v>71021</v>
      </c>
      <c r="H1073" s="4">
        <f t="shared" si="69"/>
        <v>100071026</v>
      </c>
      <c r="I1073" s="4" t="s">
        <v>2671</v>
      </c>
      <c r="K1073" s="4" t="s">
        <v>1775</v>
      </c>
      <c r="N1073" s="38">
        <v>11007</v>
      </c>
      <c r="Q1073" s="50">
        <v>1</v>
      </c>
      <c r="U1073" s="50">
        <v>76003</v>
      </c>
      <c r="Y1073" s="4" t="s">
        <v>2672</v>
      </c>
    </row>
    <row r="1074" spans="1:25">
      <c r="A1074" s="4">
        <v>100071026</v>
      </c>
      <c r="B1074" s="4">
        <v>7</v>
      </c>
      <c r="D1074" s="4">
        <v>10</v>
      </c>
      <c r="E1074" s="4" t="s">
        <v>94</v>
      </c>
      <c r="F1074" s="4">
        <v>71021</v>
      </c>
      <c r="I1074" s="4" t="s">
        <v>2673</v>
      </c>
      <c r="K1074" s="4" t="s">
        <v>1778</v>
      </c>
      <c r="N1074" s="38">
        <v>11007</v>
      </c>
      <c r="Q1074" s="50">
        <v>1</v>
      </c>
      <c r="U1074" s="50">
        <v>76003</v>
      </c>
      <c r="Y1074" s="4" t="s">
        <v>2674</v>
      </c>
    </row>
    <row r="1075" spans="1:25">
      <c r="A1075" s="4">
        <v>100071031</v>
      </c>
      <c r="B1075" s="4">
        <v>7</v>
      </c>
      <c r="D1075" s="4">
        <v>10</v>
      </c>
      <c r="E1075" s="4" t="s">
        <v>94</v>
      </c>
      <c r="F1075" s="4">
        <v>71031</v>
      </c>
      <c r="H1075" s="4">
        <f t="shared" ref="H1075:H1079" si="70">A1076</f>
        <v>100071032</v>
      </c>
      <c r="I1075" s="4" t="s">
        <v>2675</v>
      </c>
      <c r="K1075" s="4" t="s">
        <v>1763</v>
      </c>
      <c r="N1075" s="38">
        <v>11007</v>
      </c>
      <c r="Q1075" s="50">
        <v>1</v>
      </c>
      <c r="U1075" s="50">
        <v>76004</v>
      </c>
      <c r="Y1075" s="4" t="s">
        <v>2676</v>
      </c>
    </row>
    <row r="1076" spans="1:25">
      <c r="A1076" s="4">
        <v>100071032</v>
      </c>
      <c r="B1076" s="4">
        <v>7</v>
      </c>
      <c r="D1076" s="4">
        <v>10</v>
      </c>
      <c r="E1076" s="4" t="s">
        <v>94</v>
      </c>
      <c r="F1076" s="4">
        <v>71031</v>
      </c>
      <c r="H1076" s="4">
        <f t="shared" si="70"/>
        <v>100071033</v>
      </c>
      <c r="I1076" s="4" t="s">
        <v>2677</v>
      </c>
      <c r="K1076" s="4" t="s">
        <v>1766</v>
      </c>
      <c r="N1076" s="38">
        <v>11007</v>
      </c>
      <c r="Q1076" s="50">
        <v>1</v>
      </c>
      <c r="U1076" s="50">
        <v>76004</v>
      </c>
      <c r="Y1076" s="4" t="s">
        <v>2678</v>
      </c>
    </row>
    <row r="1077" spans="1:25">
      <c r="A1077" s="4">
        <v>100071033</v>
      </c>
      <c r="B1077" s="4">
        <v>7</v>
      </c>
      <c r="D1077" s="4">
        <v>10</v>
      </c>
      <c r="E1077" s="4" t="s">
        <v>94</v>
      </c>
      <c r="F1077" s="4">
        <v>71031</v>
      </c>
      <c r="H1077" s="4">
        <f t="shared" si="70"/>
        <v>100071034</v>
      </c>
      <c r="I1077" s="4" t="s">
        <v>2679</v>
      </c>
      <c r="K1077" s="4" t="s">
        <v>1769</v>
      </c>
      <c r="N1077" s="38">
        <v>11007</v>
      </c>
      <c r="Q1077" s="50">
        <v>1</v>
      </c>
      <c r="U1077" s="50">
        <v>76004</v>
      </c>
      <c r="Y1077" s="4" t="s">
        <v>2680</v>
      </c>
    </row>
    <row r="1078" spans="1:25">
      <c r="A1078" s="4">
        <v>100071034</v>
      </c>
      <c r="B1078" s="4">
        <v>7</v>
      </c>
      <c r="D1078" s="4">
        <v>10</v>
      </c>
      <c r="E1078" s="4" t="s">
        <v>94</v>
      </c>
      <c r="F1078" s="4">
        <v>71031</v>
      </c>
      <c r="H1078" s="4">
        <f t="shared" si="70"/>
        <v>100071035</v>
      </c>
      <c r="I1078" s="4" t="s">
        <v>2681</v>
      </c>
      <c r="K1078" s="4" t="s">
        <v>1772</v>
      </c>
      <c r="N1078" s="38">
        <v>11007</v>
      </c>
      <c r="Q1078" s="50">
        <v>1</v>
      </c>
      <c r="U1078" s="50">
        <v>76004</v>
      </c>
      <c r="Y1078" s="4" t="s">
        <v>2682</v>
      </c>
    </row>
    <row r="1079" spans="1:25">
      <c r="A1079" s="4">
        <v>100071035</v>
      </c>
      <c r="B1079" s="4">
        <v>7</v>
      </c>
      <c r="D1079" s="4">
        <v>10</v>
      </c>
      <c r="E1079" s="4" t="s">
        <v>94</v>
      </c>
      <c r="F1079" s="4">
        <v>71031</v>
      </c>
      <c r="H1079" s="4">
        <f t="shared" si="70"/>
        <v>100071036</v>
      </c>
      <c r="I1079" s="4" t="s">
        <v>2683</v>
      </c>
      <c r="K1079" s="4" t="s">
        <v>1775</v>
      </c>
      <c r="N1079" s="38">
        <v>11007</v>
      </c>
      <c r="Q1079" s="50">
        <v>1</v>
      </c>
      <c r="U1079" s="50">
        <v>76004</v>
      </c>
      <c r="Y1079" s="4" t="s">
        <v>2684</v>
      </c>
    </row>
    <row r="1080" spans="1:25">
      <c r="A1080" s="4">
        <v>100071036</v>
      </c>
      <c r="B1080" s="4">
        <v>7</v>
      </c>
      <c r="D1080" s="4">
        <v>10</v>
      </c>
      <c r="E1080" s="4" t="s">
        <v>94</v>
      </c>
      <c r="F1080" s="4">
        <v>71031</v>
      </c>
      <c r="I1080" s="4" t="s">
        <v>2685</v>
      </c>
      <c r="K1080" s="4" t="s">
        <v>1778</v>
      </c>
      <c r="N1080" s="38">
        <v>11007</v>
      </c>
      <c r="Q1080" s="50">
        <v>1</v>
      </c>
      <c r="U1080" s="50">
        <v>76004</v>
      </c>
      <c r="Y1080" s="4" t="s">
        <v>2686</v>
      </c>
    </row>
    <row r="1081" spans="1:25">
      <c r="A1081" s="4">
        <v>100071041</v>
      </c>
      <c r="B1081" s="4">
        <v>7</v>
      </c>
      <c r="D1081" s="4">
        <v>10</v>
      </c>
      <c r="E1081" s="4" t="s">
        <v>94</v>
      </c>
      <c r="F1081" s="4">
        <v>71041</v>
      </c>
      <c r="H1081" s="4">
        <f t="shared" ref="H1081:H1085" si="71">A1082</f>
        <v>100071042</v>
      </c>
      <c r="I1081" s="4" t="s">
        <v>2687</v>
      </c>
      <c r="K1081" s="4" t="s">
        <v>1763</v>
      </c>
      <c r="N1081" s="38">
        <v>11007</v>
      </c>
      <c r="Q1081" s="50">
        <v>1</v>
      </c>
      <c r="U1081" s="50">
        <v>76005</v>
      </c>
      <c r="Y1081" s="4" t="s">
        <v>2688</v>
      </c>
    </row>
    <row r="1082" spans="1:25">
      <c r="A1082" s="4">
        <v>100071042</v>
      </c>
      <c r="B1082" s="4">
        <v>7</v>
      </c>
      <c r="D1082" s="4">
        <v>10</v>
      </c>
      <c r="E1082" s="4" t="s">
        <v>94</v>
      </c>
      <c r="F1082" s="4">
        <v>71041</v>
      </c>
      <c r="H1082" s="4">
        <f t="shared" si="71"/>
        <v>100071043</v>
      </c>
      <c r="I1082" s="4" t="s">
        <v>2689</v>
      </c>
      <c r="K1082" s="4" t="s">
        <v>1766</v>
      </c>
      <c r="N1082" s="38">
        <v>11007</v>
      </c>
      <c r="Q1082" s="50">
        <v>1</v>
      </c>
      <c r="U1082" s="50">
        <v>76005</v>
      </c>
      <c r="Y1082" s="4" t="s">
        <v>2690</v>
      </c>
    </row>
    <row r="1083" spans="1:25">
      <c r="A1083" s="4">
        <v>100071043</v>
      </c>
      <c r="B1083" s="4">
        <v>7</v>
      </c>
      <c r="D1083" s="4">
        <v>10</v>
      </c>
      <c r="E1083" s="4" t="s">
        <v>94</v>
      </c>
      <c r="F1083" s="4">
        <v>71041</v>
      </c>
      <c r="H1083" s="4">
        <f t="shared" si="71"/>
        <v>100071044</v>
      </c>
      <c r="I1083" s="4" t="s">
        <v>2691</v>
      </c>
      <c r="K1083" s="4" t="s">
        <v>1769</v>
      </c>
      <c r="N1083" s="38">
        <v>11007</v>
      </c>
      <c r="Q1083" s="50">
        <v>1</v>
      </c>
      <c r="U1083" s="50">
        <v>76005</v>
      </c>
      <c r="Y1083" s="4" t="s">
        <v>2692</v>
      </c>
    </row>
    <row r="1084" spans="1:25">
      <c r="A1084" s="4">
        <v>100071044</v>
      </c>
      <c r="B1084" s="4">
        <v>7</v>
      </c>
      <c r="D1084" s="4">
        <v>10</v>
      </c>
      <c r="E1084" s="4" t="s">
        <v>94</v>
      </c>
      <c r="F1084" s="4">
        <v>71041</v>
      </c>
      <c r="H1084" s="4">
        <f t="shared" si="71"/>
        <v>100071045</v>
      </c>
      <c r="I1084" s="4" t="s">
        <v>2693</v>
      </c>
      <c r="K1084" s="4" t="s">
        <v>1772</v>
      </c>
      <c r="N1084" s="38">
        <v>11007</v>
      </c>
      <c r="Q1084" s="50">
        <v>1</v>
      </c>
      <c r="U1084" s="50">
        <v>76005</v>
      </c>
      <c r="Y1084" s="4" t="s">
        <v>2694</v>
      </c>
    </row>
    <row r="1085" spans="1:25">
      <c r="A1085" s="4">
        <v>100071045</v>
      </c>
      <c r="B1085" s="4">
        <v>7</v>
      </c>
      <c r="D1085" s="4">
        <v>10</v>
      </c>
      <c r="E1085" s="4" t="s">
        <v>94</v>
      </c>
      <c r="F1085" s="4">
        <v>71041</v>
      </c>
      <c r="H1085" s="4">
        <f t="shared" si="71"/>
        <v>100071046</v>
      </c>
      <c r="I1085" s="4" t="s">
        <v>2695</v>
      </c>
      <c r="K1085" s="4" t="s">
        <v>1775</v>
      </c>
      <c r="N1085" s="38">
        <v>11007</v>
      </c>
      <c r="Q1085" s="50">
        <v>1</v>
      </c>
      <c r="U1085" s="50">
        <v>76005</v>
      </c>
      <c r="Y1085" s="4" t="s">
        <v>2696</v>
      </c>
    </row>
    <row r="1086" spans="1:25">
      <c r="A1086" s="4">
        <v>100071046</v>
      </c>
      <c r="B1086" s="4">
        <v>7</v>
      </c>
      <c r="D1086" s="4">
        <v>10</v>
      </c>
      <c r="E1086" s="4" t="s">
        <v>94</v>
      </c>
      <c r="F1086" s="4">
        <v>71041</v>
      </c>
      <c r="I1086" s="4" t="s">
        <v>2697</v>
      </c>
      <c r="K1086" s="4" t="s">
        <v>1778</v>
      </c>
      <c r="N1086" s="38">
        <v>11007</v>
      </c>
      <c r="Q1086" s="50">
        <v>1</v>
      </c>
      <c r="U1086" s="50">
        <v>76005</v>
      </c>
      <c r="Y1086" s="4" t="s">
        <v>2698</v>
      </c>
    </row>
    <row r="1087" spans="1:25">
      <c r="A1087" s="4">
        <v>100071051</v>
      </c>
      <c r="B1087" s="4">
        <v>7</v>
      </c>
      <c r="D1087" s="4">
        <v>10</v>
      </c>
      <c r="E1087" s="4" t="s">
        <v>94</v>
      </c>
      <c r="F1087" s="4">
        <v>71051</v>
      </c>
      <c r="H1087" s="4">
        <f t="shared" ref="H1087:H1091" si="72">A1088</f>
        <v>100071052</v>
      </c>
      <c r="I1087" s="4" t="s">
        <v>2699</v>
      </c>
      <c r="K1087" s="4" t="s">
        <v>1763</v>
      </c>
      <c r="N1087" s="38">
        <v>11007</v>
      </c>
      <c r="Q1087" s="50">
        <v>1</v>
      </c>
      <c r="U1087" s="50">
        <v>76006</v>
      </c>
      <c r="Y1087" s="4" t="s">
        <v>2700</v>
      </c>
    </row>
    <row r="1088" spans="1:25">
      <c r="A1088" s="4">
        <v>100071052</v>
      </c>
      <c r="B1088" s="4">
        <v>7</v>
      </c>
      <c r="D1088" s="4">
        <v>10</v>
      </c>
      <c r="E1088" s="4" t="s">
        <v>94</v>
      </c>
      <c r="F1088" s="4">
        <v>71051</v>
      </c>
      <c r="H1088" s="4">
        <f t="shared" si="72"/>
        <v>100071053</v>
      </c>
      <c r="I1088" s="4" t="s">
        <v>2701</v>
      </c>
      <c r="K1088" s="4" t="s">
        <v>1766</v>
      </c>
      <c r="N1088" s="38">
        <v>11007</v>
      </c>
      <c r="Q1088" s="50">
        <v>1</v>
      </c>
      <c r="U1088" s="50">
        <v>76006</v>
      </c>
      <c r="Y1088" s="4" t="s">
        <v>2702</v>
      </c>
    </row>
    <row r="1089" spans="1:25">
      <c r="A1089" s="4">
        <v>100071053</v>
      </c>
      <c r="B1089" s="4">
        <v>7</v>
      </c>
      <c r="D1089" s="4">
        <v>10</v>
      </c>
      <c r="E1089" s="4" t="s">
        <v>94</v>
      </c>
      <c r="F1089" s="4">
        <v>71051</v>
      </c>
      <c r="H1089" s="4">
        <f t="shared" si="72"/>
        <v>100071054</v>
      </c>
      <c r="I1089" s="4" t="s">
        <v>2703</v>
      </c>
      <c r="K1089" s="4" t="s">
        <v>1769</v>
      </c>
      <c r="N1089" s="38">
        <v>11007</v>
      </c>
      <c r="Q1089" s="50">
        <v>1</v>
      </c>
      <c r="U1089" s="50">
        <v>76006</v>
      </c>
      <c r="Y1089" s="4" t="s">
        <v>2704</v>
      </c>
    </row>
    <row r="1090" spans="1:25">
      <c r="A1090" s="4">
        <v>100071054</v>
      </c>
      <c r="B1090" s="4">
        <v>7</v>
      </c>
      <c r="D1090" s="4">
        <v>10</v>
      </c>
      <c r="E1090" s="4" t="s">
        <v>94</v>
      </c>
      <c r="F1090" s="4">
        <v>71051</v>
      </c>
      <c r="H1090" s="4">
        <f t="shared" si="72"/>
        <v>100071055</v>
      </c>
      <c r="I1090" s="4" t="s">
        <v>2705</v>
      </c>
      <c r="K1090" s="4" t="s">
        <v>1772</v>
      </c>
      <c r="N1090" s="38">
        <v>11007</v>
      </c>
      <c r="Q1090" s="50">
        <v>1</v>
      </c>
      <c r="U1090" s="50">
        <v>76006</v>
      </c>
      <c r="Y1090" s="4" t="s">
        <v>2706</v>
      </c>
    </row>
    <row r="1091" spans="1:25">
      <c r="A1091" s="4">
        <v>100071055</v>
      </c>
      <c r="B1091" s="4">
        <v>7</v>
      </c>
      <c r="D1091" s="4">
        <v>10</v>
      </c>
      <c r="E1091" s="4" t="s">
        <v>94</v>
      </c>
      <c r="F1091" s="4">
        <v>71051</v>
      </c>
      <c r="H1091" s="4">
        <f t="shared" si="72"/>
        <v>100071056</v>
      </c>
      <c r="I1091" s="4" t="s">
        <v>2707</v>
      </c>
      <c r="K1091" s="4" t="s">
        <v>1775</v>
      </c>
      <c r="N1091" s="38">
        <v>11007</v>
      </c>
      <c r="Q1091" s="50">
        <v>1</v>
      </c>
      <c r="U1091" s="50">
        <v>76006</v>
      </c>
      <c r="Y1091" s="4" t="s">
        <v>2708</v>
      </c>
    </row>
    <row r="1092" spans="1:25">
      <c r="A1092" s="4">
        <v>100071056</v>
      </c>
      <c r="B1092" s="4">
        <v>7</v>
      </c>
      <c r="D1092" s="4">
        <v>10</v>
      </c>
      <c r="E1092" s="4" t="s">
        <v>94</v>
      </c>
      <c r="F1092" s="4">
        <v>71051</v>
      </c>
      <c r="I1092" s="4" t="s">
        <v>2709</v>
      </c>
      <c r="K1092" s="4" t="s">
        <v>1778</v>
      </c>
      <c r="N1092" s="38">
        <v>11007</v>
      </c>
      <c r="Q1092" s="50">
        <v>1</v>
      </c>
      <c r="U1092" s="50">
        <v>76006</v>
      </c>
      <c r="Y1092" s="4" t="s">
        <v>2710</v>
      </c>
    </row>
    <row r="1093" spans="1:25">
      <c r="A1093" s="4">
        <v>100071061</v>
      </c>
      <c r="B1093" s="4">
        <v>7</v>
      </c>
      <c r="D1093" s="4">
        <v>10</v>
      </c>
      <c r="E1093" s="4" t="s">
        <v>94</v>
      </c>
      <c r="F1093" s="4">
        <v>71061</v>
      </c>
      <c r="H1093" s="4">
        <f t="shared" ref="H1093:H1099" si="73">A1094</f>
        <v>100071062</v>
      </c>
      <c r="I1093" s="4" t="s">
        <v>2711</v>
      </c>
      <c r="K1093" s="4" t="s">
        <v>1763</v>
      </c>
      <c r="N1093" s="38">
        <v>11007</v>
      </c>
      <c r="Q1093" s="50">
        <v>1</v>
      </c>
      <c r="U1093" s="50">
        <v>76007</v>
      </c>
      <c r="Y1093" s="4" t="s">
        <v>2712</v>
      </c>
    </row>
    <row r="1094" spans="1:25">
      <c r="A1094" s="4">
        <v>100071062</v>
      </c>
      <c r="B1094" s="4">
        <v>7</v>
      </c>
      <c r="D1094" s="4">
        <v>10</v>
      </c>
      <c r="E1094" s="4" t="s">
        <v>94</v>
      </c>
      <c r="F1094" s="4">
        <v>71061</v>
      </c>
      <c r="H1094" s="4">
        <f t="shared" si="73"/>
        <v>100071063</v>
      </c>
      <c r="I1094" s="4" t="s">
        <v>2713</v>
      </c>
      <c r="K1094" s="4" t="s">
        <v>1766</v>
      </c>
      <c r="N1094" s="38">
        <v>11007</v>
      </c>
      <c r="Q1094" s="50">
        <v>1</v>
      </c>
      <c r="U1094" s="50">
        <v>76007</v>
      </c>
      <c r="Y1094" s="4" t="s">
        <v>2714</v>
      </c>
    </row>
    <row r="1095" spans="1:25">
      <c r="A1095" s="4">
        <v>100071063</v>
      </c>
      <c r="B1095" s="4">
        <v>7</v>
      </c>
      <c r="D1095" s="4">
        <v>10</v>
      </c>
      <c r="E1095" s="4" t="s">
        <v>94</v>
      </c>
      <c r="F1095" s="4">
        <v>71061</v>
      </c>
      <c r="H1095" s="4">
        <f t="shared" si="73"/>
        <v>100071064</v>
      </c>
      <c r="I1095" s="4" t="s">
        <v>2715</v>
      </c>
      <c r="K1095" s="4" t="s">
        <v>1845</v>
      </c>
      <c r="N1095" s="38">
        <v>11007</v>
      </c>
      <c r="Q1095" s="50">
        <v>1</v>
      </c>
      <c r="U1095" s="50">
        <v>76007</v>
      </c>
      <c r="Y1095" s="4" t="s">
        <v>2716</v>
      </c>
    </row>
    <row r="1096" spans="1:25">
      <c r="A1096" s="4">
        <v>100071064</v>
      </c>
      <c r="B1096" s="4">
        <v>7</v>
      </c>
      <c r="D1096" s="4">
        <v>10</v>
      </c>
      <c r="E1096" s="4" t="s">
        <v>94</v>
      </c>
      <c r="F1096" s="4">
        <v>71061</v>
      </c>
      <c r="H1096" s="4">
        <f t="shared" si="73"/>
        <v>100071065</v>
      </c>
      <c r="I1096" s="4" t="s">
        <v>2717</v>
      </c>
      <c r="K1096" s="4" t="s">
        <v>1769</v>
      </c>
      <c r="N1096" s="38">
        <v>11007</v>
      </c>
      <c r="Q1096" s="50">
        <v>1</v>
      </c>
      <c r="U1096" s="50">
        <v>76007</v>
      </c>
      <c r="Y1096" s="4" t="s">
        <v>2718</v>
      </c>
    </row>
    <row r="1097" spans="1:25">
      <c r="A1097" s="4">
        <v>100071065</v>
      </c>
      <c r="B1097" s="4">
        <v>7</v>
      </c>
      <c r="D1097" s="4">
        <v>10</v>
      </c>
      <c r="E1097" s="4" t="s">
        <v>94</v>
      </c>
      <c r="F1097" s="4">
        <v>71061</v>
      </c>
      <c r="H1097" s="4">
        <f t="shared" si="73"/>
        <v>100071066</v>
      </c>
      <c r="I1097" s="4" t="s">
        <v>2719</v>
      </c>
      <c r="K1097" s="4" t="s">
        <v>1850</v>
      </c>
      <c r="N1097" s="38">
        <v>11007</v>
      </c>
      <c r="Q1097" s="50">
        <v>1</v>
      </c>
      <c r="U1097" s="50">
        <v>76007</v>
      </c>
      <c r="Y1097" s="4" t="s">
        <v>2720</v>
      </c>
    </row>
    <row r="1098" spans="1:25">
      <c r="A1098" s="4">
        <v>100071066</v>
      </c>
      <c r="B1098" s="4">
        <v>7</v>
      </c>
      <c r="D1098" s="4">
        <v>10</v>
      </c>
      <c r="E1098" s="4" t="s">
        <v>94</v>
      </c>
      <c r="F1098" s="4">
        <v>71061</v>
      </c>
      <c r="H1098" s="4">
        <f t="shared" si="73"/>
        <v>100071067</v>
      </c>
      <c r="I1098" s="4" t="s">
        <v>2721</v>
      </c>
      <c r="K1098" s="4" t="s">
        <v>1853</v>
      </c>
      <c r="N1098" s="38">
        <v>11007</v>
      </c>
      <c r="Q1098" s="50">
        <v>1</v>
      </c>
      <c r="U1098" s="50">
        <v>76007</v>
      </c>
      <c r="Y1098" s="4" t="s">
        <v>2722</v>
      </c>
    </row>
    <row r="1099" spans="1:25">
      <c r="A1099" s="4">
        <v>100071067</v>
      </c>
      <c r="B1099" s="4">
        <v>7</v>
      </c>
      <c r="D1099" s="4">
        <v>10</v>
      </c>
      <c r="E1099" s="4" t="s">
        <v>94</v>
      </c>
      <c r="F1099" s="4">
        <v>71061</v>
      </c>
      <c r="H1099" s="4">
        <f t="shared" si="73"/>
        <v>100071068</v>
      </c>
      <c r="I1099" s="4" t="s">
        <v>2723</v>
      </c>
      <c r="K1099" s="4" t="s">
        <v>1856</v>
      </c>
      <c r="N1099" s="38">
        <v>11007</v>
      </c>
      <c r="Q1099" s="50">
        <v>1</v>
      </c>
      <c r="U1099" s="50">
        <v>76007</v>
      </c>
      <c r="Y1099" s="4" t="s">
        <v>2724</v>
      </c>
    </row>
    <row r="1100" spans="1:25">
      <c r="A1100" s="4">
        <v>100071068</v>
      </c>
      <c r="B1100" s="4">
        <v>7</v>
      </c>
      <c r="D1100" s="4">
        <v>10</v>
      </c>
      <c r="E1100" s="4" t="s">
        <v>94</v>
      </c>
      <c r="F1100" s="4">
        <v>71061</v>
      </c>
      <c r="I1100" s="4" t="s">
        <v>2725</v>
      </c>
      <c r="K1100" s="4" t="s">
        <v>1772</v>
      </c>
      <c r="N1100" s="38">
        <v>11007</v>
      </c>
      <c r="Q1100" s="50">
        <v>1</v>
      </c>
      <c r="U1100" s="50">
        <v>76007</v>
      </c>
      <c r="Y1100" s="4" t="s">
        <v>2726</v>
      </c>
    </row>
    <row r="1101" spans="1:25">
      <c r="A1101" s="4">
        <v>100071071</v>
      </c>
      <c r="B1101" s="4">
        <v>7</v>
      </c>
      <c r="D1101" s="4">
        <v>10</v>
      </c>
      <c r="E1101" s="4" t="s">
        <v>94</v>
      </c>
      <c r="F1101" s="4">
        <v>71071</v>
      </c>
      <c r="H1101" s="4">
        <f t="shared" ref="H1101:H1105" si="74">A1102</f>
        <v>100071072</v>
      </c>
      <c r="I1101" s="4" t="s">
        <v>2727</v>
      </c>
      <c r="K1101" s="4" t="s">
        <v>1763</v>
      </c>
      <c r="N1101" s="38">
        <v>11007</v>
      </c>
      <c r="Q1101" s="50">
        <v>1</v>
      </c>
      <c r="U1101" s="50">
        <v>76011</v>
      </c>
      <c r="Y1101" s="4" t="s">
        <v>2728</v>
      </c>
    </row>
    <row r="1102" spans="1:25">
      <c r="A1102" s="4">
        <v>100071072</v>
      </c>
      <c r="B1102" s="4">
        <v>7</v>
      </c>
      <c r="D1102" s="4">
        <v>10</v>
      </c>
      <c r="E1102" s="4" t="s">
        <v>94</v>
      </c>
      <c r="F1102" s="4">
        <v>71071</v>
      </c>
      <c r="H1102" s="4">
        <f t="shared" si="74"/>
        <v>100071073</v>
      </c>
      <c r="I1102" s="4" t="s">
        <v>2729</v>
      </c>
      <c r="K1102" s="4" t="s">
        <v>1766</v>
      </c>
      <c r="N1102" s="38">
        <v>11007</v>
      </c>
      <c r="Q1102" s="50">
        <v>1</v>
      </c>
      <c r="U1102" s="50">
        <v>76011</v>
      </c>
      <c r="Y1102" s="4" t="s">
        <v>2730</v>
      </c>
    </row>
    <row r="1103" spans="1:25">
      <c r="A1103" s="4">
        <v>100071073</v>
      </c>
      <c r="B1103" s="4">
        <v>7</v>
      </c>
      <c r="D1103" s="4">
        <v>10</v>
      </c>
      <c r="E1103" s="4" t="s">
        <v>94</v>
      </c>
      <c r="F1103" s="4">
        <v>71071</v>
      </c>
      <c r="H1103" s="4">
        <f t="shared" si="74"/>
        <v>100071074</v>
      </c>
      <c r="I1103" s="4" t="s">
        <v>2731</v>
      </c>
      <c r="K1103" s="4" t="s">
        <v>1769</v>
      </c>
      <c r="N1103" s="38">
        <v>11007</v>
      </c>
      <c r="Q1103" s="50">
        <v>1</v>
      </c>
      <c r="U1103" s="50">
        <v>76011</v>
      </c>
      <c r="Y1103" s="4" t="s">
        <v>2732</v>
      </c>
    </row>
    <row r="1104" spans="1:25">
      <c r="A1104" s="4">
        <v>100071074</v>
      </c>
      <c r="B1104" s="4">
        <v>7</v>
      </c>
      <c r="D1104" s="4">
        <v>10</v>
      </c>
      <c r="E1104" s="4" t="s">
        <v>94</v>
      </c>
      <c r="F1104" s="4">
        <v>71071</v>
      </c>
      <c r="H1104" s="4">
        <f t="shared" si="74"/>
        <v>100071075</v>
      </c>
      <c r="I1104" s="4" t="s">
        <v>2733</v>
      </c>
      <c r="K1104" s="4" t="s">
        <v>1772</v>
      </c>
      <c r="N1104" s="38">
        <v>11007</v>
      </c>
      <c r="Q1104" s="50">
        <v>1</v>
      </c>
      <c r="U1104" s="50">
        <v>76011</v>
      </c>
      <c r="Y1104" s="4" t="s">
        <v>2734</v>
      </c>
    </row>
    <row r="1105" spans="1:25">
      <c r="A1105" s="4">
        <v>100071075</v>
      </c>
      <c r="B1105" s="4">
        <v>7</v>
      </c>
      <c r="D1105" s="4">
        <v>10</v>
      </c>
      <c r="E1105" s="4" t="s">
        <v>94</v>
      </c>
      <c r="F1105" s="4">
        <v>71071</v>
      </c>
      <c r="H1105" s="4">
        <f t="shared" si="74"/>
        <v>100071076</v>
      </c>
      <c r="I1105" s="4" t="s">
        <v>2735</v>
      </c>
      <c r="K1105" s="4" t="s">
        <v>1775</v>
      </c>
      <c r="N1105" s="38">
        <v>11007</v>
      </c>
      <c r="Q1105" s="50">
        <v>1</v>
      </c>
      <c r="U1105" s="50">
        <v>76011</v>
      </c>
      <c r="Y1105" s="4" t="s">
        <v>2736</v>
      </c>
    </row>
    <row r="1106" spans="1:25">
      <c r="A1106" s="4">
        <v>100071076</v>
      </c>
      <c r="B1106" s="4">
        <v>7</v>
      </c>
      <c r="D1106" s="4">
        <v>10</v>
      </c>
      <c r="E1106" s="4" t="s">
        <v>94</v>
      </c>
      <c r="F1106" s="4">
        <v>71071</v>
      </c>
      <c r="I1106" s="4" t="s">
        <v>2737</v>
      </c>
      <c r="K1106" s="4" t="s">
        <v>1778</v>
      </c>
      <c r="N1106" s="38">
        <v>11007</v>
      </c>
      <c r="Q1106" s="50">
        <v>1</v>
      </c>
      <c r="U1106" s="50">
        <v>76011</v>
      </c>
      <c r="Y1106" s="4" t="s">
        <v>2738</v>
      </c>
    </row>
    <row r="1107" spans="1:25">
      <c r="A1107" s="4">
        <v>100071101</v>
      </c>
      <c r="B1107" s="4">
        <v>7</v>
      </c>
      <c r="C1107" s="4" t="s">
        <v>1760</v>
      </c>
      <c r="D1107" s="4">
        <v>11</v>
      </c>
      <c r="E1107" s="4" t="s">
        <v>164</v>
      </c>
      <c r="F1107" s="4">
        <v>71101</v>
      </c>
      <c r="H1107" s="4">
        <f t="shared" ref="H1107:H1111" si="75">A1108</f>
        <v>100071102</v>
      </c>
      <c r="I1107" s="4" t="s">
        <v>2739</v>
      </c>
      <c r="K1107" s="4" t="s">
        <v>1763</v>
      </c>
      <c r="N1107" s="38">
        <v>3209</v>
      </c>
      <c r="Q1107" s="50">
        <v>1</v>
      </c>
      <c r="U1107" s="61">
        <v>76001</v>
      </c>
      <c r="Y1107" s="4" t="s">
        <v>2740</v>
      </c>
    </row>
    <row r="1108" spans="1:25">
      <c r="A1108" s="4">
        <v>100071102</v>
      </c>
      <c r="B1108" s="4">
        <v>7</v>
      </c>
      <c r="C1108" s="4" t="s">
        <v>1760</v>
      </c>
      <c r="D1108" s="4">
        <v>11</v>
      </c>
      <c r="E1108" s="4" t="s">
        <v>164</v>
      </c>
      <c r="F1108" s="4">
        <v>71101</v>
      </c>
      <c r="H1108" s="4">
        <f t="shared" si="75"/>
        <v>100071103</v>
      </c>
      <c r="I1108" s="4" t="s">
        <v>2741</v>
      </c>
      <c r="K1108" s="4" t="s">
        <v>1766</v>
      </c>
      <c r="N1108" s="38">
        <v>3209</v>
      </c>
      <c r="Q1108" s="50">
        <v>1</v>
      </c>
      <c r="U1108" s="61">
        <v>76001</v>
      </c>
      <c r="Y1108" s="4" t="s">
        <v>2742</v>
      </c>
    </row>
    <row r="1109" spans="1:25">
      <c r="A1109" s="4">
        <v>100071103</v>
      </c>
      <c r="B1109" s="4">
        <v>7</v>
      </c>
      <c r="C1109" s="4" t="s">
        <v>1760</v>
      </c>
      <c r="D1109" s="4">
        <v>11</v>
      </c>
      <c r="E1109" s="4" t="s">
        <v>164</v>
      </c>
      <c r="F1109" s="4">
        <v>71101</v>
      </c>
      <c r="H1109" s="4">
        <f t="shared" si="75"/>
        <v>100071104</v>
      </c>
      <c r="I1109" s="4" t="s">
        <v>2743</v>
      </c>
      <c r="K1109" s="4" t="s">
        <v>1769</v>
      </c>
      <c r="N1109" s="38">
        <v>3209</v>
      </c>
      <c r="Q1109" s="50">
        <v>1</v>
      </c>
      <c r="U1109" s="61">
        <v>76001</v>
      </c>
      <c r="Y1109" s="4" t="s">
        <v>2744</v>
      </c>
    </row>
    <row r="1110" spans="1:25">
      <c r="A1110" s="4">
        <v>100071104</v>
      </c>
      <c r="B1110" s="4">
        <v>7</v>
      </c>
      <c r="C1110" s="4" t="s">
        <v>1760</v>
      </c>
      <c r="D1110" s="4">
        <v>11</v>
      </c>
      <c r="E1110" s="4" t="s">
        <v>164</v>
      </c>
      <c r="F1110" s="4">
        <v>71101</v>
      </c>
      <c r="H1110" s="4">
        <f t="shared" si="75"/>
        <v>100071105</v>
      </c>
      <c r="I1110" s="4" t="s">
        <v>2745</v>
      </c>
      <c r="K1110" s="4" t="s">
        <v>1772</v>
      </c>
      <c r="N1110" s="38">
        <v>3209</v>
      </c>
      <c r="Q1110" s="50">
        <v>1</v>
      </c>
      <c r="U1110" s="61">
        <v>76001</v>
      </c>
      <c r="Y1110" s="4" t="s">
        <v>2746</v>
      </c>
    </row>
    <row r="1111" spans="1:25">
      <c r="A1111" s="4">
        <v>100071105</v>
      </c>
      <c r="B1111" s="4">
        <v>7</v>
      </c>
      <c r="C1111" s="4" t="s">
        <v>1760</v>
      </c>
      <c r="D1111" s="4">
        <v>11</v>
      </c>
      <c r="E1111" s="4" t="s">
        <v>164</v>
      </c>
      <c r="F1111" s="4">
        <v>71101</v>
      </c>
      <c r="H1111" s="4">
        <f t="shared" si="75"/>
        <v>100071106</v>
      </c>
      <c r="I1111" s="4" t="s">
        <v>2747</v>
      </c>
      <c r="K1111" s="4" t="s">
        <v>1775</v>
      </c>
      <c r="N1111" s="38">
        <v>3209</v>
      </c>
      <c r="Q1111" s="50">
        <v>1</v>
      </c>
      <c r="U1111" s="61">
        <v>76001</v>
      </c>
      <c r="Y1111" s="4" t="s">
        <v>2748</v>
      </c>
    </row>
    <row r="1112" spans="1:25">
      <c r="A1112" s="4">
        <v>100071106</v>
      </c>
      <c r="B1112" s="4">
        <v>7</v>
      </c>
      <c r="C1112" s="4" t="s">
        <v>1760</v>
      </c>
      <c r="D1112" s="4">
        <v>11</v>
      </c>
      <c r="E1112" s="4" t="s">
        <v>164</v>
      </c>
      <c r="F1112" s="4">
        <v>71101</v>
      </c>
      <c r="I1112" s="4" t="s">
        <v>2749</v>
      </c>
      <c r="K1112" s="4" t="s">
        <v>1778</v>
      </c>
      <c r="N1112" s="38">
        <v>3209</v>
      </c>
      <c r="Q1112" s="50">
        <v>1</v>
      </c>
      <c r="U1112" s="61">
        <v>76001</v>
      </c>
      <c r="Y1112" s="4" t="s">
        <v>2750</v>
      </c>
    </row>
    <row r="1113" spans="1:25">
      <c r="A1113" s="4">
        <v>100071111</v>
      </c>
      <c r="B1113" s="4">
        <v>7</v>
      </c>
      <c r="D1113" s="4">
        <v>11</v>
      </c>
      <c r="E1113" s="4" t="s">
        <v>164</v>
      </c>
      <c r="F1113" s="4">
        <v>71111</v>
      </c>
      <c r="H1113" s="4">
        <f t="shared" ref="H1113:H1117" si="76">A1114</f>
        <v>100071112</v>
      </c>
      <c r="I1113" s="4" t="s">
        <v>2751</v>
      </c>
      <c r="K1113" s="4" t="s">
        <v>1763</v>
      </c>
      <c r="N1113" s="38">
        <v>3312</v>
      </c>
      <c r="Q1113" s="50">
        <v>1</v>
      </c>
      <c r="U1113" s="50">
        <v>76002</v>
      </c>
      <c r="Y1113" s="4" t="s">
        <v>2752</v>
      </c>
    </row>
    <row r="1114" spans="1:25">
      <c r="A1114" s="4">
        <v>100071112</v>
      </c>
      <c r="B1114" s="4">
        <v>7</v>
      </c>
      <c r="D1114" s="4">
        <v>11</v>
      </c>
      <c r="E1114" s="4" t="s">
        <v>164</v>
      </c>
      <c r="F1114" s="4">
        <v>71111</v>
      </c>
      <c r="H1114" s="4">
        <f t="shared" si="76"/>
        <v>100071113</v>
      </c>
      <c r="I1114" s="4" t="s">
        <v>2753</v>
      </c>
      <c r="K1114" s="4" t="s">
        <v>1766</v>
      </c>
      <c r="N1114" s="38">
        <v>3312</v>
      </c>
      <c r="Q1114" s="50">
        <v>1</v>
      </c>
      <c r="U1114" s="50">
        <v>76002</v>
      </c>
      <c r="Y1114" s="4" t="s">
        <v>2754</v>
      </c>
    </row>
    <row r="1115" spans="1:25">
      <c r="A1115" s="4">
        <v>100071113</v>
      </c>
      <c r="B1115" s="4">
        <v>7</v>
      </c>
      <c r="D1115" s="4">
        <v>11</v>
      </c>
      <c r="E1115" s="4" t="s">
        <v>164</v>
      </c>
      <c r="F1115" s="4">
        <v>71111</v>
      </c>
      <c r="H1115" s="4">
        <f t="shared" si="76"/>
        <v>100071114</v>
      </c>
      <c r="I1115" s="4" t="s">
        <v>2755</v>
      </c>
      <c r="K1115" s="4" t="s">
        <v>1769</v>
      </c>
      <c r="N1115" s="38">
        <v>3312</v>
      </c>
      <c r="Q1115" s="50">
        <v>1</v>
      </c>
      <c r="U1115" s="50">
        <v>76002</v>
      </c>
      <c r="Y1115" s="4" t="s">
        <v>2756</v>
      </c>
    </row>
    <row r="1116" spans="1:25">
      <c r="A1116" s="4">
        <v>100071114</v>
      </c>
      <c r="B1116" s="4">
        <v>7</v>
      </c>
      <c r="D1116" s="4">
        <v>11</v>
      </c>
      <c r="E1116" s="4" t="s">
        <v>164</v>
      </c>
      <c r="F1116" s="4">
        <v>71111</v>
      </c>
      <c r="H1116" s="4">
        <f t="shared" si="76"/>
        <v>100071115</v>
      </c>
      <c r="I1116" s="4" t="s">
        <v>2757</v>
      </c>
      <c r="K1116" s="4" t="s">
        <v>1772</v>
      </c>
      <c r="N1116" s="38">
        <v>3312</v>
      </c>
      <c r="Q1116" s="50">
        <v>1</v>
      </c>
      <c r="U1116" s="50">
        <v>76002</v>
      </c>
      <c r="Y1116" s="4" t="s">
        <v>2758</v>
      </c>
    </row>
    <row r="1117" spans="1:25">
      <c r="A1117" s="4">
        <v>100071115</v>
      </c>
      <c r="B1117" s="4">
        <v>7</v>
      </c>
      <c r="D1117" s="4">
        <v>11</v>
      </c>
      <c r="E1117" s="4" t="s">
        <v>164</v>
      </c>
      <c r="F1117" s="4">
        <v>71111</v>
      </c>
      <c r="H1117" s="4">
        <f t="shared" si="76"/>
        <v>100071116</v>
      </c>
      <c r="I1117" s="4" t="s">
        <v>2759</v>
      </c>
      <c r="K1117" s="4" t="s">
        <v>1775</v>
      </c>
      <c r="N1117" s="38">
        <v>3312</v>
      </c>
      <c r="Q1117" s="50">
        <v>1</v>
      </c>
      <c r="U1117" s="50">
        <v>76002</v>
      </c>
      <c r="Y1117" s="4" t="s">
        <v>2760</v>
      </c>
    </row>
    <row r="1118" spans="1:25">
      <c r="A1118" s="4">
        <v>100071116</v>
      </c>
      <c r="B1118" s="4">
        <v>7</v>
      </c>
      <c r="D1118" s="4">
        <v>11</v>
      </c>
      <c r="E1118" s="4" t="s">
        <v>164</v>
      </c>
      <c r="F1118" s="4">
        <v>71111</v>
      </c>
      <c r="I1118" s="4" t="s">
        <v>2761</v>
      </c>
      <c r="K1118" s="4" t="s">
        <v>1778</v>
      </c>
      <c r="N1118" s="38">
        <v>3312</v>
      </c>
      <c r="Q1118" s="50">
        <v>1</v>
      </c>
      <c r="U1118" s="50">
        <v>76002</v>
      </c>
      <c r="Y1118" s="4" t="s">
        <v>2762</v>
      </c>
    </row>
    <row r="1119" spans="1:25">
      <c r="A1119" s="4">
        <v>100071121</v>
      </c>
      <c r="B1119" s="4">
        <v>7</v>
      </c>
      <c r="D1119" s="4">
        <v>11</v>
      </c>
      <c r="E1119" s="4" t="s">
        <v>164</v>
      </c>
      <c r="F1119" s="4">
        <v>71121</v>
      </c>
      <c r="H1119" s="4">
        <f t="shared" ref="H1119:H1123" si="77">A1120</f>
        <v>100071122</v>
      </c>
      <c r="I1119" s="4" t="s">
        <v>2763</v>
      </c>
      <c r="K1119" s="4" t="s">
        <v>1763</v>
      </c>
      <c r="N1119" s="38">
        <v>11022</v>
      </c>
      <c r="Q1119" s="50">
        <v>1</v>
      </c>
      <c r="U1119" s="50">
        <v>76003</v>
      </c>
      <c r="Y1119" s="4" t="s">
        <v>2764</v>
      </c>
    </row>
    <row r="1120" spans="1:25">
      <c r="A1120" s="4">
        <v>100071122</v>
      </c>
      <c r="B1120" s="4">
        <v>7</v>
      </c>
      <c r="D1120" s="4">
        <v>11</v>
      </c>
      <c r="E1120" s="4" t="s">
        <v>164</v>
      </c>
      <c r="F1120" s="4">
        <v>71121</v>
      </c>
      <c r="H1120" s="4">
        <f t="shared" si="77"/>
        <v>100071123</v>
      </c>
      <c r="I1120" s="4" t="s">
        <v>2765</v>
      </c>
      <c r="K1120" s="4" t="s">
        <v>1766</v>
      </c>
      <c r="N1120" s="38">
        <v>11022</v>
      </c>
      <c r="Q1120" s="50">
        <v>1</v>
      </c>
      <c r="U1120" s="50">
        <v>76003</v>
      </c>
      <c r="Y1120" s="4" t="s">
        <v>2766</v>
      </c>
    </row>
    <row r="1121" spans="1:25">
      <c r="A1121" s="4">
        <v>100071123</v>
      </c>
      <c r="B1121" s="4">
        <v>7</v>
      </c>
      <c r="D1121" s="4">
        <v>11</v>
      </c>
      <c r="E1121" s="4" t="s">
        <v>164</v>
      </c>
      <c r="F1121" s="4">
        <v>71121</v>
      </c>
      <c r="H1121" s="4">
        <f t="shared" si="77"/>
        <v>100071124</v>
      </c>
      <c r="I1121" s="4" t="s">
        <v>2767</v>
      </c>
      <c r="K1121" s="4" t="s">
        <v>1769</v>
      </c>
      <c r="N1121" s="38">
        <v>11022</v>
      </c>
      <c r="Q1121" s="50">
        <v>1</v>
      </c>
      <c r="U1121" s="50">
        <v>76003</v>
      </c>
      <c r="Y1121" s="4" t="s">
        <v>2768</v>
      </c>
    </row>
    <row r="1122" spans="1:25">
      <c r="A1122" s="4">
        <v>100071124</v>
      </c>
      <c r="B1122" s="4">
        <v>7</v>
      </c>
      <c r="D1122" s="4">
        <v>11</v>
      </c>
      <c r="E1122" s="4" t="s">
        <v>164</v>
      </c>
      <c r="F1122" s="4">
        <v>71121</v>
      </c>
      <c r="H1122" s="4">
        <f t="shared" si="77"/>
        <v>100071125</v>
      </c>
      <c r="I1122" s="4" t="s">
        <v>2769</v>
      </c>
      <c r="K1122" s="4" t="s">
        <v>1772</v>
      </c>
      <c r="N1122" s="38">
        <v>11022</v>
      </c>
      <c r="Q1122" s="50">
        <v>1</v>
      </c>
      <c r="U1122" s="50">
        <v>76003</v>
      </c>
      <c r="Y1122" s="4" t="s">
        <v>2770</v>
      </c>
    </row>
    <row r="1123" spans="1:25">
      <c r="A1123" s="4">
        <v>100071125</v>
      </c>
      <c r="B1123" s="4">
        <v>7</v>
      </c>
      <c r="D1123" s="4">
        <v>11</v>
      </c>
      <c r="E1123" s="4" t="s">
        <v>164</v>
      </c>
      <c r="F1123" s="4">
        <v>71121</v>
      </c>
      <c r="H1123" s="4">
        <f t="shared" si="77"/>
        <v>100071126</v>
      </c>
      <c r="I1123" s="4" t="s">
        <v>2771</v>
      </c>
      <c r="K1123" s="4" t="s">
        <v>1775</v>
      </c>
      <c r="N1123" s="38">
        <v>11022</v>
      </c>
      <c r="Q1123" s="50">
        <v>1</v>
      </c>
      <c r="U1123" s="50">
        <v>76003</v>
      </c>
      <c r="Y1123" s="4" t="s">
        <v>2772</v>
      </c>
    </row>
    <row r="1124" spans="1:25">
      <c r="A1124" s="4">
        <v>100071126</v>
      </c>
      <c r="B1124" s="4">
        <v>7</v>
      </c>
      <c r="D1124" s="4">
        <v>11</v>
      </c>
      <c r="E1124" s="4" t="s">
        <v>164</v>
      </c>
      <c r="F1124" s="4">
        <v>71121</v>
      </c>
      <c r="I1124" s="4" t="s">
        <v>2773</v>
      </c>
      <c r="K1124" s="4" t="s">
        <v>1778</v>
      </c>
      <c r="N1124" s="38">
        <v>11022</v>
      </c>
      <c r="Q1124" s="50">
        <v>1</v>
      </c>
      <c r="U1124" s="50">
        <v>76003</v>
      </c>
      <c r="Y1124" s="4" t="s">
        <v>2774</v>
      </c>
    </row>
    <row r="1125" spans="1:25">
      <c r="A1125" s="4">
        <v>100071131</v>
      </c>
      <c r="B1125" s="4">
        <v>7</v>
      </c>
      <c r="D1125" s="4">
        <v>11</v>
      </c>
      <c r="E1125" s="4" t="s">
        <v>164</v>
      </c>
      <c r="F1125" s="4">
        <v>71131</v>
      </c>
      <c r="H1125" s="4">
        <f t="shared" ref="H1125:H1129" si="78">A1126</f>
        <v>100071132</v>
      </c>
      <c r="I1125" s="4" t="s">
        <v>2775</v>
      </c>
      <c r="K1125" s="4" t="s">
        <v>1763</v>
      </c>
      <c r="N1125" s="38">
        <v>11022</v>
      </c>
      <c r="Q1125" s="50">
        <v>1</v>
      </c>
      <c r="U1125" s="50">
        <v>76004</v>
      </c>
      <c r="Y1125" s="4" t="s">
        <v>2776</v>
      </c>
    </row>
    <row r="1126" spans="1:25">
      <c r="A1126" s="4">
        <v>100071132</v>
      </c>
      <c r="B1126" s="4">
        <v>7</v>
      </c>
      <c r="D1126" s="4">
        <v>11</v>
      </c>
      <c r="E1126" s="4" t="s">
        <v>164</v>
      </c>
      <c r="F1126" s="4">
        <v>71131</v>
      </c>
      <c r="H1126" s="4">
        <f t="shared" si="78"/>
        <v>100071133</v>
      </c>
      <c r="I1126" s="4" t="s">
        <v>2777</v>
      </c>
      <c r="K1126" s="4" t="s">
        <v>1766</v>
      </c>
      <c r="N1126" s="38">
        <v>11022</v>
      </c>
      <c r="Q1126" s="50">
        <v>1</v>
      </c>
      <c r="U1126" s="50">
        <v>76004</v>
      </c>
      <c r="Y1126" s="4" t="s">
        <v>2778</v>
      </c>
    </row>
    <row r="1127" spans="1:25">
      <c r="A1127" s="4">
        <v>100071133</v>
      </c>
      <c r="B1127" s="4">
        <v>7</v>
      </c>
      <c r="D1127" s="4">
        <v>11</v>
      </c>
      <c r="E1127" s="4" t="s">
        <v>164</v>
      </c>
      <c r="F1127" s="4">
        <v>71131</v>
      </c>
      <c r="H1127" s="4">
        <f t="shared" si="78"/>
        <v>100071134</v>
      </c>
      <c r="I1127" s="4" t="s">
        <v>2779</v>
      </c>
      <c r="K1127" s="4" t="s">
        <v>1769</v>
      </c>
      <c r="N1127" s="38">
        <v>11022</v>
      </c>
      <c r="Q1127" s="50">
        <v>1</v>
      </c>
      <c r="U1127" s="50">
        <v>76004</v>
      </c>
      <c r="Y1127" s="4" t="s">
        <v>2780</v>
      </c>
    </row>
    <row r="1128" spans="1:25">
      <c r="A1128" s="4">
        <v>100071134</v>
      </c>
      <c r="B1128" s="4">
        <v>7</v>
      </c>
      <c r="D1128" s="4">
        <v>11</v>
      </c>
      <c r="E1128" s="4" t="s">
        <v>164</v>
      </c>
      <c r="F1128" s="4">
        <v>71131</v>
      </c>
      <c r="H1128" s="4">
        <f t="shared" si="78"/>
        <v>100071135</v>
      </c>
      <c r="I1128" s="4" t="s">
        <v>2781</v>
      </c>
      <c r="K1128" s="4" t="s">
        <v>1772</v>
      </c>
      <c r="N1128" s="38">
        <v>11022</v>
      </c>
      <c r="Q1128" s="50">
        <v>1</v>
      </c>
      <c r="U1128" s="50">
        <v>76004</v>
      </c>
      <c r="Y1128" s="4" t="s">
        <v>2782</v>
      </c>
    </row>
    <row r="1129" spans="1:25">
      <c r="A1129" s="4">
        <v>100071135</v>
      </c>
      <c r="B1129" s="4">
        <v>7</v>
      </c>
      <c r="D1129" s="4">
        <v>11</v>
      </c>
      <c r="E1129" s="4" t="s">
        <v>164</v>
      </c>
      <c r="F1129" s="4">
        <v>71131</v>
      </c>
      <c r="H1129" s="4">
        <f t="shared" si="78"/>
        <v>100071136</v>
      </c>
      <c r="I1129" s="4" t="s">
        <v>2783</v>
      </c>
      <c r="K1129" s="4" t="s">
        <v>1775</v>
      </c>
      <c r="N1129" s="38">
        <v>11022</v>
      </c>
      <c r="Q1129" s="50">
        <v>1</v>
      </c>
      <c r="U1129" s="50">
        <v>76004</v>
      </c>
      <c r="Y1129" s="4" t="s">
        <v>2784</v>
      </c>
    </row>
    <row r="1130" spans="1:25">
      <c r="A1130" s="4">
        <v>100071136</v>
      </c>
      <c r="B1130" s="4">
        <v>7</v>
      </c>
      <c r="D1130" s="4">
        <v>11</v>
      </c>
      <c r="E1130" s="4" t="s">
        <v>164</v>
      </c>
      <c r="F1130" s="4">
        <v>71131</v>
      </c>
      <c r="I1130" s="4" t="s">
        <v>2785</v>
      </c>
      <c r="K1130" s="4" t="s">
        <v>1778</v>
      </c>
      <c r="N1130" s="38">
        <v>11022</v>
      </c>
      <c r="Q1130" s="50">
        <v>1</v>
      </c>
      <c r="U1130" s="50">
        <v>76004</v>
      </c>
      <c r="Y1130" s="4" t="s">
        <v>2786</v>
      </c>
    </row>
    <row r="1131" spans="1:25">
      <c r="A1131" s="4">
        <v>100071141</v>
      </c>
      <c r="B1131" s="4">
        <v>7</v>
      </c>
      <c r="D1131" s="4">
        <v>11</v>
      </c>
      <c r="E1131" s="4" t="s">
        <v>164</v>
      </c>
      <c r="F1131" s="4">
        <v>71141</v>
      </c>
      <c r="H1131" s="4">
        <f t="shared" ref="H1131:H1135" si="79">A1132</f>
        <v>100071142</v>
      </c>
      <c r="I1131" s="4" t="s">
        <v>2787</v>
      </c>
      <c r="K1131" s="4" t="s">
        <v>1763</v>
      </c>
      <c r="N1131" s="38">
        <v>11022</v>
      </c>
      <c r="Q1131" s="50">
        <v>1</v>
      </c>
      <c r="U1131" s="50">
        <v>76005</v>
      </c>
      <c r="Y1131" s="4" t="s">
        <v>2788</v>
      </c>
    </row>
    <row r="1132" spans="1:25">
      <c r="A1132" s="4">
        <v>100071142</v>
      </c>
      <c r="B1132" s="4">
        <v>7</v>
      </c>
      <c r="D1132" s="4">
        <v>11</v>
      </c>
      <c r="E1132" s="4" t="s">
        <v>164</v>
      </c>
      <c r="F1132" s="4">
        <v>71141</v>
      </c>
      <c r="H1132" s="4">
        <f t="shared" si="79"/>
        <v>100071143</v>
      </c>
      <c r="I1132" s="4" t="s">
        <v>2789</v>
      </c>
      <c r="K1132" s="4" t="s">
        <v>1766</v>
      </c>
      <c r="N1132" s="38">
        <v>11022</v>
      </c>
      <c r="Q1132" s="50">
        <v>1</v>
      </c>
      <c r="U1132" s="50">
        <v>76005</v>
      </c>
      <c r="Y1132" s="4" t="s">
        <v>2790</v>
      </c>
    </row>
    <row r="1133" spans="1:25">
      <c r="A1133" s="4">
        <v>100071143</v>
      </c>
      <c r="B1133" s="4">
        <v>7</v>
      </c>
      <c r="D1133" s="4">
        <v>11</v>
      </c>
      <c r="E1133" s="4" t="s">
        <v>164</v>
      </c>
      <c r="F1133" s="4">
        <v>71141</v>
      </c>
      <c r="H1133" s="4">
        <f t="shared" si="79"/>
        <v>100071144</v>
      </c>
      <c r="I1133" s="4" t="s">
        <v>2791</v>
      </c>
      <c r="K1133" s="4" t="s">
        <v>1769</v>
      </c>
      <c r="N1133" s="38">
        <v>11022</v>
      </c>
      <c r="Q1133" s="50">
        <v>1</v>
      </c>
      <c r="U1133" s="50">
        <v>76005</v>
      </c>
      <c r="Y1133" s="4" t="s">
        <v>2792</v>
      </c>
    </row>
    <row r="1134" spans="1:25">
      <c r="A1134" s="4">
        <v>100071144</v>
      </c>
      <c r="B1134" s="4">
        <v>7</v>
      </c>
      <c r="D1134" s="4">
        <v>11</v>
      </c>
      <c r="E1134" s="4" t="s">
        <v>164</v>
      </c>
      <c r="F1134" s="4">
        <v>71141</v>
      </c>
      <c r="H1134" s="4">
        <f t="shared" si="79"/>
        <v>100071145</v>
      </c>
      <c r="I1134" s="4" t="s">
        <v>2793</v>
      </c>
      <c r="K1134" s="4" t="s">
        <v>1772</v>
      </c>
      <c r="N1134" s="38">
        <v>11022</v>
      </c>
      <c r="Q1134" s="50">
        <v>1</v>
      </c>
      <c r="U1134" s="50">
        <v>76005</v>
      </c>
      <c r="Y1134" s="4" t="s">
        <v>2794</v>
      </c>
    </row>
    <row r="1135" spans="1:25">
      <c r="A1135" s="4">
        <v>100071145</v>
      </c>
      <c r="B1135" s="4">
        <v>7</v>
      </c>
      <c r="D1135" s="4">
        <v>11</v>
      </c>
      <c r="E1135" s="4" t="s">
        <v>164</v>
      </c>
      <c r="F1135" s="4">
        <v>71141</v>
      </c>
      <c r="H1135" s="4">
        <f t="shared" si="79"/>
        <v>100071146</v>
      </c>
      <c r="I1135" s="4" t="s">
        <v>2795</v>
      </c>
      <c r="K1135" s="4" t="s">
        <v>1775</v>
      </c>
      <c r="N1135" s="38">
        <v>11022</v>
      </c>
      <c r="Q1135" s="50">
        <v>1</v>
      </c>
      <c r="U1135" s="50">
        <v>76005</v>
      </c>
      <c r="Y1135" s="4" t="s">
        <v>2796</v>
      </c>
    </row>
    <row r="1136" spans="1:25">
      <c r="A1136" s="4">
        <v>100071146</v>
      </c>
      <c r="B1136" s="4">
        <v>7</v>
      </c>
      <c r="D1136" s="4">
        <v>11</v>
      </c>
      <c r="E1136" s="4" t="s">
        <v>164</v>
      </c>
      <c r="F1136" s="4">
        <v>71141</v>
      </c>
      <c r="I1136" s="4" t="s">
        <v>2797</v>
      </c>
      <c r="K1136" s="4" t="s">
        <v>1778</v>
      </c>
      <c r="N1136" s="38">
        <v>11022</v>
      </c>
      <c r="Q1136" s="50">
        <v>1</v>
      </c>
      <c r="U1136" s="50">
        <v>76005</v>
      </c>
      <c r="Y1136" s="4" t="s">
        <v>2798</v>
      </c>
    </row>
    <row r="1137" spans="1:25">
      <c r="A1137" s="4">
        <v>100071151</v>
      </c>
      <c r="B1137" s="4">
        <v>7</v>
      </c>
      <c r="D1137" s="4">
        <v>11</v>
      </c>
      <c r="E1137" s="4" t="s">
        <v>164</v>
      </c>
      <c r="F1137" s="4">
        <v>71151</v>
      </c>
      <c r="H1137" s="4">
        <f t="shared" ref="H1137:H1141" si="80">A1138</f>
        <v>100071152</v>
      </c>
      <c r="I1137" s="4" t="s">
        <v>2799</v>
      </c>
      <c r="K1137" s="4" t="s">
        <v>1763</v>
      </c>
      <c r="N1137" s="38">
        <v>11022</v>
      </c>
      <c r="Q1137" s="50">
        <v>1</v>
      </c>
      <c r="U1137" s="50">
        <v>76006</v>
      </c>
      <c r="Y1137" s="4" t="s">
        <v>2800</v>
      </c>
    </row>
    <row r="1138" spans="1:25">
      <c r="A1138" s="4">
        <v>100071152</v>
      </c>
      <c r="B1138" s="4">
        <v>7</v>
      </c>
      <c r="D1138" s="4">
        <v>11</v>
      </c>
      <c r="E1138" s="4" t="s">
        <v>164</v>
      </c>
      <c r="F1138" s="4">
        <v>71151</v>
      </c>
      <c r="H1138" s="4">
        <f t="shared" si="80"/>
        <v>100071153</v>
      </c>
      <c r="I1138" s="4" t="s">
        <v>2801</v>
      </c>
      <c r="K1138" s="4" t="s">
        <v>1766</v>
      </c>
      <c r="N1138" s="38">
        <v>11022</v>
      </c>
      <c r="Q1138" s="50">
        <v>1</v>
      </c>
      <c r="U1138" s="50">
        <v>76006</v>
      </c>
      <c r="Y1138" s="4" t="s">
        <v>2802</v>
      </c>
    </row>
    <row r="1139" spans="1:25">
      <c r="A1139" s="4">
        <v>100071153</v>
      </c>
      <c r="B1139" s="4">
        <v>7</v>
      </c>
      <c r="D1139" s="4">
        <v>11</v>
      </c>
      <c r="E1139" s="4" t="s">
        <v>164</v>
      </c>
      <c r="F1139" s="4">
        <v>71151</v>
      </c>
      <c r="H1139" s="4">
        <f t="shared" si="80"/>
        <v>100071154</v>
      </c>
      <c r="I1139" s="4" t="s">
        <v>2803</v>
      </c>
      <c r="K1139" s="4" t="s">
        <v>1769</v>
      </c>
      <c r="N1139" s="38">
        <v>11022</v>
      </c>
      <c r="Q1139" s="50">
        <v>1</v>
      </c>
      <c r="U1139" s="50">
        <v>76006</v>
      </c>
      <c r="Y1139" s="4" t="s">
        <v>2804</v>
      </c>
    </row>
    <row r="1140" spans="1:25">
      <c r="A1140" s="4">
        <v>100071154</v>
      </c>
      <c r="B1140" s="4">
        <v>7</v>
      </c>
      <c r="D1140" s="4">
        <v>11</v>
      </c>
      <c r="E1140" s="4" t="s">
        <v>164</v>
      </c>
      <c r="F1140" s="4">
        <v>71151</v>
      </c>
      <c r="H1140" s="4">
        <f t="shared" si="80"/>
        <v>100071155</v>
      </c>
      <c r="I1140" s="4" t="s">
        <v>2805</v>
      </c>
      <c r="K1140" s="4" t="s">
        <v>1772</v>
      </c>
      <c r="N1140" s="38">
        <v>11022</v>
      </c>
      <c r="Q1140" s="50">
        <v>1</v>
      </c>
      <c r="U1140" s="50">
        <v>76006</v>
      </c>
      <c r="Y1140" s="4" t="s">
        <v>2806</v>
      </c>
    </row>
    <row r="1141" spans="1:25">
      <c r="A1141" s="4">
        <v>100071155</v>
      </c>
      <c r="B1141" s="4">
        <v>7</v>
      </c>
      <c r="D1141" s="4">
        <v>11</v>
      </c>
      <c r="E1141" s="4" t="s">
        <v>164</v>
      </c>
      <c r="F1141" s="4">
        <v>71151</v>
      </c>
      <c r="H1141" s="4">
        <f t="shared" si="80"/>
        <v>100071156</v>
      </c>
      <c r="I1141" s="4" t="s">
        <v>2807</v>
      </c>
      <c r="K1141" s="4" t="s">
        <v>1775</v>
      </c>
      <c r="N1141" s="38">
        <v>11022</v>
      </c>
      <c r="Q1141" s="50">
        <v>1</v>
      </c>
      <c r="U1141" s="50">
        <v>76006</v>
      </c>
      <c r="Y1141" s="4" t="s">
        <v>2808</v>
      </c>
    </row>
    <row r="1142" spans="1:25">
      <c r="A1142" s="4">
        <v>100071156</v>
      </c>
      <c r="B1142" s="4">
        <v>7</v>
      </c>
      <c r="D1142" s="4">
        <v>11</v>
      </c>
      <c r="E1142" s="4" t="s">
        <v>164</v>
      </c>
      <c r="F1142" s="4">
        <v>71151</v>
      </c>
      <c r="I1142" s="4" t="s">
        <v>2809</v>
      </c>
      <c r="K1142" s="4" t="s">
        <v>1778</v>
      </c>
      <c r="N1142" s="38">
        <v>11022</v>
      </c>
      <c r="Q1142" s="50">
        <v>1</v>
      </c>
      <c r="U1142" s="50">
        <v>76006</v>
      </c>
      <c r="Y1142" s="4" t="s">
        <v>2810</v>
      </c>
    </row>
    <row r="1143" spans="1:25">
      <c r="A1143" s="4">
        <v>100071161</v>
      </c>
      <c r="B1143" s="4">
        <v>7</v>
      </c>
      <c r="D1143" s="4">
        <v>11</v>
      </c>
      <c r="E1143" s="4" t="s">
        <v>164</v>
      </c>
      <c r="F1143" s="4">
        <v>71161</v>
      </c>
      <c r="H1143" s="4">
        <f t="shared" ref="H1143:H1149" si="81">A1144</f>
        <v>100071162</v>
      </c>
      <c r="I1143" s="4" t="s">
        <v>2811</v>
      </c>
      <c r="K1143" s="4" t="s">
        <v>1763</v>
      </c>
      <c r="N1143" s="38">
        <v>11022</v>
      </c>
      <c r="Q1143" s="50">
        <v>1</v>
      </c>
      <c r="U1143" s="50">
        <v>76007</v>
      </c>
      <c r="Y1143" s="4" t="s">
        <v>2812</v>
      </c>
    </row>
    <row r="1144" spans="1:25">
      <c r="A1144" s="4">
        <v>100071162</v>
      </c>
      <c r="B1144" s="4">
        <v>7</v>
      </c>
      <c r="D1144" s="4">
        <v>11</v>
      </c>
      <c r="E1144" s="4" t="s">
        <v>164</v>
      </c>
      <c r="F1144" s="4">
        <v>71161</v>
      </c>
      <c r="H1144" s="4">
        <f t="shared" si="81"/>
        <v>100071163</v>
      </c>
      <c r="I1144" s="4" t="s">
        <v>2813</v>
      </c>
      <c r="K1144" s="4" t="s">
        <v>1766</v>
      </c>
      <c r="N1144" s="38">
        <v>11022</v>
      </c>
      <c r="Q1144" s="50">
        <v>1</v>
      </c>
      <c r="U1144" s="50">
        <v>76007</v>
      </c>
      <c r="Y1144" s="4" t="s">
        <v>2814</v>
      </c>
    </row>
    <row r="1145" spans="1:25">
      <c r="A1145" s="4">
        <v>100071163</v>
      </c>
      <c r="B1145" s="4">
        <v>7</v>
      </c>
      <c r="D1145" s="4">
        <v>11</v>
      </c>
      <c r="E1145" s="4" t="s">
        <v>164</v>
      </c>
      <c r="F1145" s="4">
        <v>71161</v>
      </c>
      <c r="H1145" s="4">
        <f t="shared" si="81"/>
        <v>100071164</v>
      </c>
      <c r="I1145" s="4" t="s">
        <v>2815</v>
      </c>
      <c r="K1145" s="4" t="s">
        <v>1845</v>
      </c>
      <c r="N1145" s="38">
        <v>11022</v>
      </c>
      <c r="Q1145" s="50">
        <v>1</v>
      </c>
      <c r="U1145" s="50">
        <v>76007</v>
      </c>
      <c r="Y1145" s="4" t="s">
        <v>2816</v>
      </c>
    </row>
    <row r="1146" spans="1:25">
      <c r="A1146" s="4">
        <v>100071164</v>
      </c>
      <c r="B1146" s="4">
        <v>7</v>
      </c>
      <c r="D1146" s="4">
        <v>11</v>
      </c>
      <c r="E1146" s="4" t="s">
        <v>164</v>
      </c>
      <c r="F1146" s="4">
        <v>71161</v>
      </c>
      <c r="H1146" s="4">
        <f t="shared" si="81"/>
        <v>100071165</v>
      </c>
      <c r="I1146" s="4" t="s">
        <v>2817</v>
      </c>
      <c r="K1146" s="4" t="s">
        <v>1769</v>
      </c>
      <c r="N1146" s="38">
        <v>11022</v>
      </c>
      <c r="Q1146" s="50">
        <v>1</v>
      </c>
      <c r="U1146" s="50">
        <v>76007</v>
      </c>
      <c r="Y1146" s="4" t="s">
        <v>2818</v>
      </c>
    </row>
    <row r="1147" spans="1:25">
      <c r="A1147" s="4">
        <v>100071165</v>
      </c>
      <c r="B1147" s="4">
        <v>7</v>
      </c>
      <c r="D1147" s="4">
        <v>11</v>
      </c>
      <c r="E1147" s="4" t="s">
        <v>164</v>
      </c>
      <c r="F1147" s="4">
        <v>71161</v>
      </c>
      <c r="H1147" s="4">
        <f t="shared" si="81"/>
        <v>100071166</v>
      </c>
      <c r="I1147" s="4" t="s">
        <v>2819</v>
      </c>
      <c r="K1147" s="4" t="s">
        <v>1850</v>
      </c>
      <c r="N1147" s="38">
        <v>11022</v>
      </c>
      <c r="Q1147" s="50">
        <v>1</v>
      </c>
      <c r="U1147" s="50">
        <v>76007</v>
      </c>
      <c r="Y1147" s="4" t="s">
        <v>2820</v>
      </c>
    </row>
    <row r="1148" spans="1:25">
      <c r="A1148" s="4">
        <v>100071166</v>
      </c>
      <c r="B1148" s="4">
        <v>7</v>
      </c>
      <c r="D1148" s="4">
        <v>11</v>
      </c>
      <c r="E1148" s="4" t="s">
        <v>164</v>
      </c>
      <c r="F1148" s="4">
        <v>71161</v>
      </c>
      <c r="H1148" s="4">
        <f t="shared" si="81"/>
        <v>100071167</v>
      </c>
      <c r="I1148" s="4" t="s">
        <v>2821</v>
      </c>
      <c r="K1148" s="4" t="s">
        <v>1853</v>
      </c>
      <c r="N1148" s="38">
        <v>11022</v>
      </c>
      <c r="Q1148" s="50">
        <v>1</v>
      </c>
      <c r="U1148" s="50">
        <v>76007</v>
      </c>
      <c r="Y1148" s="4" t="s">
        <v>2822</v>
      </c>
    </row>
    <row r="1149" spans="1:25">
      <c r="A1149" s="4">
        <v>100071167</v>
      </c>
      <c r="B1149" s="4">
        <v>7</v>
      </c>
      <c r="D1149" s="4">
        <v>11</v>
      </c>
      <c r="E1149" s="4" t="s">
        <v>164</v>
      </c>
      <c r="F1149" s="4">
        <v>71161</v>
      </c>
      <c r="H1149" s="4">
        <f t="shared" si="81"/>
        <v>100071168</v>
      </c>
      <c r="I1149" s="4" t="s">
        <v>2823</v>
      </c>
      <c r="K1149" s="4" t="s">
        <v>1856</v>
      </c>
      <c r="N1149" s="38">
        <v>11022</v>
      </c>
      <c r="Q1149" s="50">
        <v>1</v>
      </c>
      <c r="U1149" s="50">
        <v>76007</v>
      </c>
      <c r="Y1149" s="4" t="s">
        <v>2824</v>
      </c>
    </row>
    <row r="1150" spans="1:25">
      <c r="A1150" s="4">
        <v>100071168</v>
      </c>
      <c r="B1150" s="4">
        <v>7</v>
      </c>
      <c r="D1150" s="4">
        <v>11</v>
      </c>
      <c r="E1150" s="4" t="s">
        <v>164</v>
      </c>
      <c r="F1150" s="4">
        <v>71161</v>
      </c>
      <c r="I1150" s="4" t="s">
        <v>2825</v>
      </c>
      <c r="K1150" s="4" t="s">
        <v>1772</v>
      </c>
      <c r="N1150" s="38">
        <v>11022</v>
      </c>
      <c r="Q1150" s="50">
        <v>1</v>
      </c>
      <c r="U1150" s="50">
        <v>76007</v>
      </c>
      <c r="Y1150" s="4" t="s">
        <v>2826</v>
      </c>
    </row>
    <row r="1151" spans="1:25">
      <c r="A1151" s="4">
        <v>100071171</v>
      </c>
      <c r="B1151" s="4">
        <v>7</v>
      </c>
      <c r="D1151" s="4">
        <v>11</v>
      </c>
      <c r="E1151" s="4" t="s">
        <v>164</v>
      </c>
      <c r="F1151" s="4">
        <v>71171</v>
      </c>
      <c r="H1151" s="4">
        <f t="shared" ref="H1151:H1155" si="82">A1152</f>
        <v>100071172</v>
      </c>
      <c r="I1151" s="4" t="s">
        <v>2827</v>
      </c>
      <c r="K1151" s="4" t="s">
        <v>1763</v>
      </c>
      <c r="N1151" s="38">
        <v>11022</v>
      </c>
      <c r="Q1151" s="50">
        <v>1</v>
      </c>
      <c r="U1151" s="50">
        <v>76008</v>
      </c>
      <c r="Y1151" s="4" t="s">
        <v>2828</v>
      </c>
    </row>
    <row r="1152" spans="1:25">
      <c r="A1152" s="4">
        <v>100071172</v>
      </c>
      <c r="B1152" s="4">
        <v>7</v>
      </c>
      <c r="D1152" s="4">
        <v>11</v>
      </c>
      <c r="E1152" s="4" t="s">
        <v>164</v>
      </c>
      <c r="F1152" s="4">
        <v>71171</v>
      </c>
      <c r="H1152" s="4">
        <f t="shared" si="82"/>
        <v>100071173</v>
      </c>
      <c r="I1152" s="4" t="s">
        <v>2829</v>
      </c>
      <c r="K1152" s="4" t="s">
        <v>1766</v>
      </c>
      <c r="N1152" s="38">
        <v>11022</v>
      </c>
      <c r="Q1152" s="50">
        <v>1</v>
      </c>
      <c r="U1152" s="50">
        <v>76008</v>
      </c>
      <c r="Y1152" s="4" t="s">
        <v>2830</v>
      </c>
    </row>
    <row r="1153" spans="1:25">
      <c r="A1153" s="4">
        <v>100071173</v>
      </c>
      <c r="B1153" s="4">
        <v>7</v>
      </c>
      <c r="D1153" s="4">
        <v>11</v>
      </c>
      <c r="E1153" s="4" t="s">
        <v>164</v>
      </c>
      <c r="F1153" s="4">
        <v>71171</v>
      </c>
      <c r="H1153" s="4">
        <f t="shared" si="82"/>
        <v>100071174</v>
      </c>
      <c r="I1153" s="4" t="s">
        <v>2831</v>
      </c>
      <c r="K1153" s="4" t="s">
        <v>1769</v>
      </c>
      <c r="N1153" s="38">
        <v>11022</v>
      </c>
      <c r="Q1153" s="50">
        <v>1</v>
      </c>
      <c r="U1153" s="50">
        <v>76008</v>
      </c>
      <c r="Y1153" s="4" t="s">
        <v>2832</v>
      </c>
    </row>
    <row r="1154" spans="1:25">
      <c r="A1154" s="4">
        <v>100071174</v>
      </c>
      <c r="B1154" s="4">
        <v>7</v>
      </c>
      <c r="D1154" s="4">
        <v>11</v>
      </c>
      <c r="E1154" s="4" t="s">
        <v>164</v>
      </c>
      <c r="F1154" s="4">
        <v>71171</v>
      </c>
      <c r="H1154" s="4">
        <f t="shared" si="82"/>
        <v>100071175</v>
      </c>
      <c r="I1154" s="4" t="s">
        <v>2833</v>
      </c>
      <c r="K1154" s="4" t="s">
        <v>1772</v>
      </c>
      <c r="N1154" s="38">
        <v>11022</v>
      </c>
      <c r="Q1154" s="50">
        <v>1</v>
      </c>
      <c r="U1154" s="50">
        <v>76008</v>
      </c>
      <c r="Y1154" s="4" t="s">
        <v>2834</v>
      </c>
    </row>
    <row r="1155" spans="1:25">
      <c r="A1155" s="4">
        <v>100071175</v>
      </c>
      <c r="B1155" s="4">
        <v>7</v>
      </c>
      <c r="D1155" s="4">
        <v>11</v>
      </c>
      <c r="E1155" s="4" t="s">
        <v>164</v>
      </c>
      <c r="F1155" s="4">
        <v>71171</v>
      </c>
      <c r="H1155" s="4">
        <f t="shared" si="82"/>
        <v>100071176</v>
      </c>
      <c r="I1155" s="4" t="s">
        <v>2835</v>
      </c>
      <c r="K1155" s="4" t="s">
        <v>1775</v>
      </c>
      <c r="N1155" s="38">
        <v>11022</v>
      </c>
      <c r="Q1155" s="50">
        <v>1</v>
      </c>
      <c r="U1155" s="50">
        <v>76008</v>
      </c>
      <c r="Y1155" s="4" t="s">
        <v>2836</v>
      </c>
    </row>
    <row r="1156" spans="1:25">
      <c r="A1156" s="4">
        <v>100071176</v>
      </c>
      <c r="B1156" s="4">
        <v>7</v>
      </c>
      <c r="D1156" s="4">
        <v>11</v>
      </c>
      <c r="E1156" s="4" t="s">
        <v>164</v>
      </c>
      <c r="F1156" s="4">
        <v>71171</v>
      </c>
      <c r="I1156" s="4" t="s">
        <v>2837</v>
      </c>
      <c r="K1156" s="4" t="s">
        <v>1778</v>
      </c>
      <c r="N1156" s="38">
        <v>11022</v>
      </c>
      <c r="Q1156" s="50">
        <v>1</v>
      </c>
      <c r="U1156" s="50">
        <v>76008</v>
      </c>
      <c r="Y1156" s="4" t="s">
        <v>2838</v>
      </c>
    </row>
    <row r="1157" spans="1:25">
      <c r="A1157" s="4">
        <v>100071201</v>
      </c>
      <c r="B1157" s="4">
        <v>7</v>
      </c>
      <c r="C1157" s="4" t="s">
        <v>1760</v>
      </c>
      <c r="D1157" s="4">
        <v>12</v>
      </c>
      <c r="E1157" s="4" t="s">
        <v>154</v>
      </c>
      <c r="F1157" s="4">
        <v>71201</v>
      </c>
      <c r="H1157" s="4">
        <f t="shared" ref="H1157:H1161" si="83">A1158</f>
        <v>100071202</v>
      </c>
      <c r="I1157" s="4" t="s">
        <v>1225</v>
      </c>
      <c r="K1157" s="4" t="s">
        <v>1763</v>
      </c>
      <c r="N1157" s="38">
        <v>3210</v>
      </c>
      <c r="Q1157" s="50">
        <v>1</v>
      </c>
      <c r="U1157" s="61">
        <v>76001</v>
      </c>
      <c r="Y1157" s="4" t="s">
        <v>2839</v>
      </c>
    </row>
    <row r="1158" spans="1:25">
      <c r="A1158" s="4">
        <v>100071202</v>
      </c>
      <c r="B1158" s="4">
        <v>7</v>
      </c>
      <c r="C1158" s="4" t="s">
        <v>1760</v>
      </c>
      <c r="D1158" s="4">
        <v>12</v>
      </c>
      <c r="E1158" s="4" t="s">
        <v>154</v>
      </c>
      <c r="F1158" s="4">
        <v>71201</v>
      </c>
      <c r="H1158" s="4">
        <f t="shared" si="83"/>
        <v>100071203</v>
      </c>
      <c r="I1158" s="4" t="s">
        <v>1236</v>
      </c>
      <c r="K1158" s="4" t="s">
        <v>1766</v>
      </c>
      <c r="N1158" s="38">
        <v>3210</v>
      </c>
      <c r="Q1158" s="50">
        <v>1</v>
      </c>
      <c r="U1158" s="61">
        <v>76001</v>
      </c>
      <c r="Y1158" s="4" t="s">
        <v>2840</v>
      </c>
    </row>
    <row r="1159" spans="1:25">
      <c r="A1159" s="4">
        <v>100071203</v>
      </c>
      <c r="B1159" s="4">
        <v>7</v>
      </c>
      <c r="C1159" s="4" t="s">
        <v>1760</v>
      </c>
      <c r="D1159" s="4">
        <v>12</v>
      </c>
      <c r="E1159" s="4" t="s">
        <v>154</v>
      </c>
      <c r="F1159" s="4">
        <v>71201</v>
      </c>
      <c r="H1159" s="4">
        <f t="shared" si="83"/>
        <v>100071204</v>
      </c>
      <c r="I1159" s="4" t="s">
        <v>1247</v>
      </c>
      <c r="K1159" s="4" t="s">
        <v>1769</v>
      </c>
      <c r="N1159" s="38">
        <v>3210</v>
      </c>
      <c r="Q1159" s="50">
        <v>1</v>
      </c>
      <c r="U1159" s="61">
        <v>76001</v>
      </c>
      <c r="Y1159" s="4" t="s">
        <v>2841</v>
      </c>
    </row>
    <row r="1160" spans="1:25">
      <c r="A1160" s="4">
        <v>100071204</v>
      </c>
      <c r="B1160" s="4">
        <v>7</v>
      </c>
      <c r="C1160" s="4" t="s">
        <v>1760</v>
      </c>
      <c r="D1160" s="4">
        <v>12</v>
      </c>
      <c r="E1160" s="4" t="s">
        <v>154</v>
      </c>
      <c r="F1160" s="4">
        <v>71201</v>
      </c>
      <c r="H1160" s="4">
        <f t="shared" si="83"/>
        <v>100071205</v>
      </c>
      <c r="I1160" s="4" t="s">
        <v>1253</v>
      </c>
      <c r="K1160" s="4" t="s">
        <v>1772</v>
      </c>
      <c r="N1160" s="38">
        <v>3210</v>
      </c>
      <c r="Q1160" s="50">
        <v>1</v>
      </c>
      <c r="U1160" s="61">
        <v>76001</v>
      </c>
      <c r="Y1160" s="4" t="s">
        <v>2842</v>
      </c>
    </row>
    <row r="1161" spans="1:25">
      <c r="A1161" s="4">
        <v>100071205</v>
      </c>
      <c r="B1161" s="4">
        <v>7</v>
      </c>
      <c r="C1161" s="4" t="s">
        <v>1760</v>
      </c>
      <c r="D1161" s="4">
        <v>12</v>
      </c>
      <c r="E1161" s="4" t="s">
        <v>154</v>
      </c>
      <c r="F1161" s="4">
        <v>71201</v>
      </c>
      <c r="H1161" s="4">
        <f t="shared" si="83"/>
        <v>100071206</v>
      </c>
      <c r="I1161" s="4" t="s">
        <v>2843</v>
      </c>
      <c r="K1161" s="4" t="s">
        <v>1775</v>
      </c>
      <c r="N1161" s="38">
        <v>3210</v>
      </c>
      <c r="Q1161" s="50">
        <v>1</v>
      </c>
      <c r="U1161" s="61">
        <v>76001</v>
      </c>
      <c r="Y1161" s="4" t="s">
        <v>2844</v>
      </c>
    </row>
    <row r="1162" spans="1:25">
      <c r="A1162" s="4">
        <v>100071206</v>
      </c>
      <c r="B1162" s="4">
        <v>7</v>
      </c>
      <c r="C1162" s="4" t="s">
        <v>1760</v>
      </c>
      <c r="D1162" s="4">
        <v>12</v>
      </c>
      <c r="E1162" s="4" t="s">
        <v>154</v>
      </c>
      <c r="F1162" s="4">
        <v>71201</v>
      </c>
      <c r="I1162" s="4" t="s">
        <v>2845</v>
      </c>
      <c r="K1162" s="4" t="s">
        <v>1778</v>
      </c>
      <c r="N1162" s="38">
        <v>3210</v>
      </c>
      <c r="Q1162" s="50">
        <v>1</v>
      </c>
      <c r="U1162" s="61">
        <v>76001</v>
      </c>
      <c r="Y1162" s="4" t="s">
        <v>2846</v>
      </c>
    </row>
    <row r="1163" spans="1:25">
      <c r="A1163" s="4">
        <v>100071211</v>
      </c>
      <c r="B1163" s="4">
        <v>7</v>
      </c>
      <c r="D1163" s="4">
        <v>12</v>
      </c>
      <c r="E1163" s="4" t="s">
        <v>154</v>
      </c>
      <c r="F1163" s="4">
        <v>71211</v>
      </c>
      <c r="H1163" s="4">
        <f t="shared" ref="H1163:H1167" si="84">A1164</f>
        <v>100071212</v>
      </c>
      <c r="I1163" s="4" t="s">
        <v>1228</v>
      </c>
      <c r="K1163" s="4" t="s">
        <v>1763</v>
      </c>
      <c r="N1163" s="38">
        <v>3311</v>
      </c>
      <c r="Q1163" s="50">
        <v>1</v>
      </c>
      <c r="U1163" s="50">
        <v>76002</v>
      </c>
      <c r="Y1163" s="4" t="s">
        <v>2847</v>
      </c>
    </row>
    <row r="1164" spans="1:25">
      <c r="A1164" s="4">
        <v>100071212</v>
      </c>
      <c r="B1164" s="4">
        <v>7</v>
      </c>
      <c r="D1164" s="4">
        <v>12</v>
      </c>
      <c r="E1164" s="4" t="s">
        <v>154</v>
      </c>
      <c r="F1164" s="4">
        <v>71211</v>
      </c>
      <c r="H1164" s="4">
        <f t="shared" si="84"/>
        <v>100071213</v>
      </c>
      <c r="I1164" s="4" t="s">
        <v>2848</v>
      </c>
      <c r="K1164" s="4" t="s">
        <v>1766</v>
      </c>
      <c r="N1164" s="38">
        <v>3311</v>
      </c>
      <c r="Q1164" s="50">
        <v>1</v>
      </c>
      <c r="U1164" s="50">
        <v>76002</v>
      </c>
      <c r="Y1164" s="4" t="s">
        <v>2849</v>
      </c>
    </row>
    <row r="1165" spans="1:25">
      <c r="A1165" s="4">
        <v>100071213</v>
      </c>
      <c r="B1165" s="4">
        <v>7</v>
      </c>
      <c r="D1165" s="4">
        <v>12</v>
      </c>
      <c r="E1165" s="4" t="s">
        <v>154</v>
      </c>
      <c r="F1165" s="4">
        <v>71211</v>
      </c>
      <c r="H1165" s="4">
        <f t="shared" si="84"/>
        <v>100071214</v>
      </c>
      <c r="I1165" s="4" t="s">
        <v>2850</v>
      </c>
      <c r="K1165" s="4" t="s">
        <v>1769</v>
      </c>
      <c r="N1165" s="38">
        <v>3311</v>
      </c>
      <c r="Q1165" s="50">
        <v>1</v>
      </c>
      <c r="U1165" s="50">
        <v>76002</v>
      </c>
      <c r="Y1165" s="4" t="s">
        <v>2851</v>
      </c>
    </row>
    <row r="1166" spans="1:25">
      <c r="A1166" s="4">
        <v>100071214</v>
      </c>
      <c r="B1166" s="4">
        <v>7</v>
      </c>
      <c r="D1166" s="4">
        <v>12</v>
      </c>
      <c r="E1166" s="4" t="s">
        <v>154</v>
      </c>
      <c r="F1166" s="4">
        <v>71211</v>
      </c>
      <c r="H1166" s="4">
        <f t="shared" si="84"/>
        <v>100071215</v>
      </c>
      <c r="I1166" s="4" t="s">
        <v>2852</v>
      </c>
      <c r="K1166" s="4" t="s">
        <v>1772</v>
      </c>
      <c r="N1166" s="38">
        <v>3311</v>
      </c>
      <c r="Q1166" s="50">
        <v>1</v>
      </c>
      <c r="U1166" s="50">
        <v>76002</v>
      </c>
      <c r="Y1166" s="4" t="s">
        <v>2853</v>
      </c>
    </row>
    <row r="1167" spans="1:25">
      <c r="A1167" s="4">
        <v>100071215</v>
      </c>
      <c r="B1167" s="4">
        <v>7</v>
      </c>
      <c r="D1167" s="4">
        <v>12</v>
      </c>
      <c r="E1167" s="4" t="s">
        <v>154</v>
      </c>
      <c r="F1167" s="4">
        <v>71211</v>
      </c>
      <c r="H1167" s="4">
        <f t="shared" si="84"/>
        <v>100071216</v>
      </c>
      <c r="I1167" s="4" t="s">
        <v>2854</v>
      </c>
      <c r="K1167" s="4" t="s">
        <v>1775</v>
      </c>
      <c r="N1167" s="38">
        <v>3311</v>
      </c>
      <c r="Q1167" s="50">
        <v>1</v>
      </c>
      <c r="U1167" s="50">
        <v>76002</v>
      </c>
      <c r="Y1167" s="4" t="s">
        <v>2855</v>
      </c>
    </row>
    <row r="1168" spans="1:25">
      <c r="A1168" s="4">
        <v>100071216</v>
      </c>
      <c r="B1168" s="4">
        <v>7</v>
      </c>
      <c r="D1168" s="4">
        <v>12</v>
      </c>
      <c r="E1168" s="4" t="s">
        <v>154</v>
      </c>
      <c r="F1168" s="4">
        <v>71211</v>
      </c>
      <c r="I1168" s="4" t="s">
        <v>2856</v>
      </c>
      <c r="K1168" s="4" t="s">
        <v>1778</v>
      </c>
      <c r="N1168" s="38">
        <v>3311</v>
      </c>
      <c r="Q1168" s="50">
        <v>1</v>
      </c>
      <c r="U1168" s="50">
        <v>76002</v>
      </c>
      <c r="Y1168" s="4" t="s">
        <v>2857</v>
      </c>
    </row>
    <row r="1169" spans="1:25">
      <c r="A1169" s="4">
        <v>100071221</v>
      </c>
      <c r="B1169" s="4">
        <v>7</v>
      </c>
      <c r="D1169" s="4">
        <v>12</v>
      </c>
      <c r="E1169" s="4" t="s">
        <v>154</v>
      </c>
      <c r="F1169" s="4">
        <v>71221</v>
      </c>
      <c r="H1169" s="4">
        <f t="shared" ref="H1169:H1173" si="85">A1170</f>
        <v>100071222</v>
      </c>
      <c r="I1169" s="4" t="s">
        <v>2858</v>
      </c>
      <c r="K1169" s="4" t="s">
        <v>1763</v>
      </c>
      <c r="N1169" s="38">
        <v>11021</v>
      </c>
      <c r="Q1169" s="50">
        <v>1</v>
      </c>
      <c r="U1169" s="50">
        <v>76003</v>
      </c>
      <c r="Y1169" s="4" t="s">
        <v>2859</v>
      </c>
    </row>
    <row r="1170" spans="1:25">
      <c r="A1170" s="4">
        <v>100071222</v>
      </c>
      <c r="B1170" s="4">
        <v>7</v>
      </c>
      <c r="D1170" s="4">
        <v>12</v>
      </c>
      <c r="E1170" s="4" t="s">
        <v>154</v>
      </c>
      <c r="F1170" s="4">
        <v>71221</v>
      </c>
      <c r="H1170" s="4">
        <f t="shared" si="85"/>
        <v>100071223</v>
      </c>
      <c r="I1170" s="4" t="s">
        <v>2860</v>
      </c>
      <c r="K1170" s="4" t="s">
        <v>1766</v>
      </c>
      <c r="N1170" s="38">
        <v>11021</v>
      </c>
      <c r="Q1170" s="50">
        <v>1</v>
      </c>
      <c r="U1170" s="50">
        <v>76003</v>
      </c>
      <c r="Y1170" s="4" t="s">
        <v>2861</v>
      </c>
    </row>
    <row r="1171" spans="1:25">
      <c r="A1171" s="4">
        <v>100071223</v>
      </c>
      <c r="B1171" s="4">
        <v>7</v>
      </c>
      <c r="D1171" s="4">
        <v>12</v>
      </c>
      <c r="E1171" s="4" t="s">
        <v>154</v>
      </c>
      <c r="F1171" s="4">
        <v>71221</v>
      </c>
      <c r="H1171" s="4">
        <f t="shared" si="85"/>
        <v>100071224</v>
      </c>
      <c r="I1171" s="4" t="s">
        <v>2862</v>
      </c>
      <c r="K1171" s="4" t="s">
        <v>1769</v>
      </c>
      <c r="N1171" s="38">
        <v>11021</v>
      </c>
      <c r="Q1171" s="50">
        <v>1</v>
      </c>
      <c r="U1171" s="50">
        <v>76003</v>
      </c>
      <c r="Y1171" s="4" t="s">
        <v>2863</v>
      </c>
    </row>
    <row r="1172" spans="1:25">
      <c r="A1172" s="4">
        <v>100071224</v>
      </c>
      <c r="B1172" s="4">
        <v>7</v>
      </c>
      <c r="D1172" s="4">
        <v>12</v>
      </c>
      <c r="E1172" s="4" t="s">
        <v>154</v>
      </c>
      <c r="F1172" s="4">
        <v>71221</v>
      </c>
      <c r="H1172" s="4">
        <f t="shared" si="85"/>
        <v>100071225</v>
      </c>
      <c r="I1172" s="4" t="s">
        <v>2864</v>
      </c>
      <c r="K1172" s="4" t="s">
        <v>1772</v>
      </c>
      <c r="N1172" s="38">
        <v>11021</v>
      </c>
      <c r="Q1172" s="50">
        <v>1</v>
      </c>
      <c r="U1172" s="50">
        <v>76003</v>
      </c>
      <c r="Y1172" s="4" t="s">
        <v>2865</v>
      </c>
    </row>
    <row r="1173" spans="1:25">
      <c r="A1173" s="4">
        <v>100071225</v>
      </c>
      <c r="B1173" s="4">
        <v>7</v>
      </c>
      <c r="D1173" s="4">
        <v>12</v>
      </c>
      <c r="E1173" s="4" t="s">
        <v>154</v>
      </c>
      <c r="F1173" s="4">
        <v>71221</v>
      </c>
      <c r="H1173" s="4">
        <f t="shared" si="85"/>
        <v>100071226</v>
      </c>
      <c r="I1173" s="4" t="s">
        <v>2866</v>
      </c>
      <c r="K1173" s="4" t="s">
        <v>1775</v>
      </c>
      <c r="N1173" s="38">
        <v>11021</v>
      </c>
      <c r="Q1173" s="50">
        <v>1</v>
      </c>
      <c r="U1173" s="50">
        <v>76003</v>
      </c>
      <c r="Y1173" s="4" t="s">
        <v>2867</v>
      </c>
    </row>
    <row r="1174" spans="1:25">
      <c r="A1174" s="4">
        <v>100071226</v>
      </c>
      <c r="B1174" s="4">
        <v>7</v>
      </c>
      <c r="D1174" s="4">
        <v>12</v>
      </c>
      <c r="E1174" s="4" t="s">
        <v>154</v>
      </c>
      <c r="F1174" s="4">
        <v>71221</v>
      </c>
      <c r="I1174" s="4" t="s">
        <v>2868</v>
      </c>
      <c r="K1174" s="4" t="s">
        <v>1778</v>
      </c>
      <c r="N1174" s="38">
        <v>11021</v>
      </c>
      <c r="Q1174" s="50">
        <v>1</v>
      </c>
      <c r="U1174" s="50">
        <v>76003</v>
      </c>
      <c r="Y1174" s="4" t="s">
        <v>2869</v>
      </c>
    </row>
    <row r="1175" spans="1:25">
      <c r="A1175" s="4">
        <v>100071231</v>
      </c>
      <c r="B1175" s="4">
        <v>7</v>
      </c>
      <c r="D1175" s="4">
        <v>12</v>
      </c>
      <c r="E1175" s="4" t="s">
        <v>154</v>
      </c>
      <c r="F1175" s="4">
        <v>71231</v>
      </c>
      <c r="H1175" s="4">
        <f t="shared" ref="H1175:H1179" si="86">A1176</f>
        <v>100071232</v>
      </c>
      <c r="I1175" s="4" t="s">
        <v>2870</v>
      </c>
      <c r="K1175" s="4" t="s">
        <v>1763</v>
      </c>
      <c r="N1175" s="38">
        <v>11021</v>
      </c>
      <c r="Q1175" s="50">
        <v>1</v>
      </c>
      <c r="U1175" s="50">
        <v>76004</v>
      </c>
      <c r="Y1175" s="4" t="s">
        <v>2871</v>
      </c>
    </row>
    <row r="1176" spans="1:25">
      <c r="A1176" s="4">
        <v>100071232</v>
      </c>
      <c r="B1176" s="4">
        <v>7</v>
      </c>
      <c r="D1176" s="4">
        <v>12</v>
      </c>
      <c r="E1176" s="4" t="s">
        <v>154</v>
      </c>
      <c r="F1176" s="4">
        <v>71231</v>
      </c>
      <c r="H1176" s="4">
        <f t="shared" si="86"/>
        <v>100071233</v>
      </c>
      <c r="I1176" s="4" t="s">
        <v>2872</v>
      </c>
      <c r="K1176" s="4" t="s">
        <v>1766</v>
      </c>
      <c r="N1176" s="38">
        <v>11021</v>
      </c>
      <c r="Q1176" s="50">
        <v>1</v>
      </c>
      <c r="U1176" s="50">
        <v>76004</v>
      </c>
      <c r="Y1176" s="4" t="s">
        <v>2873</v>
      </c>
    </row>
    <row r="1177" spans="1:25">
      <c r="A1177" s="4">
        <v>100071233</v>
      </c>
      <c r="B1177" s="4">
        <v>7</v>
      </c>
      <c r="D1177" s="4">
        <v>12</v>
      </c>
      <c r="E1177" s="4" t="s">
        <v>154</v>
      </c>
      <c r="F1177" s="4">
        <v>71231</v>
      </c>
      <c r="H1177" s="4">
        <f t="shared" si="86"/>
        <v>100071234</v>
      </c>
      <c r="I1177" s="4" t="s">
        <v>2874</v>
      </c>
      <c r="K1177" s="4" t="s">
        <v>1769</v>
      </c>
      <c r="N1177" s="38">
        <v>11021</v>
      </c>
      <c r="Q1177" s="50">
        <v>1</v>
      </c>
      <c r="U1177" s="50">
        <v>76004</v>
      </c>
      <c r="Y1177" s="4" t="s">
        <v>2875</v>
      </c>
    </row>
    <row r="1178" spans="1:25">
      <c r="A1178" s="4">
        <v>100071234</v>
      </c>
      <c r="B1178" s="4">
        <v>7</v>
      </c>
      <c r="D1178" s="4">
        <v>12</v>
      </c>
      <c r="E1178" s="4" t="s">
        <v>154</v>
      </c>
      <c r="F1178" s="4">
        <v>71231</v>
      </c>
      <c r="H1178" s="4">
        <f t="shared" si="86"/>
        <v>100071235</v>
      </c>
      <c r="I1178" s="4" t="s">
        <v>2876</v>
      </c>
      <c r="K1178" s="4" t="s">
        <v>1772</v>
      </c>
      <c r="N1178" s="38">
        <v>11021</v>
      </c>
      <c r="Q1178" s="50">
        <v>1</v>
      </c>
      <c r="U1178" s="50">
        <v>76004</v>
      </c>
      <c r="Y1178" s="4" t="s">
        <v>2877</v>
      </c>
    </row>
    <row r="1179" spans="1:25">
      <c r="A1179" s="4">
        <v>100071235</v>
      </c>
      <c r="B1179" s="4">
        <v>7</v>
      </c>
      <c r="D1179" s="4">
        <v>12</v>
      </c>
      <c r="E1179" s="4" t="s">
        <v>154</v>
      </c>
      <c r="F1179" s="4">
        <v>71231</v>
      </c>
      <c r="H1179" s="4">
        <f t="shared" si="86"/>
        <v>100071236</v>
      </c>
      <c r="I1179" s="4" t="s">
        <v>2878</v>
      </c>
      <c r="K1179" s="4" t="s">
        <v>1775</v>
      </c>
      <c r="N1179" s="38">
        <v>11021</v>
      </c>
      <c r="Q1179" s="50">
        <v>1</v>
      </c>
      <c r="U1179" s="50">
        <v>76004</v>
      </c>
      <c r="Y1179" s="4" t="s">
        <v>2879</v>
      </c>
    </row>
    <row r="1180" spans="1:25">
      <c r="A1180" s="4">
        <v>100071236</v>
      </c>
      <c r="B1180" s="4">
        <v>7</v>
      </c>
      <c r="D1180" s="4">
        <v>12</v>
      </c>
      <c r="E1180" s="4" t="s">
        <v>154</v>
      </c>
      <c r="F1180" s="4">
        <v>71231</v>
      </c>
      <c r="I1180" s="4" t="s">
        <v>2880</v>
      </c>
      <c r="K1180" s="4" t="s">
        <v>1778</v>
      </c>
      <c r="N1180" s="38">
        <v>11021</v>
      </c>
      <c r="Q1180" s="50">
        <v>1</v>
      </c>
      <c r="U1180" s="50">
        <v>76004</v>
      </c>
      <c r="Y1180" s="4" t="s">
        <v>2881</v>
      </c>
    </row>
    <row r="1181" spans="1:25">
      <c r="A1181" s="4">
        <v>100071241</v>
      </c>
      <c r="B1181" s="4">
        <v>7</v>
      </c>
      <c r="D1181" s="4">
        <v>12</v>
      </c>
      <c r="E1181" s="4" t="s">
        <v>154</v>
      </c>
      <c r="F1181" s="4">
        <v>71241</v>
      </c>
      <c r="H1181" s="4">
        <f t="shared" ref="H1181:H1185" si="87">A1182</f>
        <v>100071242</v>
      </c>
      <c r="I1181" s="4" t="s">
        <v>2882</v>
      </c>
      <c r="K1181" s="4" t="s">
        <v>1763</v>
      </c>
      <c r="N1181" s="38">
        <v>11021</v>
      </c>
      <c r="Q1181" s="50">
        <v>1</v>
      </c>
      <c r="U1181" s="50">
        <v>76005</v>
      </c>
      <c r="Y1181" s="4" t="s">
        <v>2883</v>
      </c>
    </row>
    <row r="1182" spans="1:25">
      <c r="A1182" s="4">
        <v>100071242</v>
      </c>
      <c r="B1182" s="4">
        <v>7</v>
      </c>
      <c r="D1182" s="4">
        <v>12</v>
      </c>
      <c r="E1182" s="4" t="s">
        <v>154</v>
      </c>
      <c r="F1182" s="4">
        <v>71241</v>
      </c>
      <c r="H1182" s="4">
        <f t="shared" si="87"/>
        <v>100071243</v>
      </c>
      <c r="I1182" s="4" t="s">
        <v>2884</v>
      </c>
      <c r="K1182" s="4" t="s">
        <v>1766</v>
      </c>
      <c r="N1182" s="38">
        <v>11021</v>
      </c>
      <c r="Q1182" s="50">
        <v>1</v>
      </c>
      <c r="U1182" s="50">
        <v>76005</v>
      </c>
      <c r="Y1182" s="4" t="s">
        <v>2885</v>
      </c>
    </row>
    <row r="1183" spans="1:25">
      <c r="A1183" s="4">
        <v>100071243</v>
      </c>
      <c r="B1183" s="4">
        <v>7</v>
      </c>
      <c r="D1183" s="4">
        <v>12</v>
      </c>
      <c r="E1183" s="4" t="s">
        <v>154</v>
      </c>
      <c r="F1183" s="4">
        <v>71241</v>
      </c>
      <c r="H1183" s="4">
        <f t="shared" si="87"/>
        <v>100071244</v>
      </c>
      <c r="I1183" s="4" t="s">
        <v>2886</v>
      </c>
      <c r="K1183" s="4" t="s">
        <v>1769</v>
      </c>
      <c r="N1183" s="38">
        <v>11021</v>
      </c>
      <c r="Q1183" s="50">
        <v>1</v>
      </c>
      <c r="U1183" s="50">
        <v>76005</v>
      </c>
      <c r="Y1183" s="4" t="s">
        <v>2887</v>
      </c>
    </row>
    <row r="1184" spans="1:25">
      <c r="A1184" s="4">
        <v>100071244</v>
      </c>
      <c r="B1184" s="4">
        <v>7</v>
      </c>
      <c r="D1184" s="4">
        <v>12</v>
      </c>
      <c r="E1184" s="4" t="s">
        <v>154</v>
      </c>
      <c r="F1184" s="4">
        <v>71241</v>
      </c>
      <c r="H1184" s="4">
        <f t="shared" si="87"/>
        <v>100071245</v>
      </c>
      <c r="I1184" s="4" t="s">
        <v>2888</v>
      </c>
      <c r="K1184" s="4" t="s">
        <v>1772</v>
      </c>
      <c r="N1184" s="38">
        <v>11021</v>
      </c>
      <c r="Q1184" s="50">
        <v>1</v>
      </c>
      <c r="U1184" s="50">
        <v>76005</v>
      </c>
      <c r="Y1184" s="4" t="s">
        <v>2889</v>
      </c>
    </row>
    <row r="1185" spans="1:25">
      <c r="A1185" s="4">
        <v>100071245</v>
      </c>
      <c r="B1185" s="4">
        <v>7</v>
      </c>
      <c r="D1185" s="4">
        <v>12</v>
      </c>
      <c r="E1185" s="4" t="s">
        <v>154</v>
      </c>
      <c r="F1185" s="4">
        <v>71241</v>
      </c>
      <c r="H1185" s="4">
        <f t="shared" si="87"/>
        <v>100071246</v>
      </c>
      <c r="I1185" s="4" t="s">
        <v>2890</v>
      </c>
      <c r="K1185" s="4" t="s">
        <v>1775</v>
      </c>
      <c r="N1185" s="38">
        <v>11021</v>
      </c>
      <c r="Q1185" s="50">
        <v>1</v>
      </c>
      <c r="U1185" s="50">
        <v>76005</v>
      </c>
      <c r="Y1185" s="4" t="s">
        <v>2891</v>
      </c>
    </row>
    <row r="1186" spans="1:25">
      <c r="A1186" s="4">
        <v>100071246</v>
      </c>
      <c r="B1186" s="4">
        <v>7</v>
      </c>
      <c r="D1186" s="4">
        <v>12</v>
      </c>
      <c r="E1186" s="4" t="s">
        <v>154</v>
      </c>
      <c r="F1186" s="4">
        <v>71241</v>
      </c>
      <c r="I1186" s="4" t="s">
        <v>2892</v>
      </c>
      <c r="K1186" s="4" t="s">
        <v>1778</v>
      </c>
      <c r="N1186" s="38">
        <v>11021</v>
      </c>
      <c r="Q1186" s="50">
        <v>1</v>
      </c>
      <c r="U1186" s="50">
        <v>76005</v>
      </c>
      <c r="Y1186" s="4" t="s">
        <v>2893</v>
      </c>
    </row>
    <row r="1187" spans="1:25">
      <c r="A1187" s="4">
        <v>100071251</v>
      </c>
      <c r="B1187" s="4">
        <v>7</v>
      </c>
      <c r="D1187" s="4">
        <v>12</v>
      </c>
      <c r="E1187" s="4" t="s">
        <v>154</v>
      </c>
      <c r="F1187" s="4">
        <v>71251</v>
      </c>
      <c r="H1187" s="4">
        <f t="shared" ref="H1187:H1191" si="88">A1188</f>
        <v>100071252</v>
      </c>
      <c r="I1187" s="4" t="s">
        <v>2894</v>
      </c>
      <c r="K1187" s="4" t="s">
        <v>1763</v>
      </c>
      <c r="N1187" s="38">
        <v>11021</v>
      </c>
      <c r="Q1187" s="50">
        <v>1</v>
      </c>
      <c r="U1187" s="50">
        <v>76006</v>
      </c>
      <c r="Y1187" s="4" t="s">
        <v>2895</v>
      </c>
    </row>
    <row r="1188" spans="1:25">
      <c r="A1188" s="4">
        <v>100071252</v>
      </c>
      <c r="B1188" s="4">
        <v>7</v>
      </c>
      <c r="D1188" s="4">
        <v>12</v>
      </c>
      <c r="E1188" s="4" t="s">
        <v>154</v>
      </c>
      <c r="F1188" s="4">
        <v>71251</v>
      </c>
      <c r="H1188" s="4">
        <f t="shared" si="88"/>
        <v>100071253</v>
      </c>
      <c r="I1188" s="4" t="s">
        <v>2896</v>
      </c>
      <c r="K1188" s="4" t="s">
        <v>1766</v>
      </c>
      <c r="N1188" s="38">
        <v>11021</v>
      </c>
      <c r="Q1188" s="50">
        <v>1</v>
      </c>
      <c r="U1188" s="50">
        <v>76006</v>
      </c>
      <c r="Y1188" s="4" t="s">
        <v>2897</v>
      </c>
    </row>
    <row r="1189" spans="1:25">
      <c r="A1189" s="4">
        <v>100071253</v>
      </c>
      <c r="B1189" s="4">
        <v>7</v>
      </c>
      <c r="D1189" s="4">
        <v>12</v>
      </c>
      <c r="E1189" s="4" t="s">
        <v>154</v>
      </c>
      <c r="F1189" s="4">
        <v>71251</v>
      </c>
      <c r="H1189" s="4">
        <f t="shared" si="88"/>
        <v>100071254</v>
      </c>
      <c r="I1189" s="4" t="s">
        <v>2898</v>
      </c>
      <c r="K1189" s="4" t="s">
        <v>1769</v>
      </c>
      <c r="N1189" s="38">
        <v>11021</v>
      </c>
      <c r="Q1189" s="50">
        <v>1</v>
      </c>
      <c r="U1189" s="50">
        <v>76006</v>
      </c>
      <c r="Y1189" s="4" t="s">
        <v>2899</v>
      </c>
    </row>
    <row r="1190" spans="1:25">
      <c r="A1190" s="4">
        <v>100071254</v>
      </c>
      <c r="B1190" s="4">
        <v>7</v>
      </c>
      <c r="D1190" s="4">
        <v>12</v>
      </c>
      <c r="E1190" s="4" t="s">
        <v>154</v>
      </c>
      <c r="F1190" s="4">
        <v>71251</v>
      </c>
      <c r="H1190" s="4">
        <f t="shared" si="88"/>
        <v>100071255</v>
      </c>
      <c r="I1190" s="4" t="s">
        <v>2900</v>
      </c>
      <c r="K1190" s="4" t="s">
        <v>1772</v>
      </c>
      <c r="N1190" s="38">
        <v>11021</v>
      </c>
      <c r="Q1190" s="50">
        <v>1</v>
      </c>
      <c r="U1190" s="50">
        <v>76006</v>
      </c>
      <c r="Y1190" s="4" t="s">
        <v>2901</v>
      </c>
    </row>
    <row r="1191" spans="1:25">
      <c r="A1191" s="4">
        <v>100071255</v>
      </c>
      <c r="B1191" s="4">
        <v>7</v>
      </c>
      <c r="D1191" s="4">
        <v>12</v>
      </c>
      <c r="E1191" s="4" t="s">
        <v>154</v>
      </c>
      <c r="F1191" s="4">
        <v>71251</v>
      </c>
      <c r="H1191" s="4">
        <f t="shared" si="88"/>
        <v>100071256</v>
      </c>
      <c r="I1191" s="4" t="s">
        <v>2902</v>
      </c>
      <c r="K1191" s="4" t="s">
        <v>1775</v>
      </c>
      <c r="N1191" s="38">
        <v>11021</v>
      </c>
      <c r="Q1191" s="50">
        <v>1</v>
      </c>
      <c r="U1191" s="50">
        <v>76006</v>
      </c>
      <c r="Y1191" s="4" t="s">
        <v>2903</v>
      </c>
    </row>
    <row r="1192" spans="1:25">
      <c r="A1192" s="4">
        <v>100071256</v>
      </c>
      <c r="B1192" s="4">
        <v>7</v>
      </c>
      <c r="D1192" s="4">
        <v>12</v>
      </c>
      <c r="E1192" s="4" t="s">
        <v>154</v>
      </c>
      <c r="F1192" s="4">
        <v>71251</v>
      </c>
      <c r="I1192" s="4" t="s">
        <v>2904</v>
      </c>
      <c r="K1192" s="4" t="s">
        <v>1778</v>
      </c>
      <c r="N1192" s="38">
        <v>11021</v>
      </c>
      <c r="Q1192" s="50">
        <v>1</v>
      </c>
      <c r="U1192" s="50">
        <v>76006</v>
      </c>
      <c r="Y1192" s="4" t="s">
        <v>2905</v>
      </c>
    </row>
    <row r="1193" spans="1:25">
      <c r="A1193" s="4">
        <v>100071261</v>
      </c>
      <c r="B1193" s="4">
        <v>7</v>
      </c>
      <c r="D1193" s="4">
        <v>12</v>
      </c>
      <c r="E1193" s="4" t="s">
        <v>154</v>
      </c>
      <c r="F1193" s="4">
        <v>71261</v>
      </c>
      <c r="H1193" s="4">
        <f t="shared" ref="H1193:H1199" si="89">A1194</f>
        <v>100071262</v>
      </c>
      <c r="I1193" s="4" t="s">
        <v>2906</v>
      </c>
      <c r="K1193" s="4" t="s">
        <v>1763</v>
      </c>
      <c r="N1193" s="38">
        <v>11021</v>
      </c>
      <c r="Q1193" s="50">
        <v>1</v>
      </c>
      <c r="U1193" s="50">
        <v>76007</v>
      </c>
      <c r="Y1193" s="4" t="s">
        <v>2907</v>
      </c>
    </row>
    <row r="1194" spans="1:25">
      <c r="A1194" s="4">
        <v>100071262</v>
      </c>
      <c r="B1194" s="4">
        <v>7</v>
      </c>
      <c r="D1194" s="4">
        <v>12</v>
      </c>
      <c r="E1194" s="4" t="s">
        <v>154</v>
      </c>
      <c r="F1194" s="4">
        <v>71261</v>
      </c>
      <c r="H1194" s="4">
        <f t="shared" si="89"/>
        <v>100071263</v>
      </c>
      <c r="I1194" s="4" t="s">
        <v>2908</v>
      </c>
      <c r="K1194" s="4" t="s">
        <v>1766</v>
      </c>
      <c r="N1194" s="38">
        <v>11021</v>
      </c>
      <c r="Q1194" s="50">
        <v>1</v>
      </c>
      <c r="U1194" s="50">
        <v>76007</v>
      </c>
      <c r="Y1194" s="4" t="s">
        <v>2909</v>
      </c>
    </row>
    <row r="1195" spans="1:25">
      <c r="A1195" s="4">
        <v>100071263</v>
      </c>
      <c r="B1195" s="4">
        <v>7</v>
      </c>
      <c r="D1195" s="4">
        <v>12</v>
      </c>
      <c r="E1195" s="4" t="s">
        <v>154</v>
      </c>
      <c r="F1195" s="4">
        <v>71261</v>
      </c>
      <c r="H1195" s="4">
        <f t="shared" si="89"/>
        <v>100071264</v>
      </c>
      <c r="I1195" s="4" t="s">
        <v>2910</v>
      </c>
      <c r="K1195" s="4" t="s">
        <v>1845</v>
      </c>
      <c r="N1195" s="38">
        <v>11021</v>
      </c>
      <c r="Q1195" s="50">
        <v>1</v>
      </c>
      <c r="U1195" s="50">
        <v>76007</v>
      </c>
      <c r="Y1195" s="4" t="s">
        <v>2911</v>
      </c>
    </row>
    <row r="1196" spans="1:25">
      <c r="A1196" s="4">
        <v>100071264</v>
      </c>
      <c r="B1196" s="4">
        <v>7</v>
      </c>
      <c r="D1196" s="4">
        <v>12</v>
      </c>
      <c r="E1196" s="4" t="s">
        <v>154</v>
      </c>
      <c r="F1196" s="4">
        <v>71261</v>
      </c>
      <c r="H1196" s="4">
        <f t="shared" si="89"/>
        <v>100071265</v>
      </c>
      <c r="I1196" s="4" t="s">
        <v>2912</v>
      </c>
      <c r="K1196" s="4" t="s">
        <v>1769</v>
      </c>
      <c r="N1196" s="38">
        <v>11021</v>
      </c>
      <c r="Q1196" s="50">
        <v>1</v>
      </c>
      <c r="U1196" s="50">
        <v>76007</v>
      </c>
      <c r="Y1196" s="4" t="s">
        <v>2913</v>
      </c>
    </row>
    <row r="1197" spans="1:25">
      <c r="A1197" s="4">
        <v>100071265</v>
      </c>
      <c r="B1197" s="4">
        <v>7</v>
      </c>
      <c r="D1197" s="4">
        <v>12</v>
      </c>
      <c r="E1197" s="4" t="s">
        <v>154</v>
      </c>
      <c r="F1197" s="4">
        <v>71261</v>
      </c>
      <c r="H1197" s="4">
        <f t="shared" si="89"/>
        <v>100071266</v>
      </c>
      <c r="I1197" s="4" t="s">
        <v>2914</v>
      </c>
      <c r="K1197" s="4" t="s">
        <v>1850</v>
      </c>
      <c r="N1197" s="38">
        <v>11021</v>
      </c>
      <c r="Q1197" s="50">
        <v>1</v>
      </c>
      <c r="U1197" s="50">
        <v>76007</v>
      </c>
      <c r="Y1197" s="4" t="s">
        <v>2915</v>
      </c>
    </row>
    <row r="1198" spans="1:25">
      <c r="A1198" s="4">
        <v>100071266</v>
      </c>
      <c r="B1198" s="4">
        <v>7</v>
      </c>
      <c r="D1198" s="4">
        <v>12</v>
      </c>
      <c r="E1198" s="4" t="s">
        <v>154</v>
      </c>
      <c r="F1198" s="4">
        <v>71261</v>
      </c>
      <c r="H1198" s="4">
        <f t="shared" si="89"/>
        <v>100071267</v>
      </c>
      <c r="I1198" s="4" t="s">
        <v>2916</v>
      </c>
      <c r="K1198" s="4" t="s">
        <v>1853</v>
      </c>
      <c r="N1198" s="38">
        <v>11021</v>
      </c>
      <c r="Q1198" s="50">
        <v>1</v>
      </c>
      <c r="U1198" s="50">
        <v>76007</v>
      </c>
      <c r="Y1198" s="4" t="s">
        <v>2917</v>
      </c>
    </row>
    <row r="1199" spans="1:25">
      <c r="A1199" s="4">
        <v>100071267</v>
      </c>
      <c r="B1199" s="4">
        <v>7</v>
      </c>
      <c r="D1199" s="4">
        <v>12</v>
      </c>
      <c r="E1199" s="4" t="s">
        <v>154</v>
      </c>
      <c r="F1199" s="4">
        <v>71261</v>
      </c>
      <c r="H1199" s="4">
        <f t="shared" si="89"/>
        <v>100071268</v>
      </c>
      <c r="I1199" s="4" t="s">
        <v>2918</v>
      </c>
      <c r="K1199" s="4" t="s">
        <v>1856</v>
      </c>
      <c r="N1199" s="38">
        <v>11021</v>
      </c>
      <c r="Q1199" s="50">
        <v>1</v>
      </c>
      <c r="U1199" s="50">
        <v>76007</v>
      </c>
      <c r="Y1199" s="4" t="s">
        <v>2919</v>
      </c>
    </row>
    <row r="1200" spans="1:25">
      <c r="A1200" s="4">
        <v>100071268</v>
      </c>
      <c r="B1200" s="4">
        <v>7</v>
      </c>
      <c r="D1200" s="4">
        <v>12</v>
      </c>
      <c r="E1200" s="4" t="s">
        <v>154</v>
      </c>
      <c r="F1200" s="4">
        <v>71261</v>
      </c>
      <c r="I1200" s="4" t="s">
        <v>2920</v>
      </c>
      <c r="K1200" s="4" t="s">
        <v>1772</v>
      </c>
      <c r="N1200" s="38">
        <v>11021</v>
      </c>
      <c r="Q1200" s="50">
        <v>1</v>
      </c>
      <c r="U1200" s="50">
        <v>76007</v>
      </c>
      <c r="Y1200" s="4" t="s">
        <v>2921</v>
      </c>
    </row>
    <row r="1201" spans="1:25">
      <c r="A1201" s="4">
        <v>100071271</v>
      </c>
      <c r="B1201" s="4">
        <v>7</v>
      </c>
      <c r="D1201" s="4">
        <v>12</v>
      </c>
      <c r="E1201" s="4" t="s">
        <v>154</v>
      </c>
      <c r="F1201" s="4">
        <v>71271</v>
      </c>
      <c r="H1201" s="4">
        <f t="shared" ref="H1201:H1205" si="90">A1202</f>
        <v>100071272</v>
      </c>
      <c r="I1201" s="4" t="s">
        <v>2922</v>
      </c>
      <c r="K1201" s="4" t="s">
        <v>1763</v>
      </c>
      <c r="N1201" s="38">
        <v>11021</v>
      </c>
      <c r="Q1201" s="50">
        <v>1</v>
      </c>
      <c r="U1201" s="50">
        <v>76008</v>
      </c>
      <c r="Y1201" s="4" t="s">
        <v>2923</v>
      </c>
    </row>
    <row r="1202" spans="1:25">
      <c r="A1202" s="4">
        <v>100071272</v>
      </c>
      <c r="B1202" s="4">
        <v>7</v>
      </c>
      <c r="D1202" s="4">
        <v>12</v>
      </c>
      <c r="E1202" s="4" t="s">
        <v>154</v>
      </c>
      <c r="F1202" s="4">
        <v>71271</v>
      </c>
      <c r="H1202" s="4">
        <f t="shared" si="90"/>
        <v>100071273</v>
      </c>
      <c r="I1202" s="4" t="s">
        <v>2924</v>
      </c>
      <c r="K1202" s="4" t="s">
        <v>1766</v>
      </c>
      <c r="N1202" s="38">
        <v>11021</v>
      </c>
      <c r="Q1202" s="50">
        <v>1</v>
      </c>
      <c r="U1202" s="50">
        <v>76008</v>
      </c>
      <c r="Y1202" s="4" t="s">
        <v>2925</v>
      </c>
    </row>
    <row r="1203" spans="1:25">
      <c r="A1203" s="4">
        <v>100071273</v>
      </c>
      <c r="B1203" s="4">
        <v>7</v>
      </c>
      <c r="D1203" s="4">
        <v>12</v>
      </c>
      <c r="E1203" s="4" t="s">
        <v>154</v>
      </c>
      <c r="F1203" s="4">
        <v>71271</v>
      </c>
      <c r="H1203" s="4">
        <f t="shared" si="90"/>
        <v>100071274</v>
      </c>
      <c r="I1203" s="4" t="s">
        <v>2926</v>
      </c>
      <c r="K1203" s="4" t="s">
        <v>1769</v>
      </c>
      <c r="N1203" s="38">
        <v>11021</v>
      </c>
      <c r="Q1203" s="50">
        <v>1</v>
      </c>
      <c r="U1203" s="50">
        <v>76008</v>
      </c>
      <c r="Y1203" s="4" t="s">
        <v>2927</v>
      </c>
    </row>
    <row r="1204" spans="1:25">
      <c r="A1204" s="4">
        <v>100071274</v>
      </c>
      <c r="B1204" s="4">
        <v>7</v>
      </c>
      <c r="D1204" s="4">
        <v>12</v>
      </c>
      <c r="E1204" s="4" t="s">
        <v>154</v>
      </c>
      <c r="F1204" s="4">
        <v>71271</v>
      </c>
      <c r="H1204" s="4">
        <f t="shared" si="90"/>
        <v>100071275</v>
      </c>
      <c r="I1204" s="4" t="s">
        <v>2928</v>
      </c>
      <c r="K1204" s="4" t="s">
        <v>1772</v>
      </c>
      <c r="N1204" s="38">
        <v>11021</v>
      </c>
      <c r="Q1204" s="50">
        <v>1</v>
      </c>
      <c r="U1204" s="50">
        <v>76008</v>
      </c>
      <c r="Y1204" s="4" t="s">
        <v>2929</v>
      </c>
    </row>
    <row r="1205" spans="1:25">
      <c r="A1205" s="4">
        <v>100071275</v>
      </c>
      <c r="B1205" s="4">
        <v>7</v>
      </c>
      <c r="D1205" s="4">
        <v>12</v>
      </c>
      <c r="E1205" s="4" t="s">
        <v>154</v>
      </c>
      <c r="F1205" s="4">
        <v>71271</v>
      </c>
      <c r="H1205" s="4">
        <f t="shared" si="90"/>
        <v>100071276</v>
      </c>
      <c r="I1205" s="4" t="s">
        <v>2930</v>
      </c>
      <c r="K1205" s="4" t="s">
        <v>1775</v>
      </c>
      <c r="N1205" s="38">
        <v>11021</v>
      </c>
      <c r="Q1205" s="50">
        <v>1</v>
      </c>
      <c r="U1205" s="50">
        <v>76008</v>
      </c>
      <c r="Y1205" s="4" t="s">
        <v>2931</v>
      </c>
    </row>
    <row r="1206" spans="1:25">
      <c r="A1206" s="4">
        <v>100071276</v>
      </c>
      <c r="B1206" s="4">
        <v>7</v>
      </c>
      <c r="D1206" s="4">
        <v>12</v>
      </c>
      <c r="E1206" s="4" t="s">
        <v>154</v>
      </c>
      <c r="F1206" s="4">
        <v>71271</v>
      </c>
      <c r="I1206" s="4" t="s">
        <v>2932</v>
      </c>
      <c r="K1206" s="4" t="s">
        <v>1778</v>
      </c>
      <c r="N1206" s="38">
        <v>11021</v>
      </c>
      <c r="Q1206" s="50">
        <v>1</v>
      </c>
      <c r="U1206" s="50">
        <v>76008</v>
      </c>
      <c r="Y1206" s="4" t="s">
        <v>2933</v>
      </c>
    </row>
  </sheetData>
  <conditionalFormatting sqref="V1">
    <cfRule type="duplicateValues" dxfId="0" priority="118"/>
  </conditionalFormatting>
  <conditionalFormatting sqref="A397:A504">
    <cfRule type="duplicateValues" dxfId="0" priority="124"/>
  </conditionalFormatting>
  <conditionalFormatting sqref="A657:A706">
    <cfRule type="duplicateValues" dxfId="0" priority="108"/>
  </conditionalFormatting>
  <conditionalFormatting sqref="A707:A756">
    <cfRule type="duplicateValues" dxfId="0" priority="100"/>
  </conditionalFormatting>
  <conditionalFormatting sqref="A757:A806">
    <cfRule type="duplicateValues" dxfId="0" priority="92"/>
  </conditionalFormatting>
  <conditionalFormatting sqref="A807:A856">
    <cfRule type="duplicateValues" dxfId="0" priority="84"/>
  </conditionalFormatting>
  <conditionalFormatting sqref="A857:A906">
    <cfRule type="duplicateValues" dxfId="0" priority="76"/>
  </conditionalFormatting>
  <conditionalFormatting sqref="A907:A956">
    <cfRule type="duplicateValues" dxfId="0" priority="68"/>
  </conditionalFormatting>
  <conditionalFormatting sqref="A957:A1006">
    <cfRule type="duplicateValues" dxfId="0" priority="60"/>
  </conditionalFormatting>
  <conditionalFormatting sqref="A1007:A1056">
    <cfRule type="duplicateValues" dxfId="0" priority="52"/>
  </conditionalFormatting>
  <conditionalFormatting sqref="A1057:A1106">
    <cfRule type="duplicateValues" dxfId="0" priority="44"/>
  </conditionalFormatting>
  <conditionalFormatting sqref="A1107:A1156">
    <cfRule type="duplicateValues" dxfId="0" priority="36"/>
  </conditionalFormatting>
  <conditionalFormatting sqref="A1157:A1206">
    <cfRule type="duplicateValues" dxfId="0" priority="28"/>
  </conditionalFormatting>
  <conditionalFormatting sqref="H111:H390">
    <cfRule type="duplicateValues" dxfId="0" priority="127"/>
  </conditionalFormatting>
  <conditionalFormatting sqref="H391:H396">
    <cfRule type="duplicateValues" dxfId="0" priority="125"/>
  </conditionalFormatting>
  <conditionalFormatting sqref="H397:H504">
    <cfRule type="duplicateValues" dxfId="0" priority="122"/>
  </conditionalFormatting>
  <conditionalFormatting sqref="H613:H617">
    <cfRule type="duplicateValues" dxfId="0" priority="115"/>
  </conditionalFormatting>
  <conditionalFormatting sqref="H619:H623">
    <cfRule type="duplicateValues" dxfId="0" priority="114"/>
  </conditionalFormatting>
  <conditionalFormatting sqref="H625:H629">
    <cfRule type="duplicateValues" dxfId="0" priority="113"/>
  </conditionalFormatting>
  <conditionalFormatting sqref="H631:H635">
    <cfRule type="duplicateValues" dxfId="0" priority="112"/>
  </conditionalFormatting>
  <conditionalFormatting sqref="H637:H641">
    <cfRule type="duplicateValues" dxfId="0" priority="111"/>
  </conditionalFormatting>
  <conditionalFormatting sqref="H643:H649">
    <cfRule type="duplicateValues" dxfId="0" priority="110"/>
  </conditionalFormatting>
  <conditionalFormatting sqref="H651:H655">
    <cfRule type="duplicateValues" dxfId="0" priority="109"/>
  </conditionalFormatting>
  <conditionalFormatting sqref="H663:H667">
    <cfRule type="duplicateValues" dxfId="0" priority="107"/>
  </conditionalFormatting>
  <conditionalFormatting sqref="H669:H673">
    <cfRule type="duplicateValues" dxfId="0" priority="106"/>
  </conditionalFormatting>
  <conditionalFormatting sqref="H675:H679">
    <cfRule type="duplicateValues" dxfId="0" priority="105"/>
  </conditionalFormatting>
  <conditionalFormatting sqref="H681:H685">
    <cfRule type="duplicateValues" dxfId="0" priority="104"/>
  </conditionalFormatting>
  <conditionalFormatting sqref="H687:H691">
    <cfRule type="duplicateValues" dxfId="0" priority="103"/>
  </conditionalFormatting>
  <conditionalFormatting sqref="H693:H699">
    <cfRule type="duplicateValues" dxfId="0" priority="102"/>
  </conditionalFormatting>
  <conditionalFormatting sqref="H701:H705">
    <cfRule type="duplicateValues" dxfId="0" priority="101"/>
  </conditionalFormatting>
  <conditionalFormatting sqref="H713:H717">
    <cfRule type="duplicateValues" dxfId="0" priority="99"/>
  </conditionalFormatting>
  <conditionalFormatting sqref="H719:H723">
    <cfRule type="duplicateValues" dxfId="0" priority="98"/>
  </conditionalFormatting>
  <conditionalFormatting sqref="H725:H729">
    <cfRule type="duplicateValues" dxfId="0" priority="97"/>
  </conditionalFormatting>
  <conditionalFormatting sqref="H731:H735">
    <cfRule type="duplicateValues" dxfId="0" priority="96"/>
  </conditionalFormatting>
  <conditionalFormatting sqref="H737:H741">
    <cfRule type="duplicateValues" dxfId="0" priority="95"/>
  </conditionalFormatting>
  <conditionalFormatting sqref="H743:H749">
    <cfRule type="duplicateValues" dxfId="0" priority="94"/>
  </conditionalFormatting>
  <conditionalFormatting sqref="H751:H755">
    <cfRule type="duplicateValues" dxfId="0" priority="93"/>
  </conditionalFormatting>
  <conditionalFormatting sqref="H763:H767">
    <cfRule type="duplicateValues" dxfId="0" priority="91"/>
  </conditionalFormatting>
  <conditionalFormatting sqref="H769:H773">
    <cfRule type="duplicateValues" dxfId="0" priority="90"/>
  </conditionalFormatting>
  <conditionalFormatting sqref="H775:H779">
    <cfRule type="duplicateValues" dxfId="0" priority="89"/>
  </conditionalFormatting>
  <conditionalFormatting sqref="H781:H785">
    <cfRule type="duplicateValues" dxfId="0" priority="88"/>
  </conditionalFormatting>
  <conditionalFormatting sqref="H787:H791">
    <cfRule type="duplicateValues" dxfId="0" priority="87"/>
  </conditionalFormatting>
  <conditionalFormatting sqref="H793:H799">
    <cfRule type="duplicateValues" dxfId="0" priority="86"/>
  </conditionalFormatting>
  <conditionalFormatting sqref="H801:H805">
    <cfRule type="duplicateValues" dxfId="0" priority="85"/>
  </conditionalFormatting>
  <conditionalFormatting sqref="H813:H817">
    <cfRule type="duplicateValues" dxfId="0" priority="83"/>
  </conditionalFormatting>
  <conditionalFormatting sqref="H819:H823">
    <cfRule type="duplicateValues" dxfId="0" priority="82"/>
  </conditionalFormatting>
  <conditionalFormatting sqref="H825:H829">
    <cfRule type="duplicateValues" dxfId="0" priority="81"/>
  </conditionalFormatting>
  <conditionalFormatting sqref="H831:H835">
    <cfRule type="duplicateValues" dxfId="0" priority="80"/>
  </conditionalFormatting>
  <conditionalFormatting sqref="H837:H841">
    <cfRule type="duplicateValues" dxfId="0" priority="79"/>
  </conditionalFormatting>
  <conditionalFormatting sqref="H843:H849">
    <cfRule type="duplicateValues" dxfId="0" priority="78"/>
  </conditionalFormatting>
  <conditionalFormatting sqref="H851:H855">
    <cfRule type="duplicateValues" dxfId="0" priority="77"/>
  </conditionalFormatting>
  <conditionalFormatting sqref="H863:H867">
    <cfRule type="duplicateValues" dxfId="0" priority="75"/>
  </conditionalFormatting>
  <conditionalFormatting sqref="H869:H873">
    <cfRule type="duplicateValues" dxfId="0" priority="74"/>
  </conditionalFormatting>
  <conditionalFormatting sqref="H875:H879">
    <cfRule type="duplicateValues" dxfId="0" priority="73"/>
  </conditionalFormatting>
  <conditionalFormatting sqref="H881:H885">
    <cfRule type="duplicateValues" dxfId="0" priority="72"/>
  </conditionalFormatting>
  <conditionalFormatting sqref="H887:H891">
    <cfRule type="duplicateValues" dxfId="0" priority="71"/>
  </conditionalFormatting>
  <conditionalFormatting sqref="H893:H899">
    <cfRule type="duplicateValues" dxfId="0" priority="70"/>
  </conditionalFormatting>
  <conditionalFormatting sqref="H901:H905">
    <cfRule type="duplicateValues" dxfId="0" priority="69"/>
  </conditionalFormatting>
  <conditionalFormatting sqref="H913:H917">
    <cfRule type="duplicateValues" dxfId="0" priority="67"/>
  </conditionalFormatting>
  <conditionalFormatting sqref="H919:H923">
    <cfRule type="duplicateValues" dxfId="0" priority="66"/>
  </conditionalFormatting>
  <conditionalFormatting sqref="H925:H929">
    <cfRule type="duplicateValues" dxfId="0" priority="65"/>
  </conditionalFormatting>
  <conditionalFormatting sqref="H931:H935">
    <cfRule type="duplicateValues" dxfId="0" priority="64"/>
  </conditionalFormatting>
  <conditionalFormatting sqref="H937:H941">
    <cfRule type="duplicateValues" dxfId="0" priority="63"/>
  </conditionalFormatting>
  <conditionalFormatting sqref="H943:H949">
    <cfRule type="duplicateValues" dxfId="0" priority="62"/>
  </conditionalFormatting>
  <conditionalFormatting sqref="H951:H955">
    <cfRule type="duplicateValues" dxfId="0" priority="61"/>
  </conditionalFormatting>
  <conditionalFormatting sqref="H963:H967">
    <cfRule type="duplicateValues" dxfId="0" priority="59"/>
  </conditionalFormatting>
  <conditionalFormatting sqref="H969:H973">
    <cfRule type="duplicateValues" dxfId="0" priority="58"/>
  </conditionalFormatting>
  <conditionalFormatting sqref="H975:H979">
    <cfRule type="duplicateValues" dxfId="0" priority="57"/>
  </conditionalFormatting>
  <conditionalFormatting sqref="H981:H985">
    <cfRule type="duplicateValues" dxfId="0" priority="56"/>
  </conditionalFormatting>
  <conditionalFormatting sqref="H987:H991">
    <cfRule type="duplicateValues" dxfId="0" priority="55"/>
  </conditionalFormatting>
  <conditionalFormatting sqref="H993:H999">
    <cfRule type="duplicateValues" dxfId="0" priority="54"/>
  </conditionalFormatting>
  <conditionalFormatting sqref="H1001:H1005">
    <cfRule type="duplicateValues" dxfId="0" priority="53"/>
  </conditionalFormatting>
  <conditionalFormatting sqref="H1013:H1017">
    <cfRule type="duplicateValues" dxfId="0" priority="51"/>
  </conditionalFormatting>
  <conditionalFormatting sqref="H1019:H1023">
    <cfRule type="duplicateValues" dxfId="0" priority="50"/>
  </conditionalFormatting>
  <conditionalFormatting sqref="H1025:H1029">
    <cfRule type="duplicateValues" dxfId="0" priority="49"/>
  </conditionalFormatting>
  <conditionalFormatting sqref="H1031:H1035">
    <cfRule type="duplicateValues" dxfId="0" priority="48"/>
  </conditionalFormatting>
  <conditionalFormatting sqref="H1037:H1041">
    <cfRule type="duplicateValues" dxfId="0" priority="47"/>
  </conditionalFormatting>
  <conditionalFormatting sqref="H1043:H1049">
    <cfRule type="duplicateValues" dxfId="0" priority="46"/>
  </conditionalFormatting>
  <conditionalFormatting sqref="H1051:H1055">
    <cfRule type="duplicateValues" dxfId="0" priority="45"/>
  </conditionalFormatting>
  <conditionalFormatting sqref="H1063:H1067">
    <cfRule type="duplicateValues" dxfId="0" priority="43"/>
  </conditionalFormatting>
  <conditionalFormatting sqref="H1069:H1073">
    <cfRule type="duplicateValues" dxfId="0" priority="42"/>
  </conditionalFormatting>
  <conditionalFormatting sqref="H1075:H1079">
    <cfRule type="duplicateValues" dxfId="0" priority="41"/>
  </conditionalFormatting>
  <conditionalFormatting sqref="H1081:H1085">
    <cfRule type="duplicateValues" dxfId="0" priority="40"/>
  </conditionalFormatting>
  <conditionalFormatting sqref="H1087:H1091">
    <cfRule type="duplicateValues" dxfId="0" priority="39"/>
  </conditionalFormatting>
  <conditionalFormatting sqref="H1093:H1099">
    <cfRule type="duplicateValues" dxfId="0" priority="38"/>
  </conditionalFormatting>
  <conditionalFormatting sqref="H1101:H1105">
    <cfRule type="duplicateValues" dxfId="0" priority="37"/>
  </conditionalFormatting>
  <conditionalFormatting sqref="H1113:H1117">
    <cfRule type="duplicateValues" dxfId="0" priority="35"/>
  </conditionalFormatting>
  <conditionalFormatting sqref="H1119:H1123">
    <cfRule type="duplicateValues" dxfId="0" priority="34"/>
  </conditionalFormatting>
  <conditionalFormatting sqref="H1125:H1129">
    <cfRule type="duplicateValues" dxfId="0" priority="33"/>
  </conditionalFormatting>
  <conditionalFormatting sqref="H1131:H1135">
    <cfRule type="duplicateValues" dxfId="0" priority="32"/>
  </conditionalFormatting>
  <conditionalFormatting sqref="H1137:H1141">
    <cfRule type="duplicateValues" dxfId="0" priority="31"/>
  </conditionalFormatting>
  <conditionalFormatting sqref="H1143:H1149">
    <cfRule type="duplicateValues" dxfId="0" priority="30"/>
  </conditionalFormatting>
  <conditionalFormatting sqref="H1151:H1155">
    <cfRule type="duplicateValues" dxfId="0" priority="29"/>
  </conditionalFormatting>
  <conditionalFormatting sqref="H1163:H1167">
    <cfRule type="duplicateValues" dxfId="0" priority="27"/>
  </conditionalFormatting>
  <conditionalFormatting sqref="H1169:H1173">
    <cfRule type="duplicateValues" dxfId="0" priority="26"/>
  </conditionalFormatting>
  <conditionalFormatting sqref="H1175:H1179">
    <cfRule type="duplicateValues" dxfId="0" priority="25"/>
  </conditionalFormatting>
  <conditionalFormatting sqref="H1181:H1185">
    <cfRule type="duplicateValues" dxfId="0" priority="24"/>
  </conditionalFormatting>
  <conditionalFormatting sqref="H1187:H1191">
    <cfRule type="duplicateValues" dxfId="0" priority="23"/>
  </conditionalFormatting>
  <conditionalFormatting sqref="H1193:H1199">
    <cfRule type="duplicateValues" dxfId="0" priority="22"/>
  </conditionalFormatting>
  <conditionalFormatting sqref="H1201:H1205">
    <cfRule type="duplicateValues" dxfId="0" priority="21"/>
  </conditionalFormatting>
  <conditionalFormatting sqref="U580:U606">
    <cfRule type="duplicateValues" dxfId="0" priority="120"/>
  </conditionalFormatting>
  <conditionalFormatting sqref="U607:U612">
    <cfRule type="duplicateValues" dxfId="0" priority="17"/>
  </conditionalFormatting>
  <conditionalFormatting sqref="U657:U662">
    <cfRule type="duplicateValues" dxfId="0" priority="15"/>
  </conditionalFormatting>
  <conditionalFormatting sqref="U663:U706">
    <cfRule type="duplicateValues" dxfId="0" priority="16"/>
  </conditionalFormatting>
  <conditionalFormatting sqref="U807:U812">
    <cfRule type="duplicateValues" dxfId="0" priority="13"/>
  </conditionalFormatting>
  <conditionalFormatting sqref="U813:U856">
    <cfRule type="duplicateValues" dxfId="0" priority="14"/>
  </conditionalFormatting>
  <conditionalFormatting sqref="U857:U862">
    <cfRule type="duplicateValues" dxfId="0" priority="11"/>
  </conditionalFormatting>
  <conditionalFormatting sqref="U863:U906">
    <cfRule type="duplicateValues" dxfId="0" priority="12"/>
  </conditionalFormatting>
  <conditionalFormatting sqref="U907:U912">
    <cfRule type="duplicateValues" dxfId="0" priority="9"/>
  </conditionalFormatting>
  <conditionalFormatting sqref="U913:U956">
    <cfRule type="duplicateValues" dxfId="0" priority="10"/>
  </conditionalFormatting>
  <conditionalFormatting sqref="U957:U962">
    <cfRule type="duplicateValues" dxfId="0" priority="7"/>
  </conditionalFormatting>
  <conditionalFormatting sqref="U963:U1006">
    <cfRule type="duplicateValues" dxfId="0" priority="8"/>
  </conditionalFormatting>
  <conditionalFormatting sqref="U1007:U1012">
    <cfRule type="duplicateValues" dxfId="0" priority="5"/>
  </conditionalFormatting>
  <conditionalFormatting sqref="U1013:U1056">
    <cfRule type="duplicateValues" dxfId="0" priority="6"/>
  </conditionalFormatting>
  <conditionalFormatting sqref="U1107:U1112">
    <cfRule type="duplicateValues" dxfId="0" priority="3"/>
  </conditionalFormatting>
  <conditionalFormatting sqref="U1113:U1156">
    <cfRule type="duplicateValues" dxfId="0" priority="4"/>
  </conditionalFormatting>
  <conditionalFormatting sqref="U1157:U1162">
    <cfRule type="duplicateValues" dxfId="0" priority="1"/>
  </conditionalFormatting>
  <conditionalFormatting sqref="U1163:U1206">
    <cfRule type="duplicateValues" dxfId="0" priority="2"/>
  </conditionalFormatting>
  <conditionalFormatting sqref="A1:A396 A505:A656 A1207:A1048576">
    <cfRule type="duplicateValues" dxfId="0" priority="129"/>
  </conditionalFormatting>
  <conditionalFormatting sqref="U1 U2:V396 U505:V579 V607:V612 U613:V656 V657:V706 U707:V806 V807:V1056 U1057:V1106 V1107:V1206 U1207:V1048576">
    <cfRule type="duplicateValues" dxfId="0" priority="128"/>
  </conditionalFormatting>
  <conditionalFormatting sqref="U397:V456 U463:V504">
    <cfRule type="duplicateValues" dxfId="0" priority="123"/>
  </conditionalFormatting>
  <conditionalFormatting sqref="U457:V462">
    <cfRule type="duplicateValues" dxfId="0" priority="117"/>
  </conditionalFormatting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V129"/>
  <sheetViews>
    <sheetView zoomScale="85" zoomScaleNormal="85" topLeftCell="A99" workbookViewId="0">
      <selection activeCell="L55" sqref="L55:L129"/>
    </sheetView>
  </sheetViews>
  <sheetFormatPr defaultColWidth="9" defaultRowHeight="16.5"/>
  <cols>
    <col min="1" max="1" width="11.625" style="18" customWidth="1"/>
    <col min="2" max="2" width="8.875" style="18" customWidth="1"/>
    <col min="3" max="3" width="28.0333333333333" style="18" customWidth="1"/>
    <col min="4" max="4" width="14" style="18" customWidth="1"/>
    <col min="5" max="5" width="10.2916666666667" style="18" customWidth="1"/>
    <col min="6" max="6" width="8.125" style="18" customWidth="1"/>
    <col min="7" max="7" width="8.875" style="18" customWidth="1"/>
    <col min="8" max="8" width="15.875" style="18" customWidth="1"/>
    <col min="9" max="9" width="11.7583333333333" style="18" customWidth="1"/>
    <col min="10" max="10" width="7" style="18" customWidth="1"/>
    <col min="11" max="11" width="17.9333333333333" style="18" customWidth="1"/>
    <col min="12" max="12" width="11.6" style="18" customWidth="1"/>
    <col min="13" max="13" width="2.375" style="18" customWidth="1"/>
    <col min="14" max="17" width="9.10833333333333" style="18" customWidth="1"/>
    <col min="18" max="16384" width="9" style="18"/>
  </cols>
  <sheetData>
    <row r="5" spans="2:16">
      <c r="F5" s="18" t="s">
        <v>2934</v>
      </c>
      <c r="J5" s="19">
        <v>502</v>
      </c>
      <c r="K5" s="19" t="s">
        <v>2935</v>
      </c>
      <c r="N5" s="20" t="s">
        <v>2936</v>
      </c>
    </row>
    <row r="6" spans="2:16">
      <c r="B6" s="21" t="s">
        <v>1</v>
      </c>
      <c r="C6" s="21" t="s">
        <v>18</v>
      </c>
      <c r="D6" s="21" t="s">
        <v>2937</v>
      </c>
      <c r="F6" s="22" t="s">
        <v>2938</v>
      </c>
      <c r="G6" s="22"/>
      <c r="H6" s="22" t="s">
        <v>2939</v>
      </c>
      <c r="J6" s="23" t="s">
        <v>2940</v>
      </c>
      <c r="K6" s="23" t="s">
        <v>2941</v>
      </c>
      <c r="L6" s="23" t="s">
        <v>2937</v>
      </c>
      <c r="N6" s="24" t="s">
        <v>2942</v>
      </c>
      <c r="O6" s="24" t="s">
        <v>2943</v>
      </c>
      <c r="P6" s="24" t="s">
        <v>2937</v>
      </c>
    </row>
    <row r="7" spans="2:16">
      <c r="B7" s="18">
        <v>101</v>
      </c>
      <c r="C7" s="18" t="s">
        <v>2944</v>
      </c>
      <c r="D7" s="18" t="s">
        <v>2945</v>
      </c>
      <c r="F7" s="18">
        <v>100100</v>
      </c>
      <c r="G7" s="18" t="s">
        <v>2946</v>
      </c>
      <c r="H7" s="18" t="s">
        <v>2947</v>
      </c>
      <c r="J7" s="18">
        <v>2</v>
      </c>
      <c r="K7" s="18" t="s">
        <v>2948</v>
      </c>
      <c r="L7" s="18" t="s">
        <v>2949</v>
      </c>
      <c r="N7" s="18">
        <v>1022501</v>
      </c>
      <c r="O7" s="18" t="s">
        <v>2950</v>
      </c>
      <c r="P7" s="18" t="s">
        <v>2951</v>
      </c>
    </row>
    <row r="8" spans="2:16">
      <c r="B8" s="18">
        <v>102</v>
      </c>
      <c r="C8" s="18" t="s">
        <v>2952</v>
      </c>
      <c r="D8" s="18" t="s">
        <v>2945</v>
      </c>
      <c r="F8" s="18">
        <v>100300</v>
      </c>
      <c r="G8" s="18" t="s">
        <v>2946</v>
      </c>
      <c r="H8" s="18" t="s">
        <v>2953</v>
      </c>
      <c r="J8" s="18">
        <v>3</v>
      </c>
      <c r="K8" s="18" t="s">
        <v>2954</v>
      </c>
      <c r="L8" s="18" t="s">
        <v>2955</v>
      </c>
      <c r="N8" s="18">
        <v>1022502</v>
      </c>
      <c r="O8" s="18" t="s">
        <v>2956</v>
      </c>
      <c r="P8" s="18" t="s">
        <v>2951</v>
      </c>
    </row>
    <row r="9" spans="2:16">
      <c r="B9" s="18">
        <v>201</v>
      </c>
      <c r="C9" s="18" t="s">
        <v>2957</v>
      </c>
      <c r="D9" s="18" t="s">
        <v>2958</v>
      </c>
      <c r="F9" s="18">
        <v>100700</v>
      </c>
      <c r="G9" s="18" t="s">
        <v>2946</v>
      </c>
      <c r="H9" s="18" t="s">
        <v>2959</v>
      </c>
      <c r="J9" s="18">
        <v>4</v>
      </c>
      <c r="K9" s="18" t="s">
        <v>2960</v>
      </c>
      <c r="L9" s="18" t="s">
        <v>2961</v>
      </c>
      <c r="N9" s="18">
        <v>1010301</v>
      </c>
      <c r="O9" s="18" t="s">
        <v>2962</v>
      </c>
      <c r="P9" s="18" t="s">
        <v>2951</v>
      </c>
    </row>
    <row r="10" spans="2:16">
      <c r="B10" s="18">
        <v>202</v>
      </c>
      <c r="C10" s="18" t="s">
        <v>2963</v>
      </c>
      <c r="D10" s="18" t="s">
        <v>2964</v>
      </c>
      <c r="F10" s="18">
        <v>101200</v>
      </c>
      <c r="G10" s="18" t="s">
        <v>2946</v>
      </c>
      <c r="H10" s="18" t="s">
        <v>2965</v>
      </c>
      <c r="J10" s="18">
        <v>5</v>
      </c>
      <c r="K10" s="18" t="s">
        <v>2956</v>
      </c>
      <c r="L10" s="18" t="s">
        <v>2966</v>
      </c>
      <c r="N10" s="18">
        <v>1010302</v>
      </c>
      <c r="O10" s="18" t="s">
        <v>2967</v>
      </c>
      <c r="P10" s="18" t="s">
        <v>2951</v>
      </c>
    </row>
    <row r="11" spans="2:16">
      <c r="B11" s="18">
        <v>203</v>
      </c>
      <c r="C11" s="18" t="s">
        <v>2968</v>
      </c>
      <c r="D11" s="18" t="s">
        <v>2958</v>
      </c>
      <c r="F11" s="18">
        <v>101400</v>
      </c>
      <c r="G11" s="18" t="s">
        <v>2946</v>
      </c>
      <c r="H11" s="18" t="s">
        <v>2969</v>
      </c>
      <c r="J11" s="18">
        <v>6</v>
      </c>
      <c r="K11" s="18" t="s">
        <v>2970</v>
      </c>
      <c r="L11" s="18" t="s">
        <v>2971</v>
      </c>
      <c r="N11" s="18">
        <v>1010303</v>
      </c>
      <c r="O11" s="18" t="s">
        <v>2972</v>
      </c>
      <c r="P11" s="18" t="s">
        <v>2951</v>
      </c>
    </row>
    <row r="12" spans="2:16">
      <c r="B12" s="18">
        <v>204</v>
      </c>
      <c r="C12" s="18" t="s">
        <v>2973</v>
      </c>
      <c r="D12" s="18" t="s">
        <v>2964</v>
      </c>
      <c r="F12" s="18">
        <v>200100</v>
      </c>
      <c r="G12" s="18" t="s">
        <v>2946</v>
      </c>
      <c r="H12" s="18" t="s">
        <v>2974</v>
      </c>
      <c r="J12" s="25">
        <v>12</v>
      </c>
      <c r="K12" s="25" t="s">
        <v>2975</v>
      </c>
      <c r="L12" s="25" t="s">
        <v>2976</v>
      </c>
      <c r="N12" s="18">
        <v>1010311</v>
      </c>
      <c r="O12" s="18" t="s">
        <v>2977</v>
      </c>
      <c r="P12" s="18" t="s">
        <v>2951</v>
      </c>
    </row>
    <row r="13" spans="2:16">
      <c r="B13" s="18">
        <v>301</v>
      </c>
      <c r="C13" s="18" t="s">
        <v>2978</v>
      </c>
      <c r="D13" s="18" t="s">
        <v>2979</v>
      </c>
      <c r="F13" s="18">
        <v>200101</v>
      </c>
      <c r="G13" s="18" t="s">
        <v>2946</v>
      </c>
      <c r="H13" s="18" t="s">
        <v>2980</v>
      </c>
      <c r="J13" s="26"/>
      <c r="K13" s="26"/>
      <c r="L13" s="26"/>
      <c r="N13" s="18">
        <v>1010312</v>
      </c>
      <c r="O13" s="18" t="s">
        <v>2981</v>
      </c>
      <c r="P13" s="18" t="s">
        <v>2951</v>
      </c>
    </row>
    <row r="14" spans="2:16">
      <c r="B14" s="18">
        <v>302</v>
      </c>
      <c r="C14" s="18" t="s">
        <v>2982</v>
      </c>
      <c r="D14" s="18" t="s">
        <v>2983</v>
      </c>
      <c r="F14" s="18">
        <v>200300</v>
      </c>
      <c r="G14" s="18" t="s">
        <v>2946</v>
      </c>
      <c r="H14" s="18" t="s">
        <v>2984</v>
      </c>
      <c r="J14" s="26"/>
      <c r="K14" s="26"/>
      <c r="L14" s="26"/>
      <c r="N14" s="18">
        <v>1010313</v>
      </c>
      <c r="O14" s="18" t="s">
        <v>2985</v>
      </c>
      <c r="P14" s="18" t="s">
        <v>2951</v>
      </c>
    </row>
    <row r="15" spans="2:16">
      <c r="B15" s="18">
        <v>303</v>
      </c>
      <c r="C15" s="18" t="s">
        <v>2986</v>
      </c>
      <c r="D15" s="18" t="s">
        <v>2979</v>
      </c>
      <c r="F15" s="18">
        <v>200400</v>
      </c>
      <c r="G15" s="18" t="s">
        <v>2946</v>
      </c>
      <c r="H15" s="18" t="s">
        <v>2987</v>
      </c>
      <c r="N15" s="18">
        <v>1010314</v>
      </c>
      <c r="O15" s="18" t="s">
        <v>2988</v>
      </c>
      <c r="P15" s="18" t="s">
        <v>2951</v>
      </c>
    </row>
    <row r="16" spans="2:16">
      <c r="B16" s="18">
        <v>304</v>
      </c>
      <c r="C16" s="18" t="s">
        <v>2989</v>
      </c>
      <c r="D16" s="18" t="s">
        <v>2983</v>
      </c>
      <c r="F16" s="18">
        <v>200500</v>
      </c>
      <c r="G16" s="18" t="s">
        <v>2946</v>
      </c>
      <c r="H16" s="18" t="s">
        <v>2990</v>
      </c>
      <c r="N16" s="18">
        <v>1010315</v>
      </c>
      <c r="O16" s="18" t="s">
        <v>2991</v>
      </c>
      <c r="P16" s="18" t="s">
        <v>2951</v>
      </c>
    </row>
    <row r="17" spans="2:16">
      <c r="B17" s="20">
        <v>401</v>
      </c>
      <c r="C17" s="20" t="s">
        <v>2992</v>
      </c>
      <c r="D17" s="20" t="s">
        <v>2958</v>
      </c>
      <c r="F17" s="18">
        <v>200600</v>
      </c>
      <c r="G17" s="18" t="s">
        <v>2946</v>
      </c>
      <c r="H17" s="18" t="s">
        <v>2993</v>
      </c>
    </row>
    <row r="18" spans="2:16">
      <c r="B18" s="20">
        <v>402</v>
      </c>
      <c r="C18" s="20" t="s">
        <v>2994</v>
      </c>
      <c r="D18" s="20" t="s">
        <v>2964</v>
      </c>
      <c r="F18" s="18">
        <v>200700</v>
      </c>
      <c r="G18" s="18" t="s">
        <v>2946</v>
      </c>
      <c r="H18" s="18" t="s">
        <v>2995</v>
      </c>
    </row>
    <row r="19" spans="2:16">
      <c r="B19" s="27">
        <v>501</v>
      </c>
      <c r="C19" s="27" t="s">
        <v>2996</v>
      </c>
      <c r="D19" s="27" t="s">
        <v>2997</v>
      </c>
      <c r="F19" s="18">
        <v>200800</v>
      </c>
      <c r="G19" s="18" t="s">
        <v>2946</v>
      </c>
      <c r="H19" s="18" t="s">
        <v>2998</v>
      </c>
      <c r="N19" s="27" t="s">
        <v>2999</v>
      </c>
    </row>
    <row r="20" spans="2:16">
      <c r="B20" s="19">
        <v>502</v>
      </c>
      <c r="C20" s="19" t="s">
        <v>3000</v>
      </c>
      <c r="D20" s="19" t="s">
        <v>3001</v>
      </c>
      <c r="F20" s="18">
        <v>200900</v>
      </c>
      <c r="G20" s="18" t="s">
        <v>2946</v>
      </c>
      <c r="H20" s="18" t="s">
        <v>3002</v>
      </c>
      <c r="N20" s="24" t="s">
        <v>2942</v>
      </c>
      <c r="O20" s="24" t="s">
        <v>2943</v>
      </c>
      <c r="P20" s="24" t="s">
        <v>2937</v>
      </c>
    </row>
    <row r="21" spans="2:16">
      <c r="B21" s="18">
        <v>601</v>
      </c>
      <c r="C21" s="18" t="s">
        <v>3003</v>
      </c>
      <c r="D21" s="18" t="s">
        <v>3004</v>
      </c>
      <c r="F21" s="18">
        <v>201000</v>
      </c>
      <c r="G21" s="18" t="s">
        <v>2946</v>
      </c>
      <c r="H21" s="18" t="s">
        <v>3005</v>
      </c>
      <c r="N21" s="18">
        <v>1022501</v>
      </c>
      <c r="O21" s="18" t="s">
        <v>2950</v>
      </c>
      <c r="P21" s="18" t="s">
        <v>3006</v>
      </c>
    </row>
    <row r="22" spans="2:16">
      <c r="B22" s="18">
        <v>602</v>
      </c>
      <c r="C22" s="18" t="s">
        <v>3007</v>
      </c>
      <c r="D22" s="18" t="s">
        <v>3008</v>
      </c>
      <c r="F22" s="18">
        <v>300100</v>
      </c>
      <c r="G22" s="18" t="s">
        <v>2946</v>
      </c>
      <c r="H22" s="18" t="s">
        <v>3009</v>
      </c>
      <c r="N22" s="18">
        <v>1022502</v>
      </c>
      <c r="O22" s="18" t="s">
        <v>2956</v>
      </c>
      <c r="P22" s="18" t="s">
        <v>3010</v>
      </c>
    </row>
    <row r="23" spans="2:16">
      <c r="F23" s="18">
        <v>300200</v>
      </c>
      <c r="G23" s="18" t="s">
        <v>2946</v>
      </c>
      <c r="H23" s="18" t="s">
        <v>3011</v>
      </c>
      <c r="N23" s="18">
        <v>1980000</v>
      </c>
      <c r="O23" s="18" t="s">
        <v>3012</v>
      </c>
      <c r="P23" s="18" t="s">
        <v>3013</v>
      </c>
    </row>
    <row r="24" spans="2:16">
      <c r="F24" s="18">
        <v>200100</v>
      </c>
      <c r="G24" s="18" t="s">
        <v>3014</v>
      </c>
      <c r="H24" s="18" t="s">
        <v>3015</v>
      </c>
    </row>
    <row r="25" spans="2:16">
      <c r="F25" s="18">
        <v>200101</v>
      </c>
      <c r="G25" s="18" t="s">
        <v>3014</v>
      </c>
      <c r="H25" s="18" t="s">
        <v>3016</v>
      </c>
    </row>
    <row r="26" spans="2:16">
      <c r="F26" s="18">
        <v>200300</v>
      </c>
      <c r="G26" s="18" t="s">
        <v>3014</v>
      </c>
      <c r="H26" s="18" t="s">
        <v>3017</v>
      </c>
    </row>
    <row r="27" spans="2:16">
      <c r="F27" s="18">
        <v>200400</v>
      </c>
      <c r="G27" s="18" t="s">
        <v>3014</v>
      </c>
      <c r="H27" s="18" t="s">
        <v>3018</v>
      </c>
    </row>
    <row r="28" spans="2:16">
      <c r="F28" s="18">
        <v>200500</v>
      </c>
      <c r="G28" s="18" t="s">
        <v>3014</v>
      </c>
      <c r="H28" s="18" t="s">
        <v>3019</v>
      </c>
    </row>
    <row r="29" spans="2:16">
      <c r="F29" s="18">
        <v>200600</v>
      </c>
      <c r="G29" s="18" t="s">
        <v>3014</v>
      </c>
      <c r="H29" s="18" t="s">
        <v>3020</v>
      </c>
    </row>
    <row r="30" spans="2:16">
      <c r="F30" s="18">
        <v>200700</v>
      </c>
      <c r="G30" s="18" t="s">
        <v>3014</v>
      </c>
      <c r="H30" s="18" t="s">
        <v>3021</v>
      </c>
    </row>
    <row r="31" spans="2:16">
      <c r="F31" s="18">
        <v>200800</v>
      </c>
      <c r="G31" s="18" t="s">
        <v>3014</v>
      </c>
      <c r="H31" s="18" t="s">
        <v>3022</v>
      </c>
    </row>
    <row r="32" spans="2:16">
      <c r="F32" s="18">
        <v>200900</v>
      </c>
      <c r="G32" s="18" t="s">
        <v>3014</v>
      </c>
      <c r="H32" s="18" t="s">
        <v>3023</v>
      </c>
    </row>
    <row r="33" spans="1:22">
      <c r="F33" s="18">
        <v>300200</v>
      </c>
      <c r="G33" s="18" t="s">
        <v>3014</v>
      </c>
      <c r="H33" s="18" t="s">
        <v>3024</v>
      </c>
    </row>
    <row r="38" s="3" customFormat="1" spans="1:22">
      <c r="A38" s="28" t="s">
        <v>0</v>
      </c>
      <c r="B38" s="28" t="s">
        <v>1</v>
      </c>
      <c r="C38" s="28" t="s">
        <v>4</v>
      </c>
      <c r="D38" s="28"/>
      <c r="E38" s="28" t="s">
        <v>6</v>
      </c>
      <c r="F38" s="29" t="s">
        <v>8</v>
      </c>
      <c r="G38" s="29" t="s">
        <v>9</v>
      </c>
      <c r="H38" s="30" t="s">
        <v>10</v>
      </c>
      <c r="I38" s="7" t="s">
        <v>11</v>
      </c>
      <c r="J38" s="7" t="s">
        <v>12</v>
      </c>
      <c r="K38" s="31" t="s">
        <v>13</v>
      </c>
      <c r="L38" s="31" t="s">
        <v>18</v>
      </c>
      <c r="M38" s="3" t="s">
        <v>22</v>
      </c>
      <c r="R38" s="3" t="s">
        <v>3025</v>
      </c>
      <c r="S38" s="3" t="s">
        <v>3026</v>
      </c>
      <c r="T38" s="3" t="s">
        <v>3027</v>
      </c>
      <c r="U38" s="3" t="s">
        <v>3028</v>
      </c>
      <c r="V38" s="3" t="s">
        <v>3029</v>
      </c>
    </row>
    <row r="39" s="3" customFormat="1" spans="1:22">
      <c r="A39" s="28" t="s">
        <v>24</v>
      </c>
      <c r="B39" s="28" t="s">
        <v>24</v>
      </c>
      <c r="C39" s="28" t="s">
        <v>24</v>
      </c>
      <c r="D39" s="28"/>
      <c r="E39" s="28" t="s">
        <v>3030</v>
      </c>
      <c r="F39" s="32" t="s">
        <v>3030</v>
      </c>
      <c r="G39" s="32" t="s">
        <v>24</v>
      </c>
      <c r="H39" s="32" t="s">
        <v>27</v>
      </c>
      <c r="I39" s="9" t="s">
        <v>24</v>
      </c>
      <c r="J39" s="9" t="s">
        <v>27</v>
      </c>
      <c r="K39" s="33" t="s">
        <v>27</v>
      </c>
      <c r="L39" s="33" t="s">
        <v>24</v>
      </c>
    </row>
    <row r="40" s="3" customFormat="1" spans="1:22">
      <c r="A40" s="28" t="s">
        <v>30</v>
      </c>
      <c r="B40" s="28" t="s">
        <v>31</v>
      </c>
      <c r="C40" s="28" t="s">
        <v>33</v>
      </c>
      <c r="D40" s="28"/>
      <c r="E40" s="28" t="s">
        <v>34</v>
      </c>
      <c r="F40" s="32" t="s">
        <v>36</v>
      </c>
      <c r="G40" s="34" t="s">
        <v>37</v>
      </c>
      <c r="H40" s="34" t="s">
        <v>38</v>
      </c>
      <c r="I40" s="7" t="s">
        <v>39</v>
      </c>
      <c r="J40" s="7" t="s">
        <v>40</v>
      </c>
      <c r="K40" s="31" t="s">
        <v>41</v>
      </c>
      <c r="L40" s="31" t="s">
        <v>46</v>
      </c>
    </row>
    <row r="41" s="3" customFormat="1" spans="1:22">
      <c r="A41" s="28"/>
      <c r="B41" s="28"/>
      <c r="C41" s="28"/>
      <c r="D41" s="28"/>
      <c r="E41" s="28"/>
      <c r="F41" s="28"/>
      <c r="G41" s="28"/>
      <c r="H41" s="35"/>
      <c r="I41" s="7"/>
      <c r="J41" s="7"/>
      <c r="K41" s="31"/>
      <c r="L41" s="31"/>
    </row>
    <row r="42" s="4" customFormat="1" spans="1:22">
      <c r="A42" s="12">
        <v>10008</v>
      </c>
      <c r="B42" s="12">
        <v>1</v>
      </c>
      <c r="C42" s="12">
        <v>8</v>
      </c>
      <c r="D42" s="12">
        <f>COUNTIF($C$42:C42,C42)</f>
        <v>1</v>
      </c>
      <c r="E42" s="12" t="s">
        <v>3031</v>
      </c>
      <c r="F42" s="12"/>
      <c r="G42" s="13">
        <v>3</v>
      </c>
      <c r="H42" s="13" t="s">
        <v>52</v>
      </c>
      <c r="I42" s="10">
        <v>3002</v>
      </c>
      <c r="J42" s="10" t="s">
        <v>3032</v>
      </c>
      <c r="K42" s="8"/>
      <c r="L42" s="8">
        <v>70008</v>
      </c>
      <c r="M42" s="4" t="s">
        <v>3033</v>
      </c>
      <c r="N42" s="1" t="s">
        <v>2954</v>
      </c>
      <c r="O42" s="4">
        <v>10</v>
      </c>
      <c r="P42" t="s">
        <v>2950</v>
      </c>
      <c r="Q42">
        <v>0.25</v>
      </c>
      <c r="R42" s="4">
        <f t="shared" ref="R42:R48" si="0">Q42*O42</f>
        <v>2.5</v>
      </c>
      <c r="S42" s="14"/>
      <c r="T42" s="14">
        <f t="shared" ref="T42:T44" si="1">R42*100</f>
        <v>250</v>
      </c>
      <c r="U42" s="14"/>
      <c r="V42" s="4">
        <f t="shared" ref="V42:V48" si="2">ROUND(MAX(S42/100,T42/100,U42),0)</f>
        <v>3</v>
      </c>
    </row>
    <row r="43" s="4" customFormat="1" spans="1:22">
      <c r="A43" s="12">
        <f t="shared" ref="A43:A48" si="3">C43*100+D43</f>
        <v>121010101</v>
      </c>
      <c r="B43" s="12">
        <v>1</v>
      </c>
      <c r="C43" s="12">
        <v>1210101</v>
      </c>
      <c r="D43" s="12">
        <f>COUNTIF($C$42:C43,C43)</f>
        <v>1</v>
      </c>
      <c r="E43" s="12" t="s">
        <v>3034</v>
      </c>
      <c r="F43" s="12"/>
      <c r="G43" s="13">
        <v>8</v>
      </c>
      <c r="H43" s="13" t="s">
        <v>52</v>
      </c>
      <c r="I43" s="10">
        <v>3002</v>
      </c>
      <c r="J43" s="10" t="s">
        <v>3032</v>
      </c>
      <c r="K43" s="8"/>
      <c r="L43" s="8" t="s">
        <v>3035</v>
      </c>
      <c r="M43" s="4" t="s">
        <v>3036</v>
      </c>
      <c r="N43" s="1" t="s">
        <v>2954</v>
      </c>
      <c r="O43" s="4">
        <v>30</v>
      </c>
      <c r="P43" t="s">
        <v>2950</v>
      </c>
      <c r="Q43">
        <v>0.25</v>
      </c>
      <c r="R43" s="4">
        <f t="shared" si="0"/>
        <v>7.5</v>
      </c>
      <c r="S43" s="14"/>
      <c r="T43" s="14">
        <f t="shared" si="1"/>
        <v>750</v>
      </c>
      <c r="U43" s="14"/>
      <c r="V43" s="4">
        <f t="shared" si="2"/>
        <v>8</v>
      </c>
    </row>
    <row r="44" s="4" customFormat="1" spans="1:22">
      <c r="A44" s="12">
        <f t="shared" si="3"/>
        <v>121010102</v>
      </c>
      <c r="B44" s="12">
        <v>1</v>
      </c>
      <c r="C44" s="12">
        <v>1210101</v>
      </c>
      <c r="D44" s="12">
        <f>COUNTIF($C$42:C44,C44)</f>
        <v>2</v>
      </c>
      <c r="E44" s="12" t="s">
        <v>3037</v>
      </c>
      <c r="F44" s="12"/>
      <c r="G44" s="13">
        <v>25</v>
      </c>
      <c r="H44" s="13" t="s">
        <v>52</v>
      </c>
      <c r="I44" s="10">
        <v>3002</v>
      </c>
      <c r="J44" s="10" t="s">
        <v>3032</v>
      </c>
      <c r="K44" s="8"/>
      <c r="L44" s="8" t="s">
        <v>3038</v>
      </c>
      <c r="M44" s="4" t="s">
        <v>3039</v>
      </c>
      <c r="N44" s="1" t="s">
        <v>2954</v>
      </c>
      <c r="O44" s="4">
        <v>100</v>
      </c>
      <c r="P44" t="s">
        <v>2950</v>
      </c>
      <c r="Q44">
        <v>0.25</v>
      </c>
      <c r="R44" s="4">
        <f t="shared" si="0"/>
        <v>25</v>
      </c>
      <c r="S44" s="14"/>
      <c r="T44" s="14">
        <f t="shared" si="1"/>
        <v>2500</v>
      </c>
      <c r="U44" s="14"/>
      <c r="V44" s="4">
        <f t="shared" si="2"/>
        <v>25</v>
      </c>
    </row>
    <row r="45" s="4" customFormat="1" spans="1:22">
      <c r="A45" s="12">
        <v>10001</v>
      </c>
      <c r="B45" s="12">
        <v>1</v>
      </c>
      <c r="C45" s="12">
        <v>11001</v>
      </c>
      <c r="D45" s="12">
        <f>COUNTIF($C$45:C45,C45)</f>
        <v>1</v>
      </c>
      <c r="E45" s="12" t="s">
        <v>3040</v>
      </c>
      <c r="F45" s="12"/>
      <c r="G45" s="13">
        <v>20</v>
      </c>
      <c r="H45" s="13" t="s">
        <v>52</v>
      </c>
      <c r="I45" s="10">
        <v>2003</v>
      </c>
      <c r="J45" s="10" t="s">
        <v>3041</v>
      </c>
      <c r="K45" s="8"/>
      <c r="L45" s="8" t="s">
        <v>3042</v>
      </c>
      <c r="M45" s="4" t="s">
        <v>3043</v>
      </c>
      <c r="N45" s="4" t="s">
        <v>3044</v>
      </c>
      <c r="O45" s="4">
        <v>2</v>
      </c>
      <c r="Q45" s="4">
        <v>999</v>
      </c>
      <c r="R45" s="4">
        <f t="shared" si="0"/>
        <v>1998</v>
      </c>
      <c r="S45" s="14">
        <f t="shared" ref="S45:S48" si="4">R45</f>
        <v>1998</v>
      </c>
      <c r="T45" s="14"/>
      <c r="U45" s="14"/>
      <c r="V45" s="4">
        <f t="shared" si="2"/>
        <v>20</v>
      </c>
    </row>
    <row r="46" s="4" customFormat="1" spans="1:22">
      <c r="A46" s="12">
        <f t="shared" si="3"/>
        <v>110010101</v>
      </c>
      <c r="B46" s="12">
        <v>1</v>
      </c>
      <c r="C46" s="12">
        <v>1100101</v>
      </c>
      <c r="D46" s="12">
        <f>COUNTIF($C$45:C46,C46)</f>
        <v>1</v>
      </c>
      <c r="E46" s="12" t="s">
        <v>3045</v>
      </c>
      <c r="F46" s="12"/>
      <c r="G46" s="13">
        <v>1</v>
      </c>
      <c r="H46" s="13" t="s">
        <v>52</v>
      </c>
      <c r="I46" s="10">
        <v>2003</v>
      </c>
      <c r="J46" s="10" t="s">
        <v>3041</v>
      </c>
      <c r="K46" s="8"/>
      <c r="L46" s="8" t="s">
        <v>3046</v>
      </c>
      <c r="M46" s="4" t="s">
        <v>3047</v>
      </c>
      <c r="N46" s="4" t="s">
        <v>3044</v>
      </c>
      <c r="O46" s="4">
        <v>1</v>
      </c>
      <c r="Q46" s="4">
        <v>99</v>
      </c>
      <c r="R46" s="4">
        <f t="shared" si="0"/>
        <v>99</v>
      </c>
      <c r="S46" s="14">
        <f t="shared" si="4"/>
        <v>99</v>
      </c>
      <c r="T46" s="14"/>
      <c r="U46" s="14"/>
      <c r="V46" s="4">
        <f t="shared" si="2"/>
        <v>1</v>
      </c>
    </row>
    <row r="47" s="4" customFormat="1" spans="1:22">
      <c r="A47" s="12">
        <f t="shared" si="3"/>
        <v>110010102</v>
      </c>
      <c r="B47" s="12">
        <v>1</v>
      </c>
      <c r="C47" s="12">
        <v>1100101</v>
      </c>
      <c r="D47" s="12">
        <f>COUNTIF($C$45:C47,C47)</f>
        <v>2</v>
      </c>
      <c r="E47" s="12" t="s">
        <v>3048</v>
      </c>
      <c r="F47" s="12"/>
      <c r="G47" s="13">
        <v>5</v>
      </c>
      <c r="H47" s="13" t="s">
        <v>52</v>
      </c>
      <c r="I47" s="10">
        <v>2003</v>
      </c>
      <c r="J47" s="10" t="s">
        <v>3041</v>
      </c>
      <c r="K47" s="8"/>
      <c r="L47" s="8" t="s">
        <v>3049</v>
      </c>
      <c r="M47" s="4" t="s">
        <v>3050</v>
      </c>
      <c r="N47" s="4" t="s">
        <v>3044</v>
      </c>
      <c r="O47" s="4">
        <v>1</v>
      </c>
      <c r="Q47" s="4">
        <v>499</v>
      </c>
      <c r="R47" s="4">
        <f t="shared" si="0"/>
        <v>499</v>
      </c>
      <c r="S47" s="14">
        <f t="shared" si="4"/>
        <v>499</v>
      </c>
      <c r="T47" s="14"/>
      <c r="U47" s="14"/>
      <c r="V47" s="4">
        <f t="shared" si="2"/>
        <v>5</v>
      </c>
    </row>
    <row r="48" s="4" customFormat="1" spans="1:22">
      <c r="A48" s="12">
        <f t="shared" si="3"/>
        <v>110010103</v>
      </c>
      <c r="B48" s="12">
        <v>1</v>
      </c>
      <c r="C48" s="12">
        <v>1100101</v>
      </c>
      <c r="D48" s="12">
        <f>COUNTIF($C$45:C48,C48)</f>
        <v>3</v>
      </c>
      <c r="E48" s="12" t="s">
        <v>3051</v>
      </c>
      <c r="F48" s="12"/>
      <c r="G48" s="13">
        <v>10</v>
      </c>
      <c r="H48" s="13" t="s">
        <v>52</v>
      </c>
      <c r="I48" s="10">
        <v>2003</v>
      </c>
      <c r="J48" s="10" t="s">
        <v>3041</v>
      </c>
      <c r="K48" s="8"/>
      <c r="L48" s="8" t="s">
        <v>3052</v>
      </c>
      <c r="M48" s="4" t="s">
        <v>3053</v>
      </c>
      <c r="N48" s="4" t="s">
        <v>3044</v>
      </c>
      <c r="O48" s="4">
        <v>1</v>
      </c>
      <c r="Q48" s="4">
        <v>999</v>
      </c>
      <c r="R48" s="4">
        <f t="shared" si="0"/>
        <v>999</v>
      </c>
      <c r="S48" s="14">
        <f t="shared" si="4"/>
        <v>999</v>
      </c>
      <c r="T48" s="14"/>
      <c r="U48" s="14"/>
      <c r="V48" s="4">
        <f t="shared" si="2"/>
        <v>10</v>
      </c>
    </row>
    <row r="54" spans="4:14">
      <c r="D54" s="18" t="s">
        <v>3054</v>
      </c>
      <c r="E54" s="18" t="s">
        <v>3055</v>
      </c>
      <c r="G54" s="18" t="s">
        <v>3056</v>
      </c>
      <c r="H54" s="18" t="s">
        <v>3057</v>
      </c>
    </row>
    <row r="55" spans="4:14">
      <c r="D55">
        <v>1024012</v>
      </c>
      <c r="E55">
        <v>1024011</v>
      </c>
      <c r="F55"/>
      <c r="G55" s="36">
        <v>50</v>
      </c>
      <c r="H55">
        <f>G55</f>
        <v>50</v>
      </c>
      <c r="I55" t="str">
        <f>_xlfn.TEXTJOIN("_",TRUE,$E$55,G55)</f>
        <v>1024011_50</v>
      </c>
      <c r="J55" t="str">
        <f>_xlfn.TEXTJOIN("_",TRUE,$D$55,H55)</f>
        <v>1024012_50</v>
      </c>
      <c r="K55"/>
      <c r="L55" t="str">
        <f t="shared" ref="L55:L118" si="5">_xlfn.TEXTJOIN("|",TRUE,I55:J55)</f>
        <v>1024011_50|1024012_50</v>
      </c>
      <c r="M55"/>
      <c r="N55"/>
    </row>
    <row r="56" spans="4:14">
      <c r="D56"/>
      <c r="E56"/>
      <c r="F56"/>
      <c r="G56" s="36">
        <f>G55*3</f>
        <v>150</v>
      </c>
      <c r="H56">
        <f>H55*3</f>
        <v>150</v>
      </c>
      <c r="I56" t="str">
        <f t="shared" ref="I56:I87" si="6">_xlfn.TEXTJOIN("_",TRUE,$E$55,G56)</f>
        <v>1024011_150</v>
      </c>
      <c r="J56" t="str">
        <f t="shared" ref="J56:J87" si="7">_xlfn.TEXTJOIN("_",TRUE,$D$55,H56)</f>
        <v>1024012_150</v>
      </c>
      <c r="K56"/>
      <c r="L56" t="str">
        <f t="shared" si="5"/>
        <v>1024011_150|1024012_150</v>
      </c>
      <c r="M56"/>
      <c r="N56"/>
    </row>
    <row r="57" spans="4:14">
      <c r="D57"/>
      <c r="E57"/>
      <c r="F57"/>
      <c r="G57" s="36">
        <f>G55*5</f>
        <v>250</v>
      </c>
      <c r="H57">
        <f>H55*5</f>
        <v>250</v>
      </c>
      <c r="I57" t="str">
        <f t="shared" si="6"/>
        <v>1024011_250</v>
      </c>
      <c r="J57" t="str">
        <f t="shared" si="7"/>
        <v>1024012_250</v>
      </c>
      <c r="K57"/>
      <c r="L57" t="str">
        <f t="shared" si="5"/>
        <v>1024011_250|1024012_250</v>
      </c>
      <c r="M57"/>
      <c r="N57"/>
    </row>
    <row r="58" spans="4:14">
      <c r="D58"/>
      <c r="E58"/>
      <c r="F58"/>
      <c r="G58" s="36">
        <f>G55*10</f>
        <v>500</v>
      </c>
      <c r="H58">
        <f>H55*10</f>
        <v>500</v>
      </c>
      <c r="I58" t="str">
        <f t="shared" si="6"/>
        <v>1024011_500</v>
      </c>
      <c r="J58" t="str">
        <f t="shared" si="7"/>
        <v>1024012_500</v>
      </c>
      <c r="K58"/>
      <c r="L58" t="str">
        <f t="shared" si="5"/>
        <v>1024011_500|1024012_500</v>
      </c>
      <c r="M58"/>
      <c r="N58"/>
    </row>
    <row r="59" spans="4:14">
      <c r="D59"/>
      <c r="E59"/>
      <c r="F59"/>
      <c r="G59" s="36">
        <f>G55*20</f>
        <v>1000</v>
      </c>
      <c r="H59">
        <f>H55*20</f>
        <v>1000</v>
      </c>
      <c r="I59" t="str">
        <f t="shared" si="6"/>
        <v>1024011_1000</v>
      </c>
      <c r="J59" t="str">
        <f t="shared" si="7"/>
        <v>1024012_1000</v>
      </c>
      <c r="K59"/>
      <c r="L59" t="str">
        <f t="shared" si="5"/>
        <v>1024011_1000|1024012_1000</v>
      </c>
      <c r="M59"/>
      <c r="N59"/>
    </row>
    <row r="60" spans="4:14">
      <c r="D60"/>
      <c r="E60"/>
      <c r="F60"/>
      <c r="G60" s="36">
        <f>G55*30</f>
        <v>1500</v>
      </c>
      <c r="H60">
        <f>H55*30</f>
        <v>1500</v>
      </c>
      <c r="I60" t="str">
        <f t="shared" si="6"/>
        <v>1024011_1500</v>
      </c>
      <c r="J60" t="str">
        <f t="shared" si="7"/>
        <v>1024012_1500</v>
      </c>
      <c r="K60"/>
      <c r="L60" t="str">
        <f t="shared" si="5"/>
        <v>1024011_1500|1024012_1500</v>
      </c>
      <c r="M60"/>
      <c r="N60"/>
    </row>
    <row r="61" spans="4:14">
      <c r="D61"/>
      <c r="E61"/>
      <c r="F61"/>
      <c r="G61" s="36">
        <f>G55*50</f>
        <v>2500</v>
      </c>
      <c r="H61">
        <f>H55*50</f>
        <v>2500</v>
      </c>
      <c r="I61" t="str">
        <f t="shared" si="6"/>
        <v>1024011_2500</v>
      </c>
      <c r="J61" t="str">
        <f t="shared" si="7"/>
        <v>1024012_2500</v>
      </c>
      <c r="K61"/>
      <c r="L61" t="str">
        <f t="shared" si="5"/>
        <v>1024011_2500|1024012_2500</v>
      </c>
      <c r="M61"/>
      <c r="N61"/>
    </row>
    <row r="62" spans="4:14">
      <c r="D62"/>
      <c r="E62"/>
      <c r="F62"/>
      <c r="G62" s="36">
        <v>100</v>
      </c>
      <c r="H62">
        <f>G62</f>
        <v>100</v>
      </c>
      <c r="I62" t="str">
        <f t="shared" si="6"/>
        <v>1024011_100</v>
      </c>
      <c r="J62" t="str">
        <f t="shared" si="7"/>
        <v>1024012_100</v>
      </c>
      <c r="K62"/>
      <c r="L62" t="str">
        <f t="shared" si="5"/>
        <v>1024011_100|1024012_100</v>
      </c>
      <c r="M62"/>
      <c r="N62"/>
    </row>
    <row r="63" spans="4:14">
      <c r="D63"/>
      <c r="E63"/>
      <c r="F63"/>
      <c r="G63" s="36">
        <f>G62*3</f>
        <v>300</v>
      </c>
      <c r="H63">
        <f>H62*3</f>
        <v>300</v>
      </c>
      <c r="I63" t="str">
        <f t="shared" si="6"/>
        <v>1024011_300</v>
      </c>
      <c r="J63" t="str">
        <f t="shared" si="7"/>
        <v>1024012_300</v>
      </c>
      <c r="K63"/>
      <c r="L63" t="str">
        <f t="shared" si="5"/>
        <v>1024011_300|1024012_300</v>
      </c>
      <c r="M63"/>
      <c r="N63"/>
    </row>
    <row r="64" spans="4:14">
      <c r="D64"/>
      <c r="E64"/>
      <c r="F64"/>
      <c r="G64" s="36">
        <f>G62*5</f>
        <v>500</v>
      </c>
      <c r="H64">
        <f>H62*5</f>
        <v>500</v>
      </c>
      <c r="I64" t="str">
        <f t="shared" si="6"/>
        <v>1024011_500</v>
      </c>
      <c r="J64" t="str">
        <f t="shared" si="7"/>
        <v>1024012_500</v>
      </c>
      <c r="K64"/>
      <c r="L64" t="str">
        <f t="shared" si="5"/>
        <v>1024011_500|1024012_500</v>
      </c>
      <c r="M64"/>
      <c r="N64"/>
    </row>
    <row r="65" spans="4:14">
      <c r="D65"/>
      <c r="E65"/>
      <c r="F65"/>
      <c r="G65" s="36">
        <f>G62*10</f>
        <v>1000</v>
      </c>
      <c r="H65">
        <f>H62*10</f>
        <v>1000</v>
      </c>
      <c r="I65" t="str">
        <f t="shared" si="6"/>
        <v>1024011_1000</v>
      </c>
      <c r="J65" t="str">
        <f t="shared" si="7"/>
        <v>1024012_1000</v>
      </c>
      <c r="K65"/>
      <c r="L65" t="str">
        <f t="shared" si="5"/>
        <v>1024011_1000|1024012_1000</v>
      </c>
      <c r="M65"/>
      <c r="N65"/>
    </row>
    <row r="66" spans="4:14">
      <c r="D66"/>
      <c r="E66"/>
      <c r="F66"/>
      <c r="G66" s="36">
        <f>G62*20</f>
        <v>2000</v>
      </c>
      <c r="H66">
        <f>H62*20</f>
        <v>2000</v>
      </c>
      <c r="I66" t="str">
        <f t="shared" si="6"/>
        <v>1024011_2000</v>
      </c>
      <c r="J66" t="str">
        <f t="shared" si="7"/>
        <v>1024012_2000</v>
      </c>
      <c r="K66"/>
      <c r="L66" t="str">
        <f t="shared" si="5"/>
        <v>1024011_2000|1024012_2000</v>
      </c>
      <c r="M66"/>
      <c r="N66"/>
    </row>
    <row r="67" spans="4:14">
      <c r="D67"/>
      <c r="E67"/>
      <c r="F67"/>
      <c r="G67" s="36">
        <f>G62*30</f>
        <v>3000</v>
      </c>
      <c r="H67">
        <f>H62*30</f>
        <v>3000</v>
      </c>
      <c r="I67" t="str">
        <f t="shared" si="6"/>
        <v>1024011_3000</v>
      </c>
      <c r="J67" t="str">
        <f t="shared" si="7"/>
        <v>1024012_3000</v>
      </c>
      <c r="K67"/>
      <c r="L67" t="str">
        <f t="shared" si="5"/>
        <v>1024011_3000|1024012_3000</v>
      </c>
      <c r="M67"/>
      <c r="N67"/>
    </row>
    <row r="68" spans="4:14">
      <c r="D68"/>
      <c r="E68"/>
      <c r="F68"/>
      <c r="G68" s="36">
        <f>G62*50</f>
        <v>5000</v>
      </c>
      <c r="H68">
        <f>H62*50</f>
        <v>5000</v>
      </c>
      <c r="I68" t="str">
        <f t="shared" si="6"/>
        <v>1024011_5000</v>
      </c>
      <c r="J68" t="str">
        <f t="shared" si="7"/>
        <v>1024012_5000</v>
      </c>
      <c r="K68"/>
      <c r="L68" t="str">
        <f t="shared" si="5"/>
        <v>1024011_5000|1024012_5000</v>
      </c>
      <c r="M68"/>
      <c r="N68"/>
    </row>
    <row r="69" spans="4:14">
      <c r="D69"/>
      <c r="E69"/>
      <c r="F69"/>
      <c r="G69" s="36">
        <v>500</v>
      </c>
      <c r="H69">
        <v>100</v>
      </c>
      <c r="I69" t="str">
        <f t="shared" si="6"/>
        <v>1024011_500</v>
      </c>
      <c r="J69" t="str">
        <f t="shared" si="7"/>
        <v>1024012_100</v>
      </c>
      <c r="K69"/>
      <c r="L69" t="str">
        <f t="shared" si="5"/>
        <v>1024011_500|1024012_100</v>
      </c>
      <c r="M69"/>
      <c r="N69"/>
    </row>
    <row r="70" spans="4:14">
      <c r="D70"/>
      <c r="E70"/>
      <c r="F70"/>
      <c r="G70" s="36">
        <f>G69*3</f>
        <v>1500</v>
      </c>
      <c r="H70">
        <f>H69*3</f>
        <v>300</v>
      </c>
      <c r="I70" t="str">
        <f t="shared" si="6"/>
        <v>1024011_1500</v>
      </c>
      <c r="J70" t="str">
        <f t="shared" si="7"/>
        <v>1024012_300</v>
      </c>
      <c r="K70"/>
      <c r="L70" t="str">
        <f t="shared" si="5"/>
        <v>1024011_1500|1024012_300</v>
      </c>
      <c r="M70"/>
      <c r="N70"/>
    </row>
    <row r="71" spans="4:14">
      <c r="D71"/>
      <c r="E71"/>
      <c r="F71"/>
      <c r="G71" s="36">
        <f>G69*5</f>
        <v>2500</v>
      </c>
      <c r="H71">
        <f>H69*5</f>
        <v>500</v>
      </c>
      <c r="I71" t="str">
        <f t="shared" si="6"/>
        <v>1024011_2500</v>
      </c>
      <c r="J71" t="str">
        <f t="shared" si="7"/>
        <v>1024012_500</v>
      </c>
      <c r="K71"/>
      <c r="L71" t="str">
        <f t="shared" si="5"/>
        <v>1024011_2500|1024012_500</v>
      </c>
      <c r="M71"/>
      <c r="N71"/>
    </row>
    <row r="72" spans="4:14">
      <c r="D72"/>
      <c r="E72"/>
      <c r="F72"/>
      <c r="G72" s="36">
        <f>G69*10</f>
        <v>5000</v>
      </c>
      <c r="H72">
        <f>H69*10</f>
        <v>1000</v>
      </c>
      <c r="I72" t="str">
        <f t="shared" si="6"/>
        <v>1024011_5000</v>
      </c>
      <c r="J72" t="str">
        <f t="shared" si="7"/>
        <v>1024012_1000</v>
      </c>
      <c r="K72"/>
      <c r="L72" t="str">
        <f t="shared" si="5"/>
        <v>1024011_5000|1024012_1000</v>
      </c>
      <c r="M72"/>
      <c r="N72"/>
    </row>
    <row r="73" spans="4:14">
      <c r="D73"/>
      <c r="E73"/>
      <c r="F73"/>
      <c r="G73" s="36">
        <f>G69*20</f>
        <v>10000</v>
      </c>
      <c r="H73">
        <f>H69*20</f>
        <v>2000</v>
      </c>
      <c r="I73" t="str">
        <f t="shared" si="6"/>
        <v>1024011_10000</v>
      </c>
      <c r="J73" t="str">
        <f t="shared" si="7"/>
        <v>1024012_2000</v>
      </c>
      <c r="K73"/>
      <c r="L73" t="str">
        <f t="shared" si="5"/>
        <v>1024011_10000|1024012_2000</v>
      </c>
      <c r="M73"/>
      <c r="N73"/>
    </row>
    <row r="74" spans="4:14">
      <c r="D74"/>
      <c r="E74"/>
      <c r="F74"/>
      <c r="G74" s="36">
        <f>G69*30</f>
        <v>15000</v>
      </c>
      <c r="H74">
        <f>H69*30</f>
        <v>3000</v>
      </c>
      <c r="I74" t="str">
        <f t="shared" si="6"/>
        <v>1024011_15000</v>
      </c>
      <c r="J74" t="str">
        <f t="shared" si="7"/>
        <v>1024012_3000</v>
      </c>
      <c r="K74"/>
      <c r="L74" t="str">
        <f t="shared" si="5"/>
        <v>1024011_15000|1024012_3000</v>
      </c>
      <c r="M74"/>
      <c r="N74"/>
    </row>
    <row r="75" spans="4:14">
      <c r="D75"/>
      <c r="E75"/>
      <c r="F75"/>
      <c r="G75" s="36">
        <f>G69*50</f>
        <v>25000</v>
      </c>
      <c r="H75">
        <f>H69*50</f>
        <v>5000</v>
      </c>
      <c r="I75" t="str">
        <f t="shared" si="6"/>
        <v>1024011_25000</v>
      </c>
      <c r="J75" t="str">
        <f t="shared" si="7"/>
        <v>1024012_5000</v>
      </c>
      <c r="K75"/>
      <c r="L75" t="str">
        <f t="shared" si="5"/>
        <v>1024011_25000|1024012_5000</v>
      </c>
      <c r="M75"/>
      <c r="N75"/>
    </row>
    <row r="76" spans="4:14">
      <c r="D76"/>
      <c r="E76"/>
      <c r="F76"/>
      <c r="G76" s="36">
        <v>20</v>
      </c>
      <c r="H76">
        <f>G76</f>
        <v>20</v>
      </c>
      <c r="I76" t="str">
        <f t="shared" si="6"/>
        <v>1024011_20</v>
      </c>
      <c r="J76" t="str">
        <f t="shared" si="7"/>
        <v>1024012_20</v>
      </c>
      <c r="K76"/>
      <c r="L76" t="str">
        <f t="shared" si="5"/>
        <v>1024011_20|1024012_20</v>
      </c>
      <c r="M76"/>
      <c r="N76"/>
    </row>
    <row r="77" spans="4:14">
      <c r="D77"/>
      <c r="E77"/>
      <c r="F77"/>
      <c r="G77" s="36">
        <f>G76*2</f>
        <v>40</v>
      </c>
      <c r="H77">
        <f>H76*2</f>
        <v>40</v>
      </c>
      <c r="I77" t="str">
        <f t="shared" si="6"/>
        <v>1024011_40</v>
      </c>
      <c r="J77" t="str">
        <f t="shared" si="7"/>
        <v>1024012_40</v>
      </c>
      <c r="K77"/>
      <c r="L77" t="str">
        <f t="shared" si="5"/>
        <v>1024011_40|1024012_40</v>
      </c>
      <c r="M77"/>
      <c r="N77"/>
    </row>
    <row r="78" spans="4:14">
      <c r="D78"/>
      <c r="E78"/>
      <c r="F78"/>
      <c r="G78" s="36">
        <f>G76*5</f>
        <v>100</v>
      </c>
      <c r="H78">
        <f>H76*5</f>
        <v>100</v>
      </c>
      <c r="I78" t="str">
        <f t="shared" si="6"/>
        <v>1024011_100</v>
      </c>
      <c r="J78" t="str">
        <f t="shared" si="7"/>
        <v>1024012_100</v>
      </c>
      <c r="K78"/>
      <c r="L78" t="str">
        <f t="shared" si="5"/>
        <v>1024011_100|1024012_100</v>
      </c>
      <c r="M78"/>
      <c r="N78"/>
    </row>
    <row r="79" spans="4:14">
      <c r="D79"/>
      <c r="E79"/>
      <c r="F79"/>
      <c r="G79" s="36">
        <f>G76*8</f>
        <v>160</v>
      </c>
      <c r="H79">
        <f>H76*8</f>
        <v>160</v>
      </c>
      <c r="I79" t="str">
        <f t="shared" si="6"/>
        <v>1024011_160</v>
      </c>
      <c r="J79" t="str">
        <f t="shared" si="7"/>
        <v>1024012_160</v>
      </c>
      <c r="K79"/>
      <c r="L79" t="str">
        <f t="shared" si="5"/>
        <v>1024011_160|1024012_160</v>
      </c>
      <c r="M79"/>
      <c r="N79"/>
    </row>
    <row r="80" spans="4:14">
      <c r="D80"/>
      <c r="E80"/>
      <c r="F80"/>
      <c r="G80" s="36">
        <f>G76*10</f>
        <v>200</v>
      </c>
      <c r="H80">
        <f>H76*10</f>
        <v>200</v>
      </c>
      <c r="I80" t="str">
        <f t="shared" si="6"/>
        <v>1024011_200</v>
      </c>
      <c r="J80" t="str">
        <f t="shared" si="7"/>
        <v>1024012_200</v>
      </c>
      <c r="K80"/>
      <c r="L80" t="str">
        <f t="shared" si="5"/>
        <v>1024011_200|1024012_200</v>
      </c>
      <c r="M80"/>
      <c r="N80"/>
    </row>
    <row r="81" spans="4:14">
      <c r="D81"/>
      <c r="E81"/>
      <c r="F81"/>
      <c r="G81" s="36">
        <f>G76*20</f>
        <v>400</v>
      </c>
      <c r="H81">
        <f>H76*20</f>
        <v>400</v>
      </c>
      <c r="I81" t="str">
        <f t="shared" si="6"/>
        <v>1024011_400</v>
      </c>
      <c r="J81" t="str">
        <f t="shared" si="7"/>
        <v>1024012_400</v>
      </c>
      <c r="K81"/>
      <c r="L81" t="str">
        <f t="shared" si="5"/>
        <v>1024011_400|1024012_400</v>
      </c>
      <c r="M81"/>
      <c r="N81"/>
    </row>
    <row r="82" spans="4:14">
      <c r="D82"/>
      <c r="E82"/>
      <c r="F82"/>
      <c r="G82" s="36">
        <f>G76*30</f>
        <v>600</v>
      </c>
      <c r="H82">
        <f>H76*30</f>
        <v>600</v>
      </c>
      <c r="I82" t="str">
        <f t="shared" si="6"/>
        <v>1024011_600</v>
      </c>
      <c r="J82" t="str">
        <f t="shared" si="7"/>
        <v>1024012_600</v>
      </c>
      <c r="K82"/>
      <c r="L82" t="str">
        <f t="shared" si="5"/>
        <v>1024011_600|1024012_600</v>
      </c>
      <c r="M82"/>
      <c r="N82"/>
    </row>
    <row r="83" spans="4:14">
      <c r="D83"/>
      <c r="E83"/>
      <c r="F83"/>
      <c r="G83" s="36">
        <f>G76*50</f>
        <v>1000</v>
      </c>
      <c r="H83">
        <f>H76*50</f>
        <v>1000</v>
      </c>
      <c r="I83" t="str">
        <f t="shared" si="6"/>
        <v>1024011_1000</v>
      </c>
      <c r="J83" t="str">
        <f t="shared" si="7"/>
        <v>1024012_1000</v>
      </c>
      <c r="K83"/>
      <c r="L83" t="str">
        <f t="shared" si="5"/>
        <v>1024011_1000|1024012_1000</v>
      </c>
      <c r="M83"/>
      <c r="N83"/>
    </row>
    <row r="84" spans="4:14">
      <c r="D84"/>
      <c r="E84"/>
      <c r="F84"/>
      <c r="G84" s="36">
        <f>G76*80</f>
        <v>1600</v>
      </c>
      <c r="H84">
        <f>H76*80</f>
        <v>1600</v>
      </c>
      <c r="I84" t="str">
        <f t="shared" si="6"/>
        <v>1024011_1600</v>
      </c>
      <c r="J84" t="str">
        <f t="shared" si="7"/>
        <v>1024012_1600</v>
      </c>
      <c r="K84"/>
      <c r="L84" t="str">
        <f t="shared" si="5"/>
        <v>1024011_1600|1024012_1600</v>
      </c>
      <c r="M84"/>
      <c r="N84"/>
    </row>
    <row r="85" spans="4:14">
      <c r="D85"/>
      <c r="E85"/>
      <c r="F85"/>
      <c r="G85" s="36">
        <f>G76*100</f>
        <v>2000</v>
      </c>
      <c r="H85">
        <f>H76*100</f>
        <v>2000</v>
      </c>
      <c r="I85" t="str">
        <f t="shared" si="6"/>
        <v>1024011_2000</v>
      </c>
      <c r="J85" t="str">
        <f t="shared" si="7"/>
        <v>1024012_2000</v>
      </c>
      <c r="K85"/>
      <c r="L85" t="str">
        <f t="shared" si="5"/>
        <v>1024011_2000|1024012_2000</v>
      </c>
      <c r="M85"/>
      <c r="N85"/>
    </row>
    <row r="86" spans="4:14">
      <c r="D86"/>
      <c r="E86"/>
      <c r="F86"/>
      <c r="G86" s="36">
        <v>50</v>
      </c>
      <c r="H86">
        <f>G86</f>
        <v>50</v>
      </c>
      <c r="I86" t="str">
        <f t="shared" si="6"/>
        <v>1024011_50</v>
      </c>
      <c r="J86" t="str">
        <f t="shared" si="7"/>
        <v>1024012_50</v>
      </c>
      <c r="K86"/>
      <c r="L86" t="str">
        <f t="shared" si="5"/>
        <v>1024011_50|1024012_50</v>
      </c>
      <c r="M86"/>
      <c r="N86"/>
    </row>
    <row r="87" spans="4:14">
      <c r="D87"/>
      <c r="E87"/>
      <c r="F87"/>
      <c r="G87" s="36">
        <f>G86*2</f>
        <v>100</v>
      </c>
      <c r="H87">
        <f>H86*2</f>
        <v>100</v>
      </c>
      <c r="I87" t="str">
        <f t="shared" si="6"/>
        <v>1024011_100</v>
      </c>
      <c r="J87" t="str">
        <f t="shared" si="7"/>
        <v>1024012_100</v>
      </c>
      <c r="K87"/>
      <c r="L87" t="str">
        <f t="shared" si="5"/>
        <v>1024011_100|1024012_100</v>
      </c>
      <c r="M87"/>
      <c r="N87"/>
    </row>
    <row r="88" spans="4:14">
      <c r="D88"/>
      <c r="E88"/>
      <c r="F88"/>
      <c r="G88" s="36">
        <f>G86*4</f>
        <v>200</v>
      </c>
      <c r="H88">
        <f>H86*4</f>
        <v>200</v>
      </c>
      <c r="I88" t="str">
        <f t="shared" ref="I88:I129" si="8">_xlfn.TEXTJOIN("_",TRUE,$E$55,G88)</f>
        <v>1024011_200</v>
      </c>
      <c r="J88" t="str">
        <f t="shared" ref="J88:J129" si="9">_xlfn.TEXTJOIN("_",TRUE,$D$55,H88)</f>
        <v>1024012_200</v>
      </c>
      <c r="K88"/>
      <c r="L88" t="str">
        <f t="shared" si="5"/>
        <v>1024011_200|1024012_200</v>
      </c>
      <c r="M88"/>
      <c r="N88"/>
    </row>
    <row r="89" spans="4:14">
      <c r="D89"/>
      <c r="E89"/>
      <c r="F89"/>
      <c r="G89" s="36">
        <f>G86*6</f>
        <v>300</v>
      </c>
      <c r="H89">
        <f>H86*6</f>
        <v>300</v>
      </c>
      <c r="I89" t="str">
        <f t="shared" si="8"/>
        <v>1024011_300</v>
      </c>
      <c r="J89" t="str">
        <f t="shared" si="9"/>
        <v>1024012_300</v>
      </c>
      <c r="K89"/>
      <c r="L89" t="str">
        <f t="shared" si="5"/>
        <v>1024011_300|1024012_300</v>
      </c>
      <c r="M89"/>
      <c r="N89"/>
    </row>
    <row r="90" spans="4:14">
      <c r="D90"/>
      <c r="E90"/>
      <c r="F90"/>
      <c r="G90" s="36">
        <f>G86*10</f>
        <v>500</v>
      </c>
      <c r="H90">
        <f>H86*10</f>
        <v>500</v>
      </c>
      <c r="I90" t="str">
        <f t="shared" si="8"/>
        <v>1024011_500</v>
      </c>
      <c r="J90" t="str">
        <f t="shared" si="9"/>
        <v>1024012_500</v>
      </c>
      <c r="K90"/>
      <c r="L90" t="str">
        <f t="shared" si="5"/>
        <v>1024011_500|1024012_500</v>
      </c>
      <c r="M90"/>
      <c r="N90"/>
    </row>
    <row r="91" spans="4:14">
      <c r="D91"/>
      <c r="E91"/>
      <c r="F91"/>
      <c r="G91" s="36">
        <f>G86*20</f>
        <v>1000</v>
      </c>
      <c r="H91">
        <f>H86*20</f>
        <v>1000</v>
      </c>
      <c r="I91" t="str">
        <f t="shared" si="8"/>
        <v>1024011_1000</v>
      </c>
      <c r="J91" t="str">
        <f t="shared" si="9"/>
        <v>1024012_1000</v>
      </c>
      <c r="K91"/>
      <c r="L91" t="str">
        <f t="shared" si="5"/>
        <v>1024011_1000|1024012_1000</v>
      </c>
      <c r="M91"/>
      <c r="N91"/>
    </row>
    <row r="92" spans="4:14">
      <c r="D92"/>
      <c r="E92"/>
      <c r="F92"/>
      <c r="G92" s="36">
        <f>G86*30</f>
        <v>1500</v>
      </c>
      <c r="H92">
        <f>H86*30</f>
        <v>1500</v>
      </c>
      <c r="I92" t="str">
        <f t="shared" si="8"/>
        <v>1024011_1500</v>
      </c>
      <c r="J92" t="str">
        <f t="shared" si="9"/>
        <v>1024012_1500</v>
      </c>
      <c r="K92"/>
      <c r="L92" t="str">
        <f t="shared" si="5"/>
        <v>1024011_1500|1024012_1500</v>
      </c>
      <c r="M92"/>
      <c r="N92"/>
    </row>
    <row r="93" spans="4:14">
      <c r="D93"/>
      <c r="E93"/>
      <c r="F93"/>
      <c r="G93" s="36">
        <v>100</v>
      </c>
      <c r="H93">
        <f>G93</f>
        <v>100</v>
      </c>
      <c r="I93" t="str">
        <f t="shared" si="8"/>
        <v>1024011_100</v>
      </c>
      <c r="J93" t="str">
        <f t="shared" si="9"/>
        <v>1024012_100</v>
      </c>
      <c r="K93"/>
      <c r="L93" t="str">
        <f t="shared" si="5"/>
        <v>1024011_100|1024012_100</v>
      </c>
      <c r="M93"/>
      <c r="N93"/>
    </row>
    <row r="94" spans="4:14">
      <c r="D94"/>
      <c r="E94"/>
      <c r="F94"/>
      <c r="G94" s="36">
        <f>G93*2</f>
        <v>200</v>
      </c>
      <c r="H94">
        <f>H93*2</f>
        <v>200</v>
      </c>
      <c r="I94" t="str">
        <f t="shared" si="8"/>
        <v>1024011_200</v>
      </c>
      <c r="J94" t="str">
        <f t="shared" si="9"/>
        <v>1024012_200</v>
      </c>
      <c r="K94"/>
      <c r="L94" t="str">
        <f t="shared" si="5"/>
        <v>1024011_200|1024012_200</v>
      </c>
      <c r="M94"/>
      <c r="N94"/>
    </row>
    <row r="95" spans="4:14">
      <c r="D95"/>
      <c r="E95"/>
      <c r="F95"/>
      <c r="G95" s="36">
        <f>G93*3</f>
        <v>300</v>
      </c>
      <c r="H95">
        <f>H93*3</f>
        <v>300</v>
      </c>
      <c r="I95" t="str">
        <f t="shared" si="8"/>
        <v>1024011_300</v>
      </c>
      <c r="J95" t="str">
        <f t="shared" si="9"/>
        <v>1024012_300</v>
      </c>
      <c r="K95"/>
      <c r="L95" t="str">
        <f t="shared" si="5"/>
        <v>1024011_300|1024012_300</v>
      </c>
      <c r="M95"/>
      <c r="N95"/>
    </row>
    <row r="96" spans="4:14">
      <c r="D96"/>
      <c r="E96"/>
      <c r="F96"/>
      <c r="G96" s="36">
        <f>G93*4</f>
        <v>400</v>
      </c>
      <c r="H96">
        <f>H93*4</f>
        <v>400</v>
      </c>
      <c r="I96" t="str">
        <f t="shared" si="8"/>
        <v>1024011_400</v>
      </c>
      <c r="J96" t="str">
        <f t="shared" si="9"/>
        <v>1024012_400</v>
      </c>
      <c r="K96"/>
      <c r="L96" t="str">
        <f t="shared" si="5"/>
        <v>1024011_400|1024012_400</v>
      </c>
      <c r="M96"/>
      <c r="N96"/>
    </row>
    <row r="97" spans="4:14">
      <c r="D97"/>
      <c r="E97"/>
      <c r="F97"/>
      <c r="G97" s="36">
        <f>G93*5</f>
        <v>500</v>
      </c>
      <c r="H97">
        <f>H93*5</f>
        <v>500</v>
      </c>
      <c r="I97" t="str">
        <f t="shared" si="8"/>
        <v>1024011_500</v>
      </c>
      <c r="J97" t="str">
        <f t="shared" si="9"/>
        <v>1024012_500</v>
      </c>
      <c r="K97"/>
      <c r="L97" t="str">
        <f t="shared" si="5"/>
        <v>1024011_500|1024012_500</v>
      </c>
      <c r="M97"/>
      <c r="N97"/>
    </row>
    <row r="98" spans="4:14">
      <c r="D98"/>
      <c r="E98"/>
      <c r="F98"/>
      <c r="G98" s="36">
        <f>G93*6</f>
        <v>600</v>
      </c>
      <c r="H98">
        <f>H93*6</f>
        <v>600</v>
      </c>
      <c r="I98" t="str">
        <f t="shared" si="8"/>
        <v>1024011_600</v>
      </c>
      <c r="J98" t="str">
        <f t="shared" si="9"/>
        <v>1024012_600</v>
      </c>
      <c r="K98"/>
      <c r="L98" t="str">
        <f t="shared" si="5"/>
        <v>1024011_600|1024012_600</v>
      </c>
      <c r="M98"/>
      <c r="N98"/>
    </row>
    <row r="99" spans="4:14">
      <c r="D99"/>
      <c r="E99"/>
      <c r="F99"/>
      <c r="G99" s="36">
        <f>G93*7.5</f>
        <v>750</v>
      </c>
      <c r="H99">
        <f>H93*7.5</f>
        <v>750</v>
      </c>
      <c r="I99" t="str">
        <f t="shared" si="8"/>
        <v>1024011_750</v>
      </c>
      <c r="J99" t="str">
        <f t="shared" si="9"/>
        <v>1024012_750</v>
      </c>
      <c r="K99"/>
      <c r="L99" t="str">
        <f t="shared" si="5"/>
        <v>1024011_750|1024012_750</v>
      </c>
      <c r="M99"/>
      <c r="N99"/>
    </row>
    <row r="100" spans="4:14">
      <c r="D100"/>
      <c r="E100"/>
      <c r="F100"/>
      <c r="G100" s="36">
        <v>200</v>
      </c>
      <c r="H100">
        <f>G100</f>
        <v>200</v>
      </c>
      <c r="I100" t="str">
        <f t="shared" si="8"/>
        <v>1024011_200</v>
      </c>
      <c r="J100" t="str">
        <f t="shared" si="9"/>
        <v>1024012_200</v>
      </c>
      <c r="K100"/>
      <c r="L100" t="str">
        <f t="shared" si="5"/>
        <v>1024011_200|1024012_200</v>
      </c>
      <c r="M100"/>
      <c r="N100"/>
    </row>
    <row r="101" spans="4:14">
      <c r="D101"/>
      <c r="E101"/>
      <c r="F101"/>
      <c r="G101" s="36">
        <f>G100*2</f>
        <v>400</v>
      </c>
      <c r="H101">
        <f>H100*2</f>
        <v>400</v>
      </c>
      <c r="I101" t="str">
        <f t="shared" si="8"/>
        <v>1024011_400</v>
      </c>
      <c r="J101" t="str">
        <f t="shared" si="9"/>
        <v>1024012_400</v>
      </c>
      <c r="K101"/>
      <c r="L101" t="str">
        <f t="shared" si="5"/>
        <v>1024011_400|1024012_400</v>
      </c>
      <c r="M101"/>
      <c r="N101"/>
    </row>
    <row r="102" spans="4:14">
      <c r="D102"/>
      <c r="E102"/>
      <c r="F102"/>
      <c r="G102" s="36">
        <f>G100*3</f>
        <v>600</v>
      </c>
      <c r="H102">
        <f>H100*3</f>
        <v>600</v>
      </c>
      <c r="I102" t="str">
        <f t="shared" si="8"/>
        <v>1024011_600</v>
      </c>
      <c r="J102" t="str">
        <f t="shared" si="9"/>
        <v>1024012_600</v>
      </c>
      <c r="K102"/>
      <c r="L102" t="str">
        <f t="shared" si="5"/>
        <v>1024011_600|1024012_600</v>
      </c>
      <c r="M102"/>
      <c r="N102"/>
    </row>
    <row r="103" spans="4:14">
      <c r="D103"/>
      <c r="E103"/>
      <c r="F103"/>
      <c r="G103" s="36">
        <f>G100*4</f>
        <v>800</v>
      </c>
      <c r="H103">
        <f>H100*4</f>
        <v>800</v>
      </c>
      <c r="I103" t="str">
        <f t="shared" si="8"/>
        <v>1024011_800</v>
      </c>
      <c r="J103" t="str">
        <f t="shared" si="9"/>
        <v>1024012_800</v>
      </c>
      <c r="K103"/>
      <c r="L103" t="str">
        <f t="shared" si="5"/>
        <v>1024011_800|1024012_800</v>
      </c>
      <c r="M103"/>
      <c r="N103"/>
    </row>
    <row r="104" spans="4:14">
      <c r="D104"/>
      <c r="E104"/>
      <c r="F104"/>
      <c r="G104" s="36">
        <f>G100*5</f>
        <v>1000</v>
      </c>
      <c r="H104">
        <f>H100*5</f>
        <v>1000</v>
      </c>
      <c r="I104" t="str">
        <f t="shared" si="8"/>
        <v>1024011_1000</v>
      </c>
      <c r="J104" t="str">
        <f t="shared" si="9"/>
        <v>1024012_1000</v>
      </c>
      <c r="K104"/>
      <c r="L104" t="str">
        <f t="shared" si="5"/>
        <v>1024011_1000|1024012_1000</v>
      </c>
      <c r="M104"/>
      <c r="N104"/>
    </row>
    <row r="105" spans="4:14">
      <c r="D105"/>
      <c r="E105"/>
      <c r="F105"/>
      <c r="G105" s="36">
        <f>G100*6</f>
        <v>1200</v>
      </c>
      <c r="H105">
        <f>H100*6</f>
        <v>1200</v>
      </c>
      <c r="I105" t="str">
        <f t="shared" si="8"/>
        <v>1024011_1200</v>
      </c>
      <c r="J105" t="str">
        <f t="shared" si="9"/>
        <v>1024012_1200</v>
      </c>
      <c r="K105"/>
      <c r="L105" t="str">
        <f t="shared" si="5"/>
        <v>1024011_1200|1024012_1200</v>
      </c>
      <c r="M105"/>
      <c r="N105"/>
    </row>
    <row r="106" spans="4:14">
      <c r="D106"/>
      <c r="E106"/>
      <c r="F106"/>
      <c r="G106" s="36">
        <v>100</v>
      </c>
      <c r="H106">
        <f>G106</f>
        <v>100</v>
      </c>
      <c r="I106" t="str">
        <f t="shared" si="8"/>
        <v>1024011_100</v>
      </c>
      <c r="J106" t="str">
        <f t="shared" si="9"/>
        <v>1024012_100</v>
      </c>
      <c r="K106"/>
      <c r="L106" t="str">
        <f t="shared" si="5"/>
        <v>1024011_100|1024012_100</v>
      </c>
      <c r="M106"/>
      <c r="N106"/>
    </row>
    <row r="107" spans="4:14">
      <c r="D107"/>
      <c r="E107"/>
      <c r="F107"/>
      <c r="G107" s="36">
        <f>G106*2</f>
        <v>200</v>
      </c>
      <c r="H107">
        <f>H106*2</f>
        <v>200</v>
      </c>
      <c r="I107" t="str">
        <f t="shared" si="8"/>
        <v>1024011_200</v>
      </c>
      <c r="J107" t="str">
        <f t="shared" si="9"/>
        <v>1024012_200</v>
      </c>
      <c r="K107"/>
      <c r="L107" t="str">
        <f t="shared" si="5"/>
        <v>1024011_200|1024012_200</v>
      </c>
      <c r="M107"/>
      <c r="N107"/>
    </row>
    <row r="108" spans="4:14">
      <c r="D108"/>
      <c r="E108"/>
      <c r="F108"/>
      <c r="G108" s="36">
        <f>G106*3</f>
        <v>300</v>
      </c>
      <c r="H108">
        <f>H106*3</f>
        <v>300</v>
      </c>
      <c r="I108" t="str">
        <f t="shared" si="8"/>
        <v>1024011_300</v>
      </c>
      <c r="J108" t="str">
        <f t="shared" si="9"/>
        <v>1024012_300</v>
      </c>
      <c r="K108"/>
      <c r="L108" t="str">
        <f t="shared" si="5"/>
        <v>1024011_300|1024012_300</v>
      </c>
      <c r="M108"/>
      <c r="N108"/>
    </row>
    <row r="109" spans="4:14">
      <c r="D109"/>
      <c r="E109"/>
      <c r="F109"/>
      <c r="G109" s="36">
        <f>G106*4</f>
        <v>400</v>
      </c>
      <c r="H109">
        <f>H106*4</f>
        <v>400</v>
      </c>
      <c r="I109" t="str">
        <f t="shared" si="8"/>
        <v>1024011_400</v>
      </c>
      <c r="J109" t="str">
        <f t="shared" si="9"/>
        <v>1024012_400</v>
      </c>
      <c r="K109"/>
      <c r="L109" t="str">
        <f t="shared" si="5"/>
        <v>1024011_400|1024012_400</v>
      </c>
      <c r="M109"/>
      <c r="N109"/>
    </row>
    <row r="110" spans="4:14">
      <c r="D110"/>
      <c r="E110"/>
      <c r="F110"/>
      <c r="G110" s="36">
        <f>G106*5</f>
        <v>500</v>
      </c>
      <c r="H110">
        <f>H106*5</f>
        <v>500</v>
      </c>
      <c r="I110" t="str">
        <f t="shared" si="8"/>
        <v>1024011_500</v>
      </c>
      <c r="J110" t="str">
        <f t="shared" si="9"/>
        <v>1024012_500</v>
      </c>
      <c r="K110"/>
      <c r="L110" t="str">
        <f t="shared" si="5"/>
        <v>1024011_500|1024012_500</v>
      </c>
      <c r="M110"/>
      <c r="N110"/>
    </row>
    <row r="111" spans="4:14">
      <c r="D111"/>
      <c r="E111"/>
      <c r="F111"/>
      <c r="G111" s="36">
        <f>G106*6</f>
        <v>600</v>
      </c>
      <c r="H111">
        <f>H106*6</f>
        <v>600</v>
      </c>
      <c r="I111" t="str">
        <f t="shared" si="8"/>
        <v>1024011_600</v>
      </c>
      <c r="J111" t="str">
        <f t="shared" si="9"/>
        <v>1024012_600</v>
      </c>
      <c r="K111"/>
      <c r="L111" t="str">
        <f t="shared" si="5"/>
        <v>1024011_600|1024012_600</v>
      </c>
      <c r="M111"/>
      <c r="N111"/>
    </row>
    <row r="112" spans="4:14">
      <c r="D112"/>
      <c r="E112"/>
      <c r="F112"/>
      <c r="G112">
        <v>20</v>
      </c>
      <c r="H112">
        <f>G112</f>
        <v>20</v>
      </c>
      <c r="I112" t="str">
        <f t="shared" si="8"/>
        <v>1024011_20</v>
      </c>
      <c r="J112" t="str">
        <f t="shared" si="9"/>
        <v>1024012_20</v>
      </c>
      <c r="K112"/>
      <c r="L112" t="str">
        <f t="shared" si="5"/>
        <v>1024011_20|1024012_20</v>
      </c>
      <c r="M112"/>
      <c r="N112"/>
    </row>
    <row r="113" spans="4:14">
      <c r="D113"/>
      <c r="E113"/>
      <c r="F113"/>
      <c r="G113">
        <f>G112*2</f>
        <v>40</v>
      </c>
      <c r="H113">
        <f>H112*2</f>
        <v>40</v>
      </c>
      <c r="I113" t="str">
        <f t="shared" si="8"/>
        <v>1024011_40</v>
      </c>
      <c r="J113" t="str">
        <f t="shared" si="9"/>
        <v>1024012_40</v>
      </c>
      <c r="K113"/>
      <c r="L113" t="str">
        <f t="shared" si="5"/>
        <v>1024011_40|1024012_40</v>
      </c>
      <c r="M113"/>
      <c r="N113"/>
    </row>
    <row r="114" spans="4:14">
      <c r="D114"/>
      <c r="E114"/>
      <c r="F114"/>
      <c r="G114">
        <f>G112*3</f>
        <v>60</v>
      </c>
      <c r="H114">
        <f>H112*3</f>
        <v>60</v>
      </c>
      <c r="I114" t="str">
        <f t="shared" si="8"/>
        <v>1024011_60</v>
      </c>
      <c r="J114" t="str">
        <f t="shared" si="9"/>
        <v>1024012_60</v>
      </c>
      <c r="K114"/>
      <c r="L114" t="str">
        <f t="shared" si="5"/>
        <v>1024011_60|1024012_60</v>
      </c>
      <c r="M114"/>
      <c r="N114"/>
    </row>
    <row r="115" spans="4:14">
      <c r="D115"/>
      <c r="E115"/>
      <c r="F115"/>
      <c r="G115">
        <f>G112*5</f>
        <v>100</v>
      </c>
      <c r="H115">
        <f>H112*5</f>
        <v>100</v>
      </c>
      <c r="I115" t="str">
        <f t="shared" si="8"/>
        <v>1024011_100</v>
      </c>
      <c r="J115" t="str">
        <f t="shared" si="9"/>
        <v>1024012_100</v>
      </c>
      <c r="K115"/>
      <c r="L115" t="str">
        <f t="shared" si="5"/>
        <v>1024011_100|1024012_100</v>
      </c>
      <c r="M115"/>
      <c r="N115"/>
    </row>
    <row r="116" spans="4:14">
      <c r="D116"/>
      <c r="E116"/>
      <c r="F116"/>
      <c r="G116">
        <f>G112*8</f>
        <v>160</v>
      </c>
      <c r="H116">
        <f>H112*8</f>
        <v>160</v>
      </c>
      <c r="I116" t="str">
        <f t="shared" si="8"/>
        <v>1024011_160</v>
      </c>
      <c r="J116" t="str">
        <f t="shared" si="9"/>
        <v>1024012_160</v>
      </c>
      <c r="K116"/>
      <c r="L116" t="str">
        <f t="shared" si="5"/>
        <v>1024011_160|1024012_160</v>
      </c>
      <c r="M116"/>
      <c r="N116"/>
    </row>
    <row r="117" spans="4:14">
      <c r="D117"/>
      <c r="E117"/>
      <c r="F117"/>
      <c r="G117">
        <f>G112*10</f>
        <v>200</v>
      </c>
      <c r="H117">
        <f>H112*10</f>
        <v>200</v>
      </c>
      <c r="I117" t="str">
        <f t="shared" si="8"/>
        <v>1024011_200</v>
      </c>
      <c r="J117" t="str">
        <f t="shared" si="9"/>
        <v>1024012_200</v>
      </c>
      <c r="K117"/>
      <c r="L117" t="str">
        <f t="shared" si="5"/>
        <v>1024011_200|1024012_200</v>
      </c>
      <c r="M117"/>
      <c r="N117"/>
    </row>
    <row r="118" spans="4:14">
      <c r="D118"/>
      <c r="E118"/>
      <c r="F118"/>
      <c r="G118">
        <f>G112*15</f>
        <v>300</v>
      </c>
      <c r="H118">
        <f>H112*15</f>
        <v>300</v>
      </c>
      <c r="I118" t="str">
        <f t="shared" si="8"/>
        <v>1024011_300</v>
      </c>
      <c r="J118" t="str">
        <f t="shared" si="9"/>
        <v>1024012_300</v>
      </c>
      <c r="K118"/>
      <c r="L118" t="str">
        <f t="shared" si="5"/>
        <v>1024011_300|1024012_300</v>
      </c>
      <c r="M118"/>
      <c r="N118"/>
    </row>
    <row r="119" spans="4:14">
      <c r="D119"/>
      <c r="E119"/>
      <c r="F119"/>
      <c r="G119">
        <f>G112*20</f>
        <v>400</v>
      </c>
      <c r="H119">
        <f>H112*20</f>
        <v>400</v>
      </c>
      <c r="I119" t="str">
        <f t="shared" si="8"/>
        <v>1024011_400</v>
      </c>
      <c r="J119" t="str">
        <f t="shared" si="9"/>
        <v>1024012_400</v>
      </c>
      <c r="K119"/>
      <c r="L119" t="str">
        <f t="shared" ref="L119:L129" si="10">_xlfn.TEXTJOIN("|",TRUE,I119:J119)</f>
        <v>1024011_400|1024012_400</v>
      </c>
      <c r="M119"/>
      <c r="N119"/>
    </row>
    <row r="120" spans="4:14">
      <c r="D120"/>
      <c r="E120"/>
      <c r="F120"/>
      <c r="G120">
        <f>G112*25</f>
        <v>500</v>
      </c>
      <c r="H120">
        <f>H112*25</f>
        <v>500</v>
      </c>
      <c r="I120" t="str">
        <f t="shared" si="8"/>
        <v>1024011_500</v>
      </c>
      <c r="J120" t="str">
        <f t="shared" si="9"/>
        <v>1024012_500</v>
      </c>
      <c r="K120"/>
      <c r="L120" t="str">
        <f t="shared" si="10"/>
        <v>1024011_500|1024012_500</v>
      </c>
      <c r="M120"/>
      <c r="N120"/>
    </row>
    <row r="121" spans="4:14">
      <c r="D121"/>
      <c r="E121"/>
      <c r="F121"/>
      <c r="G121">
        <f>G112*30</f>
        <v>600</v>
      </c>
      <c r="H121">
        <f>H112*30</f>
        <v>600</v>
      </c>
      <c r="I121" t="str">
        <f t="shared" si="8"/>
        <v>1024011_600</v>
      </c>
      <c r="J121" t="str">
        <f t="shared" si="9"/>
        <v>1024012_600</v>
      </c>
      <c r="K121"/>
      <c r="L121" t="str">
        <f t="shared" si="10"/>
        <v>1024011_600|1024012_600</v>
      </c>
      <c r="M121"/>
      <c r="N121"/>
    </row>
    <row r="122" spans="4:14">
      <c r="D122"/>
      <c r="E122"/>
      <c r="F122"/>
      <c r="G122">
        <f>G112*40</f>
        <v>800</v>
      </c>
      <c r="H122">
        <f>H112*40</f>
        <v>800</v>
      </c>
      <c r="I122" t="str">
        <f t="shared" si="8"/>
        <v>1024011_800</v>
      </c>
      <c r="J122" t="str">
        <f t="shared" si="9"/>
        <v>1024012_800</v>
      </c>
      <c r="K122"/>
      <c r="L122" t="str">
        <f t="shared" si="10"/>
        <v>1024011_800|1024012_800</v>
      </c>
      <c r="M122"/>
      <c r="N122"/>
    </row>
    <row r="123" spans="4:14">
      <c r="D123"/>
      <c r="E123"/>
      <c r="F123"/>
      <c r="G123">
        <f>G112*50</f>
        <v>1000</v>
      </c>
      <c r="H123">
        <f>H112*50</f>
        <v>1000</v>
      </c>
      <c r="I123" t="str">
        <f t="shared" si="8"/>
        <v>1024011_1000</v>
      </c>
      <c r="J123" t="str">
        <f t="shared" si="9"/>
        <v>1024012_1000</v>
      </c>
      <c r="K123"/>
      <c r="L123" t="str">
        <f t="shared" si="10"/>
        <v>1024011_1000|1024012_1000</v>
      </c>
      <c r="M123"/>
      <c r="N123"/>
    </row>
    <row r="124" spans="4:14">
      <c r="D124"/>
      <c r="E124"/>
      <c r="F124"/>
      <c r="G124">
        <v>200</v>
      </c>
      <c r="H124">
        <f>G124</f>
        <v>200</v>
      </c>
      <c r="I124" t="str">
        <f t="shared" si="8"/>
        <v>1024011_200</v>
      </c>
      <c r="J124" t="str">
        <f t="shared" si="9"/>
        <v>1024012_200</v>
      </c>
      <c r="K124"/>
      <c r="L124" t="str">
        <f t="shared" si="10"/>
        <v>1024011_200|1024012_200</v>
      </c>
      <c r="M124"/>
      <c r="N124"/>
    </row>
    <row r="125" spans="4:14">
      <c r="D125"/>
      <c r="E125"/>
      <c r="F125"/>
      <c r="G125">
        <f>G124*2</f>
        <v>400</v>
      </c>
      <c r="H125">
        <f>H124*2</f>
        <v>400</v>
      </c>
      <c r="I125" t="str">
        <f t="shared" si="8"/>
        <v>1024011_400</v>
      </c>
      <c r="J125" t="str">
        <f t="shared" si="9"/>
        <v>1024012_400</v>
      </c>
      <c r="K125"/>
      <c r="L125" t="str">
        <f t="shared" si="10"/>
        <v>1024011_400|1024012_400</v>
      </c>
      <c r="M125"/>
      <c r="N125"/>
    </row>
    <row r="126" spans="4:14">
      <c r="D126"/>
      <c r="E126"/>
      <c r="F126"/>
      <c r="G126">
        <f>G124*4</f>
        <v>800</v>
      </c>
      <c r="H126">
        <f>H124*4</f>
        <v>800</v>
      </c>
      <c r="I126" t="str">
        <f t="shared" si="8"/>
        <v>1024011_800</v>
      </c>
      <c r="J126" t="str">
        <f t="shared" si="9"/>
        <v>1024012_800</v>
      </c>
      <c r="K126"/>
      <c r="L126" t="str">
        <f t="shared" si="10"/>
        <v>1024011_800|1024012_800</v>
      </c>
      <c r="M126"/>
      <c r="N126"/>
    </row>
    <row r="127" spans="4:14">
      <c r="D127"/>
      <c r="E127"/>
      <c r="F127"/>
      <c r="G127">
        <f>G124*6</f>
        <v>1200</v>
      </c>
      <c r="H127">
        <f>H124*6</f>
        <v>1200</v>
      </c>
      <c r="I127" t="str">
        <f t="shared" si="8"/>
        <v>1024011_1200</v>
      </c>
      <c r="J127" t="str">
        <f t="shared" si="9"/>
        <v>1024012_1200</v>
      </c>
      <c r="K127"/>
      <c r="L127" t="str">
        <f t="shared" si="10"/>
        <v>1024011_1200|1024012_1200</v>
      </c>
      <c r="M127"/>
      <c r="N127"/>
    </row>
    <row r="128" spans="4:14">
      <c r="D128"/>
      <c r="E128"/>
      <c r="F128"/>
      <c r="G128">
        <f>G124*10</f>
        <v>2000</v>
      </c>
      <c r="H128">
        <f>H124*10</f>
        <v>2000</v>
      </c>
      <c r="I128" t="str">
        <f t="shared" si="8"/>
        <v>1024011_2000</v>
      </c>
      <c r="J128" t="str">
        <f t="shared" si="9"/>
        <v>1024012_2000</v>
      </c>
      <c r="K128"/>
      <c r="L128" t="str">
        <f t="shared" si="10"/>
        <v>1024011_2000|1024012_2000</v>
      </c>
      <c r="M128"/>
      <c r="N128"/>
    </row>
    <row r="129" spans="4:14">
      <c r="D129"/>
      <c r="E129"/>
      <c r="F129"/>
      <c r="G129">
        <f>G124*20</f>
        <v>4000</v>
      </c>
      <c r="H129">
        <f>H124*20</f>
        <v>4000</v>
      </c>
      <c r="I129" t="str">
        <f t="shared" si="8"/>
        <v>1024011_4000</v>
      </c>
      <c r="J129" t="str">
        <f t="shared" si="9"/>
        <v>1024012_4000</v>
      </c>
      <c r="K129"/>
      <c r="L129" t="str">
        <f t="shared" si="10"/>
        <v>1024011_4000|1024012_4000</v>
      </c>
      <c r="M129"/>
      <c r="N129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3"/>
  <sheetViews>
    <sheetView topLeftCell="A46" workbookViewId="0">
      <selection activeCell="E59" sqref="E59"/>
    </sheetView>
  </sheetViews>
  <sheetFormatPr defaultColWidth="9" defaultRowHeight="16.5"/>
  <cols>
    <col min="11" max="12" width="14.5" style="5" customWidth="1"/>
  </cols>
  <sheetData>
    <row r="1" spans="1:12">
      <c r="A1" s="6">
        <v>70001</v>
      </c>
      <c r="B1" s="4" t="s">
        <v>3043</v>
      </c>
      <c r="K1" s="7"/>
      <c r="L1" s="7"/>
    </row>
    <row r="2" spans="1:12">
      <c r="A2" s="8">
        <v>70002</v>
      </c>
      <c r="B2" s="4" t="s">
        <v>3058</v>
      </c>
      <c r="K2" s="9"/>
      <c r="L2" s="9"/>
    </row>
    <row r="3" spans="1:12">
      <c r="A3" s="8">
        <v>70003</v>
      </c>
      <c r="B3" s="4" t="s">
        <v>3059</v>
      </c>
      <c r="K3" s="7"/>
      <c r="L3" s="7"/>
    </row>
    <row r="4" spans="1:12">
      <c r="A4" s="8">
        <v>70004</v>
      </c>
      <c r="B4" s="4" t="s">
        <v>3060</v>
      </c>
      <c r="K4" s="7"/>
      <c r="L4" s="7"/>
    </row>
    <row r="5" spans="1:12">
      <c r="A5" s="8">
        <v>70005</v>
      </c>
      <c r="B5" s="4" t="s">
        <v>3061</v>
      </c>
      <c r="K5" s="10" t="s">
        <v>3062</v>
      </c>
      <c r="L5" s="10" t="e">
        <f>_xlfn.XLOOKUP(K5,[1]jumpData!$F:$F,[1]jumpData!$A:$A)</f>
        <v>#N/A</v>
      </c>
    </row>
    <row r="6" spans="1:12">
      <c r="A6" s="8">
        <v>70006</v>
      </c>
      <c r="B6" s="4" t="s">
        <v>3063</v>
      </c>
      <c r="K6" s="10" t="s">
        <v>3062</v>
      </c>
      <c r="L6" s="10" t="e">
        <f>_xlfn.XLOOKUP(K6,[1]jumpData!$F:$F,[1]jumpData!$A:$A)</f>
        <v>#N/A</v>
      </c>
    </row>
    <row r="7" spans="1:12">
      <c r="A7" s="8">
        <v>70007</v>
      </c>
      <c r="B7" s="4" t="s">
        <v>3064</v>
      </c>
      <c r="K7" s="10" t="s">
        <v>3062</v>
      </c>
      <c r="L7" s="10" t="e">
        <f>_xlfn.XLOOKUP(K7,[1]jumpData!$F:$F,[1]jumpData!$A:$A)</f>
        <v>#N/A</v>
      </c>
    </row>
    <row r="8" spans="1:12">
      <c r="A8" s="8">
        <v>70008</v>
      </c>
      <c r="B8" s="4" t="s">
        <v>3033</v>
      </c>
      <c r="K8" s="10" t="s">
        <v>3062</v>
      </c>
      <c r="L8" s="10" t="e">
        <f>_xlfn.XLOOKUP(K8,[1]jumpData!$F:$F,[1]jumpData!$A:$A)</f>
        <v>#N/A</v>
      </c>
    </row>
    <row r="9" spans="1:12">
      <c r="A9" s="6">
        <v>70009</v>
      </c>
      <c r="B9" s="4" t="s">
        <v>3065</v>
      </c>
      <c r="K9" s="10" t="s">
        <v>3062</v>
      </c>
      <c r="L9" s="10" t="e">
        <f>_xlfn.XLOOKUP(K9,[1]jumpData!$F:$F,[1]jumpData!$A:$A)</f>
        <v>#N/A</v>
      </c>
    </row>
    <row r="10" spans="1:12">
      <c r="A10" s="8">
        <v>70010</v>
      </c>
      <c r="B10" s="4" t="s">
        <v>3066</v>
      </c>
      <c r="K10" s="10" t="s">
        <v>3062</v>
      </c>
      <c r="L10" s="10" t="e">
        <f>_xlfn.XLOOKUP(K10,[1]jumpData!$F:$F,[1]jumpData!$A:$A)</f>
        <v>#N/A</v>
      </c>
    </row>
    <row r="11" spans="1:12">
      <c r="A11" s="6">
        <v>70101</v>
      </c>
      <c r="B11" s="4" t="s">
        <v>3067</v>
      </c>
      <c r="K11" s="10" t="s">
        <v>3062</v>
      </c>
      <c r="L11" s="10" t="e">
        <f>_xlfn.XLOOKUP(K11,[1]jumpData!$F:$F,[1]jumpData!$A:$A)</f>
        <v>#N/A</v>
      </c>
    </row>
    <row r="12" spans="1:12">
      <c r="A12" s="6">
        <v>70102</v>
      </c>
      <c r="B12" s="4" t="s">
        <v>3068</v>
      </c>
      <c r="K12" s="10" t="s">
        <v>3069</v>
      </c>
      <c r="L12" s="10" t="e">
        <f>_xlfn.XLOOKUP(K12,[1]jumpData!$F:$F,[1]jumpData!$A:$A)</f>
        <v>#N/A</v>
      </c>
    </row>
    <row r="13" spans="1:12">
      <c r="A13" s="6">
        <v>70103</v>
      </c>
      <c r="B13" s="4" t="s">
        <v>3070</v>
      </c>
      <c r="K13" s="10" t="s">
        <v>3069</v>
      </c>
      <c r="L13" s="10" t="e">
        <f>_xlfn.XLOOKUP(K13,[1]jumpData!$F:$F,[1]jumpData!$A:$A)</f>
        <v>#N/A</v>
      </c>
    </row>
    <row r="14" spans="1:12">
      <c r="A14" s="6">
        <v>70104</v>
      </c>
      <c r="B14" s="4" t="s">
        <v>3071</v>
      </c>
      <c r="K14" s="10" t="s">
        <v>94</v>
      </c>
      <c r="L14" s="10" t="e">
        <f>_xlfn.XLOOKUP(K14,[1]jumpData!$F:$F,[1]jumpData!$A:$A)</f>
        <v>#N/A</v>
      </c>
    </row>
    <row r="15" spans="1:12">
      <c r="A15" s="6">
        <v>70301</v>
      </c>
      <c r="B15" s="4" t="s">
        <v>3072</v>
      </c>
      <c r="K15" s="10" t="s">
        <v>105</v>
      </c>
      <c r="L15" s="10" t="e">
        <f>_xlfn.XLOOKUP(K15,[1]jumpData!$F:$F,[1]jumpData!$A:$A)</f>
        <v>#N/A</v>
      </c>
    </row>
    <row r="16" spans="1:12">
      <c r="A16" s="6">
        <v>70302</v>
      </c>
      <c r="B16" s="4" t="s">
        <v>3073</v>
      </c>
      <c r="K16" s="10" t="s">
        <v>3069</v>
      </c>
      <c r="L16" s="10" t="e">
        <f>_xlfn.XLOOKUP(K16,[1]jumpData!$F:$F,[1]jumpData!$A:$A)</f>
        <v>#N/A</v>
      </c>
    </row>
    <row r="17" spans="1:12">
      <c r="A17" s="6">
        <v>70303</v>
      </c>
      <c r="B17" s="4" t="s">
        <v>3074</v>
      </c>
      <c r="K17" s="10" t="s">
        <v>105</v>
      </c>
      <c r="L17" s="10" t="e">
        <f>_xlfn.XLOOKUP(K17,[1]jumpData!$F:$F,[1]jumpData!$A:$A)</f>
        <v>#N/A</v>
      </c>
    </row>
    <row r="18" spans="1:12">
      <c r="A18" s="6">
        <v>70304</v>
      </c>
      <c r="B18" s="4" t="s">
        <v>3075</v>
      </c>
      <c r="K18" s="10" t="s">
        <v>105</v>
      </c>
      <c r="L18" s="10" t="e">
        <f>_xlfn.XLOOKUP(K18,[1]jumpData!$F:$F,[1]jumpData!$A:$A)</f>
        <v>#N/A</v>
      </c>
    </row>
    <row r="19" spans="1:12">
      <c r="A19" s="6">
        <v>70305</v>
      </c>
      <c r="B19" s="4" t="s">
        <v>3076</v>
      </c>
      <c r="K19" s="10" t="s">
        <v>105</v>
      </c>
      <c r="L19" s="10" t="e">
        <f>_xlfn.XLOOKUP(K19,[1]jumpData!$F:$F,[1]jumpData!$A:$A)</f>
        <v>#N/A</v>
      </c>
    </row>
    <row r="20" spans="1:12">
      <c r="A20" s="6">
        <v>70306</v>
      </c>
      <c r="B20" s="4" t="s">
        <v>3077</v>
      </c>
      <c r="K20" s="10" t="s">
        <v>94</v>
      </c>
      <c r="L20" s="10" t="e">
        <f>_xlfn.XLOOKUP(K20,[1]jumpData!$F:$F,[1]jumpData!$A:$A)</f>
        <v>#N/A</v>
      </c>
    </row>
    <row r="21" spans="1:12">
      <c r="A21" s="6">
        <v>70307</v>
      </c>
      <c r="B21" s="4" t="s">
        <v>3078</v>
      </c>
      <c r="K21" s="10" t="s">
        <v>94</v>
      </c>
      <c r="L21" s="10" t="e">
        <f>_xlfn.XLOOKUP(K21,[1]jumpData!$F:$F,[1]jumpData!$A:$A)</f>
        <v>#N/A</v>
      </c>
    </row>
    <row r="22" spans="1:12">
      <c r="A22" s="6">
        <v>70308</v>
      </c>
      <c r="B22" s="4" t="s">
        <v>3079</v>
      </c>
      <c r="K22" s="10" t="s">
        <v>94</v>
      </c>
      <c r="L22" s="10" t="e">
        <f>_xlfn.XLOOKUP(K22,[1]jumpData!$F:$F,[1]jumpData!$A:$A)</f>
        <v>#N/A</v>
      </c>
    </row>
    <row r="23" spans="1:12">
      <c r="A23" s="6">
        <v>70309</v>
      </c>
      <c r="B23" s="4" t="s">
        <v>3080</v>
      </c>
      <c r="K23" s="10" t="s">
        <v>114</v>
      </c>
      <c r="L23" s="10" t="e">
        <f>_xlfn.XLOOKUP(K23,[1]jumpData!$F:$F,[1]jumpData!$A:$A)</f>
        <v>#N/A</v>
      </c>
    </row>
    <row r="24" spans="1:12">
      <c r="A24" s="6">
        <v>70310</v>
      </c>
      <c r="B24" s="4" t="s">
        <v>3081</v>
      </c>
      <c r="K24" s="10" t="s">
        <v>114</v>
      </c>
      <c r="L24" s="10" t="e">
        <f>_xlfn.XLOOKUP(K24,[1]jumpData!$F:$F,[1]jumpData!$A:$A)</f>
        <v>#N/A</v>
      </c>
    </row>
    <row r="25" spans="1:12">
      <c r="A25" s="6">
        <v>70311</v>
      </c>
      <c r="B25" s="4" t="s">
        <v>3082</v>
      </c>
      <c r="K25" s="10" t="s">
        <v>114</v>
      </c>
      <c r="L25" s="10" t="e">
        <f>_xlfn.XLOOKUP(K25,[1]jumpData!$F:$F,[1]jumpData!$A:$A)</f>
        <v>#N/A</v>
      </c>
    </row>
    <row r="26" spans="1:12">
      <c r="A26" s="6">
        <v>70312</v>
      </c>
      <c r="B26" s="4" t="s">
        <v>3083</v>
      </c>
      <c r="K26" s="10" t="s">
        <v>123</v>
      </c>
      <c r="L26" s="10" t="e">
        <f>_xlfn.XLOOKUP(K26,[1]jumpData!$F:$F,[1]jumpData!$A:$A)</f>
        <v>#N/A</v>
      </c>
    </row>
    <row r="27" spans="1:12">
      <c r="A27" s="6">
        <v>70381</v>
      </c>
      <c r="B27" s="4" t="s">
        <v>3084</v>
      </c>
      <c r="K27" s="10" t="s">
        <v>123</v>
      </c>
      <c r="L27" s="10" t="e">
        <f>_xlfn.XLOOKUP(K27,[1]jumpData!$F:$F,[1]jumpData!$A:$A)</f>
        <v>#N/A</v>
      </c>
    </row>
    <row r="28" spans="1:12">
      <c r="A28" s="6">
        <v>70382</v>
      </c>
      <c r="B28" s="4" t="s">
        <v>3085</v>
      </c>
      <c r="K28" s="10" t="s">
        <v>123</v>
      </c>
      <c r="L28" s="10" t="e">
        <f>_xlfn.XLOOKUP(K28,[1]jumpData!$F:$F,[1]jumpData!$A:$A)</f>
        <v>#N/A</v>
      </c>
    </row>
    <row r="29" spans="1:12">
      <c r="A29" s="6">
        <v>70383</v>
      </c>
      <c r="B29" s="4" t="s">
        <v>3086</v>
      </c>
      <c r="K29" s="10" t="s">
        <v>114</v>
      </c>
      <c r="L29" s="10" t="e">
        <f>_xlfn.XLOOKUP(K29,[1]jumpData!$F:$F,[1]jumpData!$A:$A)</f>
        <v>#N/A</v>
      </c>
    </row>
    <row r="30" spans="1:12">
      <c r="A30" s="6">
        <v>70391</v>
      </c>
      <c r="B30" s="4" t="s">
        <v>3087</v>
      </c>
      <c r="K30" s="10" t="s">
        <v>114</v>
      </c>
      <c r="L30" s="10" t="e">
        <f>_xlfn.XLOOKUP(K30,[1]jumpData!$F:$F,[1]jumpData!$A:$A)</f>
        <v>#N/A</v>
      </c>
    </row>
    <row r="31" spans="1:12">
      <c r="A31" s="6">
        <v>70392</v>
      </c>
      <c r="B31" s="4" t="s">
        <v>3088</v>
      </c>
      <c r="K31" s="10" t="s">
        <v>114</v>
      </c>
      <c r="L31" s="10" t="e">
        <f>_xlfn.XLOOKUP(K31,[1]jumpData!$F:$F,[1]jumpData!$A:$A)</f>
        <v>#N/A</v>
      </c>
    </row>
    <row r="32" spans="1:12">
      <c r="A32" s="6">
        <v>70393</v>
      </c>
      <c r="B32" s="4" t="s">
        <v>3089</v>
      </c>
      <c r="K32" s="10" t="s">
        <v>114</v>
      </c>
      <c r="L32" s="10" t="e">
        <f>_xlfn.XLOOKUP(K32,[1]jumpData!$F:$F,[1]jumpData!$A:$A)</f>
        <v>#N/A</v>
      </c>
    </row>
    <row r="33" spans="1:12">
      <c r="A33" s="6">
        <v>71101</v>
      </c>
      <c r="B33" s="4" t="s">
        <v>3047</v>
      </c>
      <c r="K33" s="10" t="s">
        <v>3090</v>
      </c>
      <c r="L33" s="10" t="e">
        <f>_xlfn.XLOOKUP(K33,[1]jumpData!$F:$F,[1]jumpData!$A:$A)</f>
        <v>#N/A</v>
      </c>
    </row>
    <row r="34" spans="1:12">
      <c r="A34" s="6">
        <v>71102</v>
      </c>
      <c r="B34" s="4" t="s">
        <v>3050</v>
      </c>
      <c r="K34" s="10" t="s">
        <v>3090</v>
      </c>
      <c r="L34" s="10" t="e">
        <f>_xlfn.XLOOKUP(K34,[1]jumpData!$F:$F,[1]jumpData!$A:$A)</f>
        <v>#N/A</v>
      </c>
    </row>
    <row r="35" spans="1:12">
      <c r="A35" s="6">
        <v>71103</v>
      </c>
      <c r="B35" s="4" t="s">
        <v>3053</v>
      </c>
      <c r="K35" s="10" t="s">
        <v>3090</v>
      </c>
      <c r="L35" s="10" t="e">
        <f>_xlfn.XLOOKUP(K35,[1]jumpData!$F:$F,[1]jumpData!$A:$A)</f>
        <v>#N/A</v>
      </c>
    </row>
    <row r="36" spans="1:12">
      <c r="A36" s="6">
        <v>71201</v>
      </c>
      <c r="B36" s="4" t="s">
        <v>3091</v>
      </c>
      <c r="K36" s="10" t="s">
        <v>3090</v>
      </c>
      <c r="L36" s="10" t="e">
        <f>_xlfn.XLOOKUP(K36,[1]jumpData!$F:$F,[1]jumpData!$A:$A)</f>
        <v>#N/A</v>
      </c>
    </row>
    <row r="37" spans="1:12">
      <c r="A37" s="6">
        <v>71202</v>
      </c>
      <c r="B37" s="4" t="s">
        <v>3092</v>
      </c>
      <c r="K37" s="10" t="s">
        <v>2954</v>
      </c>
      <c r="L37" s="10" t="e">
        <f>_xlfn.XLOOKUP(K37,[1]jumpData!$F:$F,[1]jumpData!$A:$A)</f>
        <v>#N/A</v>
      </c>
    </row>
    <row r="38" spans="1:12">
      <c r="A38" s="6">
        <v>72011</v>
      </c>
      <c r="B38" s="4" t="s">
        <v>3093</v>
      </c>
      <c r="K38" s="10" t="s">
        <v>2954</v>
      </c>
      <c r="L38" s="10" t="e">
        <f>_xlfn.XLOOKUP(K38,[1]jumpData!$F:$F,[1]jumpData!$A:$A)</f>
        <v>#N/A</v>
      </c>
    </row>
    <row r="39" spans="1:12">
      <c r="A39" s="6">
        <v>72012</v>
      </c>
      <c r="B39" s="4" t="s">
        <v>3094</v>
      </c>
      <c r="K39" s="10" t="s">
        <v>2954</v>
      </c>
      <c r="L39" s="10" t="e">
        <f>_xlfn.XLOOKUP(K39,[1]jumpData!$F:$F,[1]jumpData!$A:$A)</f>
        <v>#N/A</v>
      </c>
    </row>
    <row r="40" spans="1:12">
      <c r="A40" s="6">
        <v>72101</v>
      </c>
      <c r="B40" s="4" t="s">
        <v>3036</v>
      </c>
      <c r="K40" s="10" t="s">
        <v>3069</v>
      </c>
      <c r="L40" s="10" t="e">
        <f>_xlfn.XLOOKUP(K40,[1]jumpData!$F:$F,[1]jumpData!$A:$A)</f>
        <v>#N/A</v>
      </c>
    </row>
    <row r="41" spans="1:12">
      <c r="A41" s="6">
        <v>72102</v>
      </c>
      <c r="B41" s="4" t="s">
        <v>3039</v>
      </c>
      <c r="K41" s="10" t="s">
        <v>105</v>
      </c>
      <c r="L41" s="10" t="e">
        <f>_xlfn.XLOOKUP(K41,[1]jumpData!$F:$F,[1]jumpData!$A:$A)</f>
        <v>#N/A</v>
      </c>
    </row>
    <row r="42" spans="1:12">
      <c r="K42" s="10" t="s">
        <v>94</v>
      </c>
      <c r="L42" s="10" t="e">
        <f>_xlfn.XLOOKUP(K42,[1]jumpData!$F:$F,[1]jumpData!$A:$A)</f>
        <v>#N/A</v>
      </c>
    </row>
    <row r="43" spans="1:12">
      <c r="K43" s="10" t="s">
        <v>114</v>
      </c>
      <c r="L43" s="10" t="e">
        <f>_xlfn.XLOOKUP(K43,[1]jumpData!$F:$F,[1]jumpData!$A:$A)</f>
        <v>#N/A</v>
      </c>
    </row>
    <row r="44" spans="1:12">
      <c r="K44" s="10" t="s">
        <v>123</v>
      </c>
      <c r="L44" s="10" t="e">
        <f>_xlfn.XLOOKUP(K44,[1]jumpData!$F:$F,[1]jumpData!$A:$A)</f>
        <v>#N/A</v>
      </c>
    </row>
    <row r="45" spans="1:12">
      <c r="K45" s="10" t="s">
        <v>114</v>
      </c>
      <c r="L45" s="10" t="e">
        <f>_xlfn.XLOOKUP(K45,[1]jumpData!$F:$F,[1]jumpData!$A:$A)</f>
        <v>#N/A</v>
      </c>
    </row>
    <row r="46" spans="1:12">
      <c r="K46" s="11"/>
      <c r="L46" s="10">
        <f>_xlfn.XLOOKUP(K46,[1]jumpData!$F:$F,[1]jumpData!$A:$A)</f>
        <v>0</v>
      </c>
    </row>
    <row r="47" spans="1:12">
      <c r="K47" s="11"/>
      <c r="L47" s="10">
        <f>_xlfn.XLOOKUP(K47,[1]jumpData!$F:$F,[1]jumpData!$A:$A)</f>
        <v>0</v>
      </c>
    </row>
    <row r="48" spans="1:12">
      <c r="K48" s="11"/>
      <c r="L48" s="10">
        <f>_xlfn.XLOOKUP(K48,[1]jumpData!$F:$F,[1]jumpData!$A:$A)</f>
        <v>0</v>
      </c>
    </row>
    <row r="49" spans="1:22">
      <c r="K49" s="11"/>
      <c r="L49" s="10">
        <f>_xlfn.XLOOKUP(K49,[1]jumpData!$F:$F,[1]jumpData!$A:$A)</f>
        <v>0</v>
      </c>
    </row>
    <row r="50" spans="1:22">
      <c r="K50" s="11"/>
      <c r="L50" s="10">
        <f>_xlfn.XLOOKUP(K50,[1]jumpData!$F:$F,[1]jumpData!$A:$A)</f>
        <v>0</v>
      </c>
    </row>
    <row r="51" spans="1:22">
      <c r="K51" s="11"/>
      <c r="L51" s="10">
        <f>_xlfn.XLOOKUP(K51,[1]jumpData!$F:$F,[1]jumpData!$A:$A)</f>
        <v>0</v>
      </c>
    </row>
    <row r="52" spans="1:22">
      <c r="K52" s="11"/>
      <c r="L52" s="10">
        <f>_xlfn.XLOOKUP(K52,[1]jumpData!$F:$F,[1]jumpData!$A:$A)</f>
        <v>0</v>
      </c>
    </row>
    <row r="53" spans="1:22">
      <c r="K53" s="11"/>
      <c r="L53" s="10">
        <f>_xlfn.XLOOKUP(K53,[1]jumpData!$F:$F,[1]jumpData!$A:$A)</f>
        <v>0</v>
      </c>
    </row>
    <row r="54" spans="1:22">
      <c r="K54" s="11"/>
      <c r="L54" s="10">
        <f>_xlfn.XLOOKUP(K54,[1]jumpData!$F:$F,[1]jumpData!$A:$A)</f>
        <v>0</v>
      </c>
    </row>
    <row r="55" spans="1:22">
      <c r="K55" s="11"/>
      <c r="L55" s="10">
        <f>_xlfn.XLOOKUP(K55,[1]jumpData!$F:$F,[1]jumpData!$A:$A)</f>
        <v>0</v>
      </c>
    </row>
    <row r="59" s="3" customFormat="1" spans="1:22">
      <c r="A59" s="12">
        <v>10007</v>
      </c>
      <c r="B59" s="12">
        <v>1</v>
      </c>
      <c r="C59" s="12">
        <v>7</v>
      </c>
      <c r="D59" s="12">
        <f>COUNTIF($C$59:C59,C59)</f>
        <v>1</v>
      </c>
      <c r="E59" s="12" t="s">
        <v>3095</v>
      </c>
      <c r="F59" s="12"/>
      <c r="G59" s="13">
        <v>5</v>
      </c>
      <c r="H59" s="13" t="s">
        <v>52</v>
      </c>
      <c r="I59" s="10">
        <v>2001</v>
      </c>
      <c r="J59" s="10" t="s">
        <v>3096</v>
      </c>
      <c r="K59" s="8"/>
      <c r="L59" s="8">
        <v>70007</v>
      </c>
      <c r="M59" s="4" t="s">
        <v>3064</v>
      </c>
      <c r="N59" s="3" t="s">
        <v>3097</v>
      </c>
      <c r="O59" s="3">
        <v>1000</v>
      </c>
      <c r="R59" s="3">
        <f t="shared" ref="R59:R62" si="0">O59</f>
        <v>1000</v>
      </c>
      <c r="S59" s="14">
        <f t="shared" ref="S59:S62" si="1">O59/7</f>
        <v>142.857142857143</v>
      </c>
      <c r="T59" s="14"/>
      <c r="U59" s="14"/>
      <c r="V59" s="4">
        <f t="shared" ref="V59:V62" si="2">ROUND(MAX(S59/100,T59/100,U59),0)</f>
        <v>1</v>
      </c>
    </row>
    <row r="60" customFormat="1" spans="1:22">
      <c r="A60" s="12">
        <f t="shared" ref="A60:A62" si="3">C60*100+D60</f>
        <v>100038101</v>
      </c>
      <c r="B60" s="12">
        <v>1</v>
      </c>
      <c r="C60" s="12">
        <v>1000381</v>
      </c>
      <c r="D60" s="12">
        <f>COUNTIF($C$59:C60,C60)</f>
        <v>1</v>
      </c>
      <c r="E60" s="12" t="s">
        <v>3098</v>
      </c>
      <c r="F60" s="12"/>
      <c r="G60" s="13">
        <v>10</v>
      </c>
      <c r="H60" s="13" t="s">
        <v>52</v>
      </c>
      <c r="I60" s="10">
        <v>2001</v>
      </c>
      <c r="J60" s="10" t="s">
        <v>3096</v>
      </c>
      <c r="K60" s="8"/>
      <c r="L60" s="8" t="s">
        <v>3099</v>
      </c>
      <c r="M60" s="4" t="s">
        <v>3084</v>
      </c>
      <c r="N60" s="3" t="s">
        <v>3097</v>
      </c>
      <c r="O60" s="3">
        <v>7000</v>
      </c>
      <c r="P60" s="3"/>
      <c r="Q60" s="3"/>
      <c r="R60" s="3">
        <f t="shared" si="0"/>
        <v>7000</v>
      </c>
      <c r="S60" s="14">
        <f t="shared" si="1"/>
        <v>1000</v>
      </c>
      <c r="T60" s="14"/>
      <c r="U60" s="14"/>
      <c r="V60" s="4">
        <f t="shared" si="2"/>
        <v>10</v>
      </c>
    </row>
    <row r="61" customFormat="1" spans="1:22">
      <c r="A61" s="12">
        <f t="shared" si="3"/>
        <v>100038201</v>
      </c>
      <c r="B61" s="12">
        <v>1</v>
      </c>
      <c r="C61" s="12">
        <v>1000382</v>
      </c>
      <c r="D61" s="12">
        <f>COUNTIF($C$59:C61,C61)</f>
        <v>1</v>
      </c>
      <c r="E61" s="12" t="s">
        <v>3100</v>
      </c>
      <c r="F61" s="12"/>
      <c r="G61" s="13">
        <v>100</v>
      </c>
      <c r="H61" s="13" t="s">
        <v>52</v>
      </c>
      <c r="I61" s="10">
        <v>2001</v>
      </c>
      <c r="J61" s="10" t="s">
        <v>3096</v>
      </c>
      <c r="K61" s="8"/>
      <c r="L61" s="8" t="s">
        <v>3101</v>
      </c>
      <c r="M61" s="4" t="s">
        <v>3085</v>
      </c>
      <c r="N61" s="3" t="s">
        <v>3097</v>
      </c>
      <c r="O61" s="3">
        <v>70000</v>
      </c>
      <c r="P61" s="3"/>
      <c r="Q61" s="3"/>
      <c r="R61" s="3">
        <f t="shared" si="0"/>
        <v>70000</v>
      </c>
      <c r="S61" s="14">
        <f t="shared" si="1"/>
        <v>10000</v>
      </c>
      <c r="T61" s="14"/>
      <c r="U61" s="14"/>
      <c r="V61" s="4">
        <f t="shared" si="2"/>
        <v>100</v>
      </c>
    </row>
    <row r="62" customFormat="1" spans="1:22">
      <c r="A62" s="12">
        <f t="shared" si="3"/>
        <v>100038301</v>
      </c>
      <c r="B62" s="12">
        <v>1</v>
      </c>
      <c r="C62" s="12">
        <v>1000383</v>
      </c>
      <c r="D62" s="12">
        <f>COUNTIF($C$59:C62,C62)</f>
        <v>1</v>
      </c>
      <c r="E62" s="12" t="s">
        <v>3102</v>
      </c>
      <c r="F62" s="12"/>
      <c r="G62" s="13">
        <v>1000</v>
      </c>
      <c r="H62" s="13" t="s">
        <v>52</v>
      </c>
      <c r="I62" s="10">
        <v>2001</v>
      </c>
      <c r="J62" s="10" t="s">
        <v>3096</v>
      </c>
      <c r="K62" s="8"/>
      <c r="L62" s="8" t="s">
        <v>3103</v>
      </c>
      <c r="M62" s="4" t="s">
        <v>3086</v>
      </c>
      <c r="N62" s="3" t="s">
        <v>3097</v>
      </c>
      <c r="O62" s="3">
        <v>700000</v>
      </c>
      <c r="P62" s="3"/>
      <c r="Q62" s="3"/>
      <c r="R62" s="3">
        <f t="shared" si="0"/>
        <v>700000</v>
      </c>
      <c r="S62" s="14">
        <f t="shared" si="1"/>
        <v>100000</v>
      </c>
      <c r="T62" s="14"/>
      <c r="U62" s="14"/>
      <c r="V62" s="4">
        <f t="shared" si="2"/>
        <v>1000</v>
      </c>
    </row>
    <row r="63" s="3" customFormat="1" spans="1:22">
      <c r="A63" s="14">
        <v>10027</v>
      </c>
      <c r="B63" s="14">
        <v>1</v>
      </c>
      <c r="C63" s="14">
        <v>7</v>
      </c>
      <c r="D63" s="12">
        <f>COUNTIF($C$63:C63,C63)</f>
        <v>1</v>
      </c>
      <c r="E63" s="14" t="s">
        <v>3095</v>
      </c>
      <c r="F63" s="14"/>
      <c r="G63" s="15">
        <v>10</v>
      </c>
      <c r="H63" s="15" t="s">
        <v>52</v>
      </c>
      <c r="I63" s="11">
        <v>2002</v>
      </c>
      <c r="J63" s="11" t="s">
        <v>3096</v>
      </c>
      <c r="K63" s="16" t="s">
        <v>3104</v>
      </c>
      <c r="L63" s="16">
        <v>70007</v>
      </c>
      <c r="M63" s="4" t="s">
        <v>3064</v>
      </c>
      <c r="P63" s="4"/>
    </row>
    <row r="65" s="4" customFormat="1" spans="1:22">
      <c r="A65" s="14">
        <v>10021</v>
      </c>
      <c r="B65" s="14">
        <v>1</v>
      </c>
      <c r="C65" s="14">
        <v>1</v>
      </c>
      <c r="D65" s="12">
        <f>COUNTIF($C$65:C65,C65)</f>
        <v>1</v>
      </c>
      <c r="E65" s="14" t="s">
        <v>3105</v>
      </c>
      <c r="F65" s="14"/>
      <c r="G65" s="15">
        <v>20</v>
      </c>
      <c r="H65" s="15" t="s">
        <v>52</v>
      </c>
      <c r="I65" s="11">
        <v>1001</v>
      </c>
      <c r="J65" s="11" t="s">
        <v>3106</v>
      </c>
      <c r="K65" s="16" t="s">
        <v>3107</v>
      </c>
      <c r="L65" s="16">
        <v>70001</v>
      </c>
      <c r="M65" s="4" t="s">
        <v>3043</v>
      </c>
      <c r="V65" s="4">
        <f>ROUND(MAX(S65/100,T65/100,U65),0)</f>
        <v>0</v>
      </c>
    </row>
    <row r="66" s="4" customFormat="1" spans="1:22">
      <c r="A66" s="14">
        <v>10022</v>
      </c>
      <c r="B66" s="14">
        <v>1</v>
      </c>
      <c r="C66" s="14">
        <v>2</v>
      </c>
      <c r="D66" s="12">
        <f>COUNTIF($C$65:C66,C66)</f>
        <v>1</v>
      </c>
      <c r="E66" s="14" t="s">
        <v>3108</v>
      </c>
      <c r="F66" s="14"/>
      <c r="G66" s="15">
        <v>100</v>
      </c>
      <c r="H66" s="15" t="s">
        <v>52</v>
      </c>
      <c r="I66" s="11">
        <v>2001</v>
      </c>
      <c r="J66" s="11" t="s">
        <v>3106</v>
      </c>
      <c r="K66" s="16" t="s">
        <v>3104</v>
      </c>
      <c r="L66" s="16">
        <v>70002</v>
      </c>
      <c r="M66" s="4" t="s">
        <v>3109</v>
      </c>
    </row>
    <row r="67" s="4" customFormat="1" spans="1:22">
      <c r="A67" s="14">
        <v>10023</v>
      </c>
      <c r="B67" s="14">
        <v>1</v>
      </c>
      <c r="C67" s="14">
        <v>3</v>
      </c>
      <c r="D67" s="12">
        <f>COUNTIF($C$65:C67,C67)</f>
        <v>1</v>
      </c>
      <c r="E67" s="14" t="s">
        <v>3110</v>
      </c>
      <c r="F67" s="14"/>
      <c r="G67" s="15">
        <v>10</v>
      </c>
      <c r="H67" s="15" t="s">
        <v>52</v>
      </c>
      <c r="I67" s="11">
        <v>2002</v>
      </c>
      <c r="J67" s="11" t="s">
        <v>3111</v>
      </c>
      <c r="K67" s="16" t="s">
        <v>3104</v>
      </c>
      <c r="L67" s="16">
        <v>70003</v>
      </c>
      <c r="M67" s="4" t="s">
        <v>3059</v>
      </c>
    </row>
    <row r="68" s="4" customFormat="1" spans="1:22">
      <c r="A68" s="14">
        <v>10024</v>
      </c>
      <c r="B68" s="14">
        <v>1</v>
      </c>
      <c r="C68" s="14">
        <v>4</v>
      </c>
      <c r="D68" s="12">
        <f>COUNTIF($C$65:C68,C68)</f>
        <v>1</v>
      </c>
      <c r="E68" s="14" t="s">
        <v>3112</v>
      </c>
      <c r="F68" s="14"/>
      <c r="G68" s="15">
        <v>40</v>
      </c>
      <c r="H68" s="15" t="s">
        <v>52</v>
      </c>
      <c r="I68" s="11">
        <v>2003</v>
      </c>
      <c r="J68" s="11" t="s">
        <v>3113</v>
      </c>
      <c r="K68" s="16" t="s">
        <v>3104</v>
      </c>
      <c r="L68" s="16">
        <v>70004</v>
      </c>
      <c r="M68" s="4" t="s">
        <v>3060</v>
      </c>
    </row>
    <row r="69" s="4" customFormat="1" spans="1:22">
      <c r="A69" s="14">
        <v>10025</v>
      </c>
      <c r="B69" s="14">
        <v>1</v>
      </c>
      <c r="C69" s="14">
        <v>5</v>
      </c>
      <c r="D69" s="12">
        <f>COUNTIF($C$65:C69,C69)</f>
        <v>1</v>
      </c>
      <c r="E69" s="14" t="s">
        <v>3114</v>
      </c>
      <c r="F69" s="14"/>
      <c r="G69" s="15">
        <v>10</v>
      </c>
      <c r="H69" s="15" t="s">
        <v>52</v>
      </c>
      <c r="I69" s="11">
        <v>1001</v>
      </c>
      <c r="J69" s="11" t="s">
        <v>3111</v>
      </c>
      <c r="K69" s="16" t="s">
        <v>3104</v>
      </c>
      <c r="L69" s="16">
        <v>70005</v>
      </c>
      <c r="M69" s="4" t="s">
        <v>3061</v>
      </c>
      <c r="N69" s="17"/>
    </row>
    <row r="70" s="4" customFormat="1" spans="1:22">
      <c r="A70" s="14">
        <v>10026</v>
      </c>
      <c r="B70" s="14">
        <v>1</v>
      </c>
      <c r="C70" s="14">
        <v>6</v>
      </c>
      <c r="D70" s="12">
        <f>COUNTIF($C$65:C70,C70)</f>
        <v>1</v>
      </c>
      <c r="E70" s="14" t="s">
        <v>520</v>
      </c>
      <c r="F70" s="14"/>
      <c r="G70" s="15">
        <v>20</v>
      </c>
      <c r="H70" s="15" t="s">
        <v>52</v>
      </c>
      <c r="I70" s="11">
        <v>2001</v>
      </c>
      <c r="J70" s="11" t="s">
        <v>3113</v>
      </c>
      <c r="K70" s="16" t="s">
        <v>3104</v>
      </c>
      <c r="L70" s="16">
        <v>70006</v>
      </c>
      <c r="M70" s="4" t="s">
        <v>3115</v>
      </c>
      <c r="N70" s="17"/>
    </row>
    <row r="71" s="4" customFormat="1" spans="1:22">
      <c r="A71" s="14">
        <v>10028</v>
      </c>
      <c r="B71" s="14">
        <v>1</v>
      </c>
      <c r="C71" s="14">
        <v>8</v>
      </c>
      <c r="D71" s="12">
        <f>COUNTIF($C$65:C71,C71)</f>
        <v>1</v>
      </c>
      <c r="E71" s="14" t="s">
        <v>3031</v>
      </c>
      <c r="F71" s="14"/>
      <c r="G71" s="15">
        <v>5</v>
      </c>
      <c r="H71" s="15" t="s">
        <v>52</v>
      </c>
      <c r="I71" s="11">
        <v>2003</v>
      </c>
      <c r="J71" s="11" t="s">
        <v>3116</v>
      </c>
      <c r="K71" s="16" t="s">
        <v>3104</v>
      </c>
      <c r="L71" s="16">
        <v>70008</v>
      </c>
      <c r="M71" s="4" t="s">
        <v>3033</v>
      </c>
      <c r="N71" s="17"/>
    </row>
    <row r="72" s="4" customFormat="1" spans="1:22">
      <c r="A72" s="14">
        <v>10029</v>
      </c>
      <c r="B72" s="14">
        <v>1</v>
      </c>
      <c r="C72" s="14">
        <v>9</v>
      </c>
      <c r="D72" s="12">
        <f>COUNTIF($C$65:C72,C72)</f>
        <v>1</v>
      </c>
      <c r="E72" s="14" t="s">
        <v>3117</v>
      </c>
      <c r="F72" s="14"/>
      <c r="G72" s="15">
        <v>1</v>
      </c>
      <c r="H72" s="15" t="s">
        <v>52</v>
      </c>
      <c r="I72" s="11">
        <v>1001</v>
      </c>
      <c r="J72" s="11" t="s">
        <v>3118</v>
      </c>
      <c r="K72" s="16" t="s">
        <v>3104</v>
      </c>
      <c r="L72" s="16">
        <v>70009</v>
      </c>
      <c r="M72" s="4" t="s">
        <v>3065</v>
      </c>
      <c r="N72" s="17"/>
    </row>
    <row r="73" s="4" customFormat="1" spans="1:22">
      <c r="A73" s="14">
        <v>10030</v>
      </c>
      <c r="B73" s="14">
        <v>1</v>
      </c>
      <c r="C73" s="14">
        <v>10</v>
      </c>
      <c r="D73" s="12">
        <f>COUNTIF($C$65:C73,C73)</f>
        <v>1</v>
      </c>
      <c r="E73" s="14" t="s">
        <v>3119</v>
      </c>
      <c r="F73" s="14"/>
      <c r="G73" s="15">
        <v>5</v>
      </c>
      <c r="H73" s="15" t="s">
        <v>52</v>
      </c>
      <c r="I73" s="11">
        <v>2001</v>
      </c>
      <c r="J73" s="11" t="s">
        <v>3118</v>
      </c>
      <c r="K73" s="16" t="s">
        <v>3104</v>
      </c>
      <c r="L73" s="16">
        <v>70010</v>
      </c>
      <c r="M73" s="4" t="s">
        <v>3120</v>
      </c>
    </row>
  </sheetData>
  <sortState ref="A1:B41">
    <sortCondition ref="A1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workbookViewId="0">
      <selection activeCell="D9" sqref="D9"/>
    </sheetView>
  </sheetViews>
  <sheetFormatPr defaultColWidth="9" defaultRowHeight="14.25" outlineLevelCol="2"/>
  <cols>
    <col min="1" max="2" width="9" style="1"/>
    <col min="3" max="3" width="25" style="1" customWidth="1"/>
  </cols>
  <sheetData>
    <row r="1" spans="1:3">
      <c r="A1" s="2" t="s">
        <v>12</v>
      </c>
      <c r="B1" s="2" t="s">
        <v>30</v>
      </c>
      <c r="C1" s="2" t="s">
        <v>3121</v>
      </c>
    </row>
    <row r="2" spans="1:3">
      <c r="A2" s="1" t="s">
        <v>3069</v>
      </c>
      <c r="B2" s="1">
        <v>100100</v>
      </c>
      <c r="C2" s="1" t="s">
        <v>3122</v>
      </c>
    </row>
    <row r="3" spans="1:3">
      <c r="A3" s="1" t="s">
        <v>105</v>
      </c>
      <c r="B3" s="1">
        <v>100300</v>
      </c>
      <c r="C3" s="1" t="s">
        <v>103</v>
      </c>
    </row>
    <row r="4" spans="1:3">
      <c r="A4" s="1" t="s">
        <v>94</v>
      </c>
      <c r="B4" s="1">
        <v>100700</v>
      </c>
      <c r="C4" s="1" t="s">
        <v>91</v>
      </c>
    </row>
    <row r="5" spans="1:3">
      <c r="A5" s="1" t="s">
        <v>114</v>
      </c>
      <c r="B5" s="1">
        <v>101200</v>
      </c>
      <c r="C5" s="1" t="s">
        <v>112</v>
      </c>
    </row>
    <row r="6" spans="1:3">
      <c r="A6" s="1" t="s">
        <v>123</v>
      </c>
      <c r="B6" s="1">
        <v>101400</v>
      </c>
      <c r="C6" s="1" t="s">
        <v>121</v>
      </c>
    </row>
    <row r="7" spans="1:3">
      <c r="A7" s="1" t="s">
        <v>144</v>
      </c>
      <c r="B7" s="1">
        <v>101700</v>
      </c>
      <c r="C7" s="1" t="s">
        <v>142</v>
      </c>
    </row>
    <row r="8" spans="1:3">
      <c r="A8" s="1" t="s">
        <v>154</v>
      </c>
      <c r="B8" s="1">
        <v>102100</v>
      </c>
      <c r="C8" s="1" t="s">
        <v>152</v>
      </c>
    </row>
    <row r="9" spans="1:3">
      <c r="A9" s="1" t="s">
        <v>164</v>
      </c>
      <c r="B9" s="1">
        <v>102200</v>
      </c>
      <c r="C9" s="1" t="s">
        <v>162</v>
      </c>
    </row>
    <row r="10" spans="1:3">
      <c r="A10" s="1" t="s">
        <v>173</v>
      </c>
      <c r="B10" s="1">
        <v>102300</v>
      </c>
      <c r="C10" s="1" t="s">
        <v>171</v>
      </c>
    </row>
    <row r="11" spans="1:3">
      <c r="A11" s="1" t="s">
        <v>183</v>
      </c>
      <c r="B11" s="1">
        <v>102400</v>
      </c>
      <c r="C11" s="1" t="s">
        <v>181</v>
      </c>
    </row>
    <row r="12" spans="1:3">
      <c r="A12" s="1" t="s">
        <v>2161</v>
      </c>
      <c r="B12" s="1">
        <v>102500</v>
      </c>
      <c r="C12" s="1" t="s">
        <v>3123</v>
      </c>
    </row>
    <row r="13" spans="1:3">
      <c r="A13" s="1" t="s">
        <v>3124</v>
      </c>
      <c r="B13" s="1">
        <v>200100</v>
      </c>
      <c r="C13" s="1" t="s">
        <v>3125</v>
      </c>
    </row>
    <row r="14" spans="1:3">
      <c r="A14" s="1" t="s">
        <v>3126</v>
      </c>
      <c r="B14" s="1">
        <v>200101</v>
      </c>
      <c r="C14" s="1" t="s">
        <v>3127</v>
      </c>
    </row>
    <row r="15" spans="1:3">
      <c r="A15" s="1" t="s">
        <v>3128</v>
      </c>
      <c r="B15" s="1">
        <v>200300</v>
      </c>
      <c r="C15" s="1" t="s">
        <v>3129</v>
      </c>
    </row>
    <row r="16" spans="1:3">
      <c r="A16" s="1" t="s">
        <v>3130</v>
      </c>
      <c r="B16" s="1">
        <v>200400</v>
      </c>
      <c r="C16" s="1" t="s">
        <v>3131</v>
      </c>
    </row>
    <row r="17" spans="1:3">
      <c r="A17" s="1" t="s">
        <v>3132</v>
      </c>
      <c r="B17" s="1">
        <v>200500</v>
      </c>
      <c r="C17" s="1" t="s">
        <v>3133</v>
      </c>
    </row>
    <row r="18" spans="1:3">
      <c r="A18" s="1" t="s">
        <v>3134</v>
      </c>
      <c r="B18" s="1">
        <v>200600</v>
      </c>
      <c r="C18" s="1" t="s">
        <v>3135</v>
      </c>
    </row>
    <row r="19" spans="1:3">
      <c r="A19" s="1" t="s">
        <v>3136</v>
      </c>
      <c r="B19" s="1">
        <v>200700</v>
      </c>
      <c r="C19" s="1" t="s">
        <v>3137</v>
      </c>
    </row>
    <row r="20" spans="1:3">
      <c r="A20" s="1" t="s">
        <v>3138</v>
      </c>
      <c r="B20" s="1">
        <v>200800</v>
      </c>
      <c r="C20" s="1" t="s">
        <v>3139</v>
      </c>
    </row>
    <row r="21" spans="1:3">
      <c r="A21" s="1" t="s">
        <v>3140</v>
      </c>
      <c r="B21" s="1">
        <v>200900</v>
      </c>
      <c r="C21" s="1" t="s">
        <v>3141</v>
      </c>
    </row>
    <row r="22" spans="1:3">
      <c r="A22" s="1" t="s">
        <v>3142</v>
      </c>
      <c r="B22" s="1">
        <v>300100</v>
      </c>
      <c r="C22" s="1" t="s">
        <v>3143</v>
      </c>
    </row>
    <row r="23" spans="1:3">
      <c r="A23" s="1" t="s">
        <v>3144</v>
      </c>
      <c r="B23" s="1">
        <v>300200</v>
      </c>
      <c r="C23" s="1" t="s">
        <v>3145</v>
      </c>
    </row>
    <row r="24" spans="1:3">
      <c r="A24" s="1" t="s">
        <v>3044</v>
      </c>
      <c r="B24" s="1">
        <v>500000</v>
      </c>
      <c r="C24" s="1" t="s">
        <v>3041</v>
      </c>
    </row>
    <row r="25" spans="1:3">
      <c r="A25" s="1" t="s">
        <v>55</v>
      </c>
      <c r="B25" s="1">
        <v>500001</v>
      </c>
      <c r="C25" s="1" t="s">
        <v>53</v>
      </c>
    </row>
    <row r="26" spans="1:3">
      <c r="A26" s="1" t="s">
        <v>3146</v>
      </c>
      <c r="B26" s="1">
        <v>500002</v>
      </c>
      <c r="C26" s="1" t="s">
        <v>3147</v>
      </c>
    </row>
    <row r="27" spans="1:3">
      <c r="A27" s="1" t="s">
        <v>3148</v>
      </c>
      <c r="B27" s="1">
        <v>500003</v>
      </c>
      <c r="C27" s="1" t="s">
        <v>3149</v>
      </c>
    </row>
    <row r="28" spans="1:3">
      <c r="A28" s="1" t="s">
        <v>3150</v>
      </c>
      <c r="B28" s="1">
        <v>500004</v>
      </c>
      <c r="C28" s="1" t="s">
        <v>624</v>
      </c>
    </row>
    <row r="29" spans="1:3">
      <c r="A29" s="1" t="s">
        <v>3151</v>
      </c>
      <c r="B29" s="1">
        <v>500005</v>
      </c>
      <c r="C29" s="1" t="s">
        <v>3152</v>
      </c>
    </row>
    <row r="30" spans="1:3">
      <c r="A30" s="1" t="s">
        <v>419</v>
      </c>
      <c r="B30" s="1">
        <v>500006</v>
      </c>
      <c r="C30" s="1" t="s">
        <v>417</v>
      </c>
    </row>
    <row r="31" spans="1:3">
      <c r="A31" s="1" t="s">
        <v>134</v>
      </c>
      <c r="B31" s="1">
        <v>500007</v>
      </c>
      <c r="C31" s="1" t="s">
        <v>131</v>
      </c>
    </row>
    <row r="32" spans="1:3">
      <c r="A32" s="1" t="s">
        <v>2954</v>
      </c>
      <c r="B32" s="1">
        <v>600000</v>
      </c>
      <c r="C32" s="1" t="s">
        <v>3032</v>
      </c>
    </row>
    <row r="33" spans="1:3">
      <c r="A33" s="1" t="s">
        <v>2960</v>
      </c>
      <c r="B33" s="1">
        <v>600001</v>
      </c>
      <c r="C33" s="1" t="s">
        <v>3153</v>
      </c>
    </row>
    <row r="34" spans="1:3">
      <c r="A34" s="1" t="s">
        <v>3154</v>
      </c>
      <c r="B34" s="1">
        <v>600002</v>
      </c>
      <c r="C34" s="1" t="s">
        <v>3155</v>
      </c>
    </row>
    <row r="35" spans="1:3">
      <c r="A35" s="1" t="s">
        <v>2956</v>
      </c>
      <c r="B35" s="1">
        <v>600003</v>
      </c>
      <c r="C35" s="1" t="s">
        <v>3156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task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2025-08-25T03:06:00Z</dcterms:created>
  <dcterms:modified xsi:type="dcterms:W3CDTF">2026-09-03T03:09:11Z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