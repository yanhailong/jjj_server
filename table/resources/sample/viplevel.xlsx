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<sst xmlns="http://schemas.openxmlformats.org/spreadsheetml/2006/main" count="136" uniqueCount="86">
  <si>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</si>
  <si>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</si>
  <si>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</si>
  <si>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</si>
  <si>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</si>
  <si>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</si>
  <si>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</si>
  <si>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</si>
  <si>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</si>
  <si>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</si>
  <si>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</si>
  <si>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</si>
  <si>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</si>
  <si>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</si>
  <si>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</si>
  <si>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</si>
  <si>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</si>
  <si>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</si>
  <si>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</si>
  <si>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</si>
  <si>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</si>
  <si>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</si>
  <si>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</si>
  <si>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</si>
  <si>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</si>
  <si>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</si>
  <si>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</si>
  <si>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</si>
  <si>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</si>
  <si>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</si>
  <si>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</si>
  <si>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</si>
  <si>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</si>
  <si>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</si>
  <si>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</si>
  <si>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</si>
  <si>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1020001_1</t>
  </si>
  <si>
    <t>4320_12380000</t>
  </si>
  <si>
    <t>1990000_58000</t>
  </si>
  <si>
    <t>1_500</t>
  </si>
  <si>
    <t>4320_104648340</t>
  </si>
  <si>
    <t>1990000_565000</t>
  </si>
  <si>
    <t>1990000_188000</t>
  </si>
  <si>
    <t>1_1000</t>
  </si>
  <si>
    <t>4320_1069785000</t>
  </si>
  <si>
    <t>1990000_4020000</t>
  </si>
  <si>
    <t>1990000_1340000</t>
  </si>
  <si>
    <t>1031600_1|1020001_1</t>
  </si>
  <si>
    <t>1_1500</t>
  </si>
  <si>
    <t>-1_0</t>
  </si>
  <si>
    <t>1990000_33400000</t>
  </si>
  <si>
    <t>1990000_11100000</t>
  </si>
  <si>
    <t>1031801_1|1020001_5</t>
  </si>
  <si>
    <t>1_2000</t>
  </si>
  <si>
    <t>1990000_60600000</t>
  </si>
  <si>
    <t>1990000_20200000</t>
  </si>
  <si>
    <t>1032001_1|1020001_10</t>
  </si>
  <si>
    <t>1_2500</t>
  </si>
  <si>
    <t>1990000_171000000</t>
  </si>
  <si>
    <t>1990000_57200000</t>
  </si>
  <si>
    <t>1031601_1|1020001_10</t>
  </si>
  <si>
    <t>1_3000|2_600</t>
  </si>
  <si>
    <t>1990000_787000000</t>
  </si>
  <si>
    <t>1990000_262000000</t>
  </si>
  <si>
    <t>1031802_1|1020001_20</t>
  </si>
  <si>
    <t>1_3500|2_800</t>
  </si>
  <si>
    <t>1990000_2530000000</t>
  </si>
  <si>
    <t>1990000_842000000</t>
  </si>
  <si>
    <t>1032002_1|1020001_20</t>
  </si>
  <si>
    <t>1_4000|2_1000</t>
  </si>
  <si>
    <t>1990000_12600000000</t>
  </si>
  <si>
    <t>1990000_4200000000</t>
  </si>
  <si>
    <t>1031602_1|1020001_20</t>
  </si>
  <si>
    <t>1_4500|2_1500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</si>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</sst>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1990000</v>
          </cell>
        </row>
        <row r="5">
          <cell r="D5" t="str">
            <v>金币</v>
          </cell>
        </row>
        <row r="6">
          <cell r="A6">
            <v>1980000</v>
          </cell>
        </row>
        <row r="6">
          <cell r="D6" t="str">
            <v>钻石</v>
          </cell>
        </row>
        <row r="7">
          <cell r="A7">
            <v>1020001</v>
          </cell>
        </row>
        <row r="7">
          <cell r="D7" t="str">
            <v>白金卡</v>
          </cell>
        </row>
        <row r="8">
          <cell r="A8">
            <v>1022501</v>
          </cell>
        </row>
        <row r="8">
          <cell r="D8" t="str">
            <v>祈福卡</v>
          </cell>
        </row>
        <row r="9">
          <cell r="A9">
            <v>1022502</v>
          </cell>
        </row>
        <row r="9">
          <cell r="D9" t="str">
            <v>刮刮卡</v>
          </cell>
        </row>
        <row r="10">
          <cell r="A10">
            <v>1022503</v>
          </cell>
        </row>
        <row r="10">
          <cell r="D10" t="str">
            <v>夺宝优惠券</v>
          </cell>
        </row>
        <row r="11">
          <cell r="A11">
            <v>1010301</v>
          </cell>
        </row>
        <row r="11">
          <cell r="D11" t="str">
            <v>赌场工具（普通）</v>
          </cell>
        </row>
        <row r="12">
          <cell r="A12">
            <v>1010302</v>
          </cell>
        </row>
        <row r="12">
          <cell r="D12" t="str">
            <v>赌场工具（精良）</v>
          </cell>
        </row>
        <row r="13">
          <cell r="A13">
            <v>1010303</v>
          </cell>
        </row>
        <row r="13">
          <cell r="D13" t="str">
            <v>赌场工具（优秀）</v>
          </cell>
        </row>
        <row r="14">
          <cell r="A14">
            <v>1010304</v>
          </cell>
        </row>
        <row r="14">
          <cell r="D14" t="str">
            <v>赌场工具（绝佳）</v>
          </cell>
        </row>
        <row r="15">
          <cell r="A15">
            <v>1010305</v>
          </cell>
        </row>
        <row r="15">
          <cell r="D15" t="str">
            <v>赌场工具（传奇）</v>
          </cell>
        </row>
        <row r="16">
          <cell r="A16">
            <v>1031001</v>
          </cell>
        </row>
        <row r="16">
          <cell r="D16" t="str">
            <v>头像2</v>
          </cell>
        </row>
        <row r="17">
          <cell r="A17">
            <v>1031002</v>
          </cell>
        </row>
        <row r="17">
          <cell r="D17" t="str">
            <v>头像3</v>
          </cell>
        </row>
        <row r="18">
          <cell r="A18">
            <v>1031201</v>
          </cell>
        </row>
        <row r="18">
          <cell r="D18" t="str">
            <v>头像框2</v>
          </cell>
        </row>
        <row r="19">
          <cell r="A19">
            <v>1031202</v>
          </cell>
        </row>
        <row r="19">
          <cell r="D19" t="str">
            <v>头像框3</v>
          </cell>
        </row>
        <row r="20">
          <cell r="A20">
            <v>1031350</v>
          </cell>
        </row>
        <row r="20">
          <cell r="D20" t="str">
            <v>头像框-每日奖金</v>
          </cell>
        </row>
        <row r="21">
          <cell r="A21">
            <v>1031351</v>
          </cell>
        </row>
        <row r="21">
          <cell r="D21" t="str">
            <v>头像框-首充专属</v>
          </cell>
        </row>
        <row r="22">
          <cell r="A22">
            <v>1021401</v>
          </cell>
        </row>
        <row r="22">
          <cell r="D22" t="str">
            <v>国旗2</v>
          </cell>
        </row>
        <row r="23">
          <cell r="A23">
            <v>1021402</v>
          </cell>
        </row>
        <row r="23">
          <cell r="D23" t="str">
            <v>国旗3</v>
          </cell>
        </row>
        <row r="24">
          <cell r="A24">
            <v>1031600</v>
          </cell>
        </row>
        <row r="24">
          <cell r="D24" t="str">
            <v>头衔1-财富贵族</v>
          </cell>
        </row>
        <row r="25">
          <cell r="A25">
            <v>1031601</v>
          </cell>
        </row>
        <row r="25">
          <cell r="D25" t="str">
            <v>头衔2-一夜暴富</v>
          </cell>
        </row>
        <row r="26">
          <cell r="A26">
            <v>1031602</v>
          </cell>
        </row>
        <row r="26">
          <cell r="D26" t="str">
            <v>头衔3-四方来财</v>
          </cell>
        </row>
        <row r="27">
          <cell r="A27">
            <v>1031801</v>
          </cell>
        </row>
        <row r="27">
          <cell r="D27" t="str">
            <v>筹码2-翡翠贵族</v>
          </cell>
        </row>
        <row r="28">
          <cell r="A28">
            <v>1031802</v>
          </cell>
        </row>
        <row r="28">
          <cell r="D28" t="str">
            <v>筹码3-水晶皇室</v>
          </cell>
        </row>
        <row r="29">
          <cell r="A29">
            <v>1032001</v>
          </cell>
        </row>
        <row r="29">
          <cell r="D29" t="str">
            <v>牌背2-神秘塔罗</v>
          </cell>
        </row>
        <row r="30">
          <cell r="A30">
            <v>1032002</v>
          </cell>
        </row>
        <row r="30">
          <cell r="D30" t="str">
            <v>牌背3-命运之手</v>
          </cell>
        </row>
        <row r="31">
          <cell r="A31">
            <v>1032201</v>
          </cell>
        </row>
        <row r="31">
          <cell r="D31" t="str">
            <v>大厅背景2-决赛之夜</v>
          </cell>
        </row>
        <row r="32">
          <cell r="A32">
            <v>1032202</v>
          </cell>
        </row>
        <row r="32">
          <cell r="D32" t="str">
            <v>大厅背景3-度假海滩</v>
          </cell>
        </row>
        <row r="33">
          <cell r="A33">
            <v>1022504</v>
          </cell>
        </row>
        <row r="33">
          <cell r="D33" t="str">
            <v>积分</v>
          </cell>
        </row>
        <row r="34">
          <cell r="A34">
            <v>1023001</v>
          </cell>
        </row>
        <row r="34">
          <cell r="D34" t="str">
            <v>1星扳手</v>
          </cell>
        </row>
        <row r="35">
          <cell r="A35">
            <v>1023002</v>
          </cell>
        </row>
        <row r="35">
          <cell r="D35" t="str">
            <v>2星扳手</v>
          </cell>
        </row>
        <row r="36">
          <cell r="A36">
            <v>1023003</v>
          </cell>
        </row>
        <row r="36">
          <cell r="D36" t="str">
            <v>3星扳手</v>
          </cell>
        </row>
        <row r="37">
          <cell r="A37">
            <v>1023004</v>
          </cell>
        </row>
        <row r="37">
          <cell r="D37" t="str">
            <v>4星扳手</v>
          </cell>
        </row>
        <row r="38">
          <cell r="A38">
            <v>1023005</v>
          </cell>
        </row>
        <row r="38">
          <cell r="D38" t="str">
            <v>5星扳手</v>
          </cell>
        </row>
        <row r="39">
          <cell r="A39">
            <v>1023101</v>
          </cell>
        </row>
        <row r="39">
          <cell r="D39" t="str">
            <v>1星筹码</v>
          </cell>
        </row>
        <row r="40">
          <cell r="A40">
            <v>1023102</v>
          </cell>
        </row>
        <row r="40">
          <cell r="D40" t="str">
            <v>2星筹码</v>
          </cell>
        </row>
        <row r="41">
          <cell r="A41">
            <v>1023103</v>
          </cell>
        </row>
        <row r="41">
          <cell r="D41" t="str">
            <v>3星筹码</v>
          </cell>
        </row>
        <row r="42">
          <cell r="A42">
            <v>1023104</v>
          </cell>
        </row>
        <row r="42">
          <cell r="D42" t="str">
            <v>4星筹码</v>
          </cell>
        </row>
        <row r="43">
          <cell r="A43">
            <v>1023105</v>
          </cell>
        </row>
        <row r="43">
          <cell r="D43" t="str">
            <v>5星筹码</v>
          </cell>
        </row>
        <row r="44">
          <cell r="A44">
            <v>1023201</v>
          </cell>
        </row>
        <row r="44">
          <cell r="D44" t="str">
            <v>1星螺母</v>
          </cell>
        </row>
        <row r="45">
          <cell r="A45">
            <v>1023202</v>
          </cell>
        </row>
        <row r="45">
          <cell r="D45" t="str">
            <v>2星螺母</v>
          </cell>
        </row>
        <row r="46">
          <cell r="A46">
            <v>1023203</v>
          </cell>
        </row>
        <row r="46">
          <cell r="D46" t="str">
            <v>3星螺母</v>
          </cell>
        </row>
        <row r="47">
          <cell r="A47">
            <v>1023204</v>
          </cell>
        </row>
        <row r="47">
          <cell r="D47" t="str">
            <v>4星螺母</v>
          </cell>
        </row>
        <row r="48">
          <cell r="A48">
            <v>1023205</v>
          </cell>
        </row>
        <row r="48">
          <cell r="D48" t="str">
            <v>5星螺母</v>
          </cell>
        </row>
        <row r="49">
          <cell r="A49">
            <v>1023301</v>
          </cell>
        </row>
        <row r="49">
          <cell r="D49" t="str">
            <v>1星木材</v>
          </cell>
        </row>
        <row r="50">
          <cell r="A50">
            <v>1023302</v>
          </cell>
        </row>
        <row r="50">
          <cell r="D50" t="str">
            <v>2星木材</v>
          </cell>
        </row>
        <row r="51">
          <cell r="A51">
            <v>1023303</v>
          </cell>
        </row>
        <row r="51">
          <cell r="D51" t="str">
            <v>3星木材</v>
          </cell>
        </row>
        <row r="52">
          <cell r="A52">
            <v>1023304</v>
          </cell>
        </row>
        <row r="52">
          <cell r="D52" t="str">
            <v>4星木材</v>
          </cell>
        </row>
        <row r="53">
          <cell r="A53">
            <v>1023305</v>
          </cell>
        </row>
        <row r="53">
          <cell r="D53" t="str">
            <v>5星木材</v>
          </cell>
        </row>
        <row r="54">
          <cell r="A54">
            <v>1023401</v>
          </cell>
        </row>
        <row r="54">
          <cell r="D54" t="str">
            <v>1星酒瓶</v>
          </cell>
        </row>
        <row r="55">
          <cell r="A55">
            <v>1023402</v>
          </cell>
        </row>
        <row r="55">
          <cell r="D55" t="str">
            <v>2星酒瓶</v>
          </cell>
        </row>
        <row r="56">
          <cell r="A56">
            <v>1023403</v>
          </cell>
        </row>
        <row r="56">
          <cell r="D56" t="str">
            <v>3星酒瓶</v>
          </cell>
        </row>
        <row r="57">
          <cell r="A57">
            <v>1023404</v>
          </cell>
        </row>
        <row r="57">
          <cell r="D57" t="str">
            <v>4星酒瓶</v>
          </cell>
        </row>
        <row r="58">
          <cell r="A58">
            <v>1023405</v>
          </cell>
        </row>
        <row r="58">
          <cell r="D58" t="str">
            <v>5星酒瓶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topLeftCell="G1" workbookViewId="0">
      <selection activeCell="K24" sqref="K24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4" width="17.75" style="1" customWidth="1"/>
    <col min="5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6384" width="9" style="1"/>
  </cols>
  <sheetData>
    <row r="1" spans="1:18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18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18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18">
      <c r="A4" s="9"/>
      <c r="B4" s="9"/>
      <c r="C4" s="6"/>
      <c r="D4" s="5"/>
      <c r="E4" s="6"/>
      <c r="O4" s="7"/>
    </row>
    <row r="5" spans="1:18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M5" s="1" t="s">
        <v>36</v>
      </c>
      <c r="O5" s="7"/>
      <c r="P5"/>
      <c r="Q5"/>
      <c r="R5"/>
    </row>
    <row r="6" spans="1:18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37</v>
      </c>
      <c r="G6" s="1">
        <v>10000</v>
      </c>
      <c r="H6" s="1">
        <v>10000</v>
      </c>
      <c r="I6" s="1" t="s">
        <v>38</v>
      </c>
      <c r="K6" s="1" t="s">
        <v>38</v>
      </c>
      <c r="L6" s="1" t="s">
        <v>38</v>
      </c>
      <c r="M6" s="1" t="s">
        <v>36</v>
      </c>
      <c r="O6" s="7" t="s">
        <v>39</v>
      </c>
      <c r="P6"/>
      <c r="Q6"/>
      <c r="R6"/>
    </row>
    <row r="7" spans="1:18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40</v>
      </c>
      <c r="G7" s="1">
        <v>10000</v>
      </c>
      <c r="H7" s="1">
        <v>10000</v>
      </c>
      <c r="I7" s="1" t="s">
        <v>41</v>
      </c>
      <c r="J7" s="1" t="s">
        <v>42</v>
      </c>
      <c r="K7" s="1" t="s">
        <v>41</v>
      </c>
      <c r="L7" s="1" t="s">
        <v>41</v>
      </c>
      <c r="M7" s="1" t="s">
        <v>36</v>
      </c>
      <c r="O7" s="7" t="s">
        <v>43</v>
      </c>
      <c r="P7"/>
      <c r="Q7"/>
      <c r="R7"/>
    </row>
    <row r="8" spans="1:18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44</v>
      </c>
      <c r="G8" s="1">
        <v>10000</v>
      </c>
      <c r="H8" s="1">
        <v>10000</v>
      </c>
      <c r="I8" s="1" t="s">
        <v>45</v>
      </c>
      <c r="J8" s="1" t="s">
        <v>46</v>
      </c>
      <c r="K8" s="1" t="s">
        <v>45</v>
      </c>
      <c r="L8" s="1" t="s">
        <v>45</v>
      </c>
      <c r="M8" s="1" t="s">
        <v>47</v>
      </c>
      <c r="O8" s="7" t="s">
        <v>48</v>
      </c>
      <c r="P8"/>
      <c r="Q8"/>
      <c r="R8"/>
    </row>
    <row r="9" spans="1:18">
      <c r="A9" s="1">
        <v>5</v>
      </c>
      <c r="B9" s="1">
        <v>4</v>
      </c>
      <c r="C9" s="10">
        <v>9282900000</v>
      </c>
      <c r="D9" s="12">
        <v>928290000</v>
      </c>
      <c r="E9" s="1">
        <v>19005</v>
      </c>
      <c r="F9" s="15" t="s">
        <v>49</v>
      </c>
      <c r="G9" s="1">
        <v>0</v>
      </c>
      <c r="H9" s="1">
        <v>10000</v>
      </c>
      <c r="I9" s="1" t="s">
        <v>50</v>
      </c>
      <c r="J9" s="1" t="s">
        <v>51</v>
      </c>
      <c r="K9" s="1" t="s">
        <v>50</v>
      </c>
      <c r="L9" s="1" t="s">
        <v>50</v>
      </c>
      <c r="M9" s="1" t="s">
        <v>52</v>
      </c>
      <c r="O9" s="7" t="s">
        <v>53</v>
      </c>
      <c r="P9"/>
      <c r="Q9"/>
      <c r="R9"/>
    </row>
    <row r="10" spans="1:18">
      <c r="A10" s="1">
        <v>6</v>
      </c>
      <c r="B10" s="1">
        <v>5</v>
      </c>
      <c r="C10" s="10">
        <v>45009500000</v>
      </c>
      <c r="D10" s="12">
        <v>4500950000</v>
      </c>
      <c r="E10" s="1">
        <v>19006</v>
      </c>
      <c r="F10" s="15" t="s">
        <v>49</v>
      </c>
      <c r="G10" s="1">
        <v>0</v>
      </c>
      <c r="H10" s="1">
        <v>10000</v>
      </c>
      <c r="I10" s="1" t="s">
        <v>54</v>
      </c>
      <c r="J10" s="1" t="s">
        <v>55</v>
      </c>
      <c r="K10" s="1" t="s">
        <v>54</v>
      </c>
      <c r="L10" s="1" t="s">
        <v>54</v>
      </c>
      <c r="M10" s="1" t="s">
        <v>56</v>
      </c>
      <c r="O10" s="7" t="s">
        <v>57</v>
      </c>
      <c r="P10"/>
      <c r="Q10"/>
      <c r="R10"/>
    </row>
    <row r="11" spans="1:18">
      <c r="A11" s="1">
        <v>7</v>
      </c>
      <c r="B11" s="1">
        <v>6</v>
      </c>
      <c r="C11" s="10">
        <v>226071700000</v>
      </c>
      <c r="D11" s="12">
        <v>22607170000</v>
      </c>
      <c r="E11" s="1">
        <v>19007</v>
      </c>
      <c r="F11" s="15" t="s">
        <v>49</v>
      </c>
      <c r="G11" s="1">
        <v>0</v>
      </c>
      <c r="H11" s="1">
        <v>10000</v>
      </c>
      <c r="I11" s="1" t="s">
        <v>58</v>
      </c>
      <c r="J11" s="1" t="s">
        <v>59</v>
      </c>
      <c r="K11" s="1" t="s">
        <v>58</v>
      </c>
      <c r="L11" s="1" t="s">
        <v>58</v>
      </c>
      <c r="M11" s="1" t="s">
        <v>60</v>
      </c>
      <c r="O11" s="7" t="s">
        <v>61</v>
      </c>
      <c r="P11"/>
      <c r="Q11"/>
      <c r="R11"/>
    </row>
    <row r="12" spans="1:18">
      <c r="A12" s="1">
        <v>8</v>
      </c>
      <c r="B12" s="1">
        <v>7</v>
      </c>
      <c r="C12" s="10">
        <v>876546600000</v>
      </c>
      <c r="D12" s="12">
        <v>87654660000</v>
      </c>
      <c r="E12" s="1">
        <v>19008</v>
      </c>
      <c r="F12" s="15" t="s">
        <v>49</v>
      </c>
      <c r="G12" s="1">
        <v>0</v>
      </c>
      <c r="H12" s="1">
        <v>10000</v>
      </c>
      <c r="I12" s="1" t="s">
        <v>62</v>
      </c>
      <c r="J12" s="1" t="s">
        <v>63</v>
      </c>
      <c r="K12" s="1" t="s">
        <v>62</v>
      </c>
      <c r="L12" s="1" t="s">
        <v>62</v>
      </c>
      <c r="M12" s="1" t="s">
        <v>64</v>
      </c>
      <c r="O12" s="7" t="s">
        <v>65</v>
      </c>
      <c r="P12"/>
      <c r="Q12"/>
      <c r="R12"/>
    </row>
    <row r="13" spans="1:18">
      <c r="A13" s="1">
        <v>9</v>
      </c>
      <c r="B13" s="1">
        <v>8</v>
      </c>
      <c r="C13" s="10">
        <v>4298671200000</v>
      </c>
      <c r="D13" s="12">
        <v>429867120000</v>
      </c>
      <c r="E13" s="1">
        <v>19009</v>
      </c>
      <c r="F13" s="15" t="s">
        <v>49</v>
      </c>
      <c r="G13" s="1">
        <v>0</v>
      </c>
      <c r="H13" s="1">
        <v>10000</v>
      </c>
      <c r="I13" s="1" t="s">
        <v>66</v>
      </c>
      <c r="J13" s="1" t="s">
        <v>67</v>
      </c>
      <c r="K13" s="1" t="s">
        <v>66</v>
      </c>
      <c r="L13" s="1" t="s">
        <v>66</v>
      </c>
      <c r="M13" s="1" t="s">
        <v>68</v>
      </c>
      <c r="O13" s="7" t="s">
        <v>69</v>
      </c>
      <c r="P13"/>
      <c r="Q13"/>
      <c r="R13"/>
    </row>
    <row r="14" spans="1:18">
      <c r="A14" s="1">
        <v>10</v>
      </c>
      <c r="B14" s="1">
        <v>9</v>
      </c>
      <c r="D14" s="11"/>
      <c r="E14" s="1">
        <v>19010</v>
      </c>
      <c r="F14" s="15" t="s">
        <v>49</v>
      </c>
      <c r="G14" s="1">
        <v>0</v>
      </c>
      <c r="H14" s="1">
        <v>0</v>
      </c>
      <c r="I14" s="1" t="s">
        <v>70</v>
      </c>
      <c r="J14" s="1" t="s">
        <v>71</v>
      </c>
      <c r="K14" s="1" t="s">
        <v>70</v>
      </c>
      <c r="L14" s="1" t="s">
        <v>70</v>
      </c>
      <c r="M14" s="1" t="s">
        <v>72</v>
      </c>
      <c r="O14" s="7" t="s">
        <v>73</v>
      </c>
      <c r="P14"/>
      <c r="Q14"/>
      <c r="R14"/>
    </row>
    <row r="16" spans="1:18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74</v>
      </c>
      <c r="C4" s="1">
        <f>_xlfn.XLOOKUP(B4,[1]Item!$D:$D,[1]Item!$A:$A)</f>
        <v>1022502</v>
      </c>
      <c r="D4" s="1">
        <v>1</v>
      </c>
      <c r="E4" s="1" t="s">
        <v>75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76</v>
      </c>
      <c r="C5" s="1">
        <f>_xlfn.XLOOKUP(B5,[1]Item!$D:$D,[1]Item!$A:$A)</f>
        <v>1022501</v>
      </c>
      <c r="D5" s="1">
        <v>5</v>
      </c>
      <c r="E5" s="1" t="s">
        <v>75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77</v>
      </c>
      <c r="C6" s="1">
        <f>_xlfn.XLOOKUP(B6,[1]Item!$D:$D,[1]Item!$A:$A)</f>
        <v>1010301</v>
      </c>
      <c r="D6" s="1">
        <v>5</v>
      </c>
      <c r="E6" s="1" t="s">
        <v>75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78</v>
      </c>
      <c r="C7" s="1" t="e">
        <f>_xlfn.XLOOKUP(B7,[1]Item!$D:$D,[1]Item!$A:$A)</f>
        <v>#N/A</v>
      </c>
      <c r="D7" s="1">
        <v>1</v>
      </c>
      <c r="E7" s="1" t="s">
        <v>79</v>
      </c>
      <c r="F7" s="1">
        <f>_xlfn.XLOOKUP(E7,[1]Item!$D:$D,[1]Item!$A:$A)</f>
        <v>1022503</v>
      </c>
      <c r="G7" s="1">
        <v>5</v>
      </c>
      <c r="H7" s="1" t="s">
        <v>75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80</v>
      </c>
      <c r="C8" s="1" t="e">
        <f>_xlfn.XLOOKUP(B8,[1]Item!$D:$D,[1]Item!$A:$A)</f>
        <v>#N/A</v>
      </c>
      <c r="D8" s="1">
        <v>1</v>
      </c>
      <c r="E8" s="1" t="s">
        <v>74</v>
      </c>
      <c r="F8" s="1">
        <f>_xlfn.XLOOKUP(E8,[1]Item!$D:$D,[1]Item!$A:$A)</f>
        <v>1022502</v>
      </c>
      <c r="G8" s="1">
        <v>5</v>
      </c>
      <c r="H8" s="1" t="s">
        <v>75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81</v>
      </c>
      <c r="C9" s="1" t="e">
        <f>_xlfn.XLOOKUP(B9,[1]Item!$D:$D,[1]Item!$A:$A)</f>
        <v>#N/A</v>
      </c>
      <c r="D9" s="1">
        <v>1</v>
      </c>
      <c r="E9" s="1" t="s">
        <v>79</v>
      </c>
      <c r="F9" s="1">
        <f>_xlfn.XLOOKUP(E9,[1]Item!$D:$D,[1]Item!$A:$A)</f>
        <v>1022503</v>
      </c>
      <c r="G9" s="1">
        <v>10</v>
      </c>
      <c r="H9" s="1" t="s">
        <v>75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82</v>
      </c>
      <c r="C10" s="1" t="e">
        <f>_xlfn.XLOOKUP(B10,[1]Item!$D:$D,[1]Item!$A:$A)</f>
        <v>#N/A</v>
      </c>
      <c r="D10" s="1">
        <v>1</v>
      </c>
      <c r="E10" s="1" t="s">
        <v>74</v>
      </c>
      <c r="F10" s="1">
        <f>_xlfn.XLOOKUP(E10,[1]Item!$D:$D,[1]Item!$A:$A)</f>
        <v>1022502</v>
      </c>
      <c r="G10" s="1">
        <v>10</v>
      </c>
      <c r="H10" s="1" t="s">
        <v>75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83</v>
      </c>
      <c r="C11" s="1" t="e">
        <f>_xlfn.XLOOKUP(B11,[1]Item!$D:$D,[1]Item!$A:$A)</f>
        <v>#N/A</v>
      </c>
      <c r="D11" s="1">
        <v>1</v>
      </c>
      <c r="E11" s="1" t="s">
        <v>79</v>
      </c>
      <c r="F11" s="1">
        <f>_xlfn.XLOOKUP(E11,[1]Item!$D:$D,[1]Item!$A:$A)</f>
        <v>1022503</v>
      </c>
      <c r="G11" s="1">
        <v>20</v>
      </c>
      <c r="H11" s="1" t="s">
        <v>75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84</v>
      </c>
      <c r="C12" s="1" t="e">
        <f>_xlfn.XLOOKUP(B12,[1]Item!$D:$D,[1]Item!$A:$A)</f>
        <v>#N/A</v>
      </c>
      <c r="D12" s="1">
        <v>1</v>
      </c>
      <c r="E12" s="1" t="s">
        <v>74</v>
      </c>
      <c r="F12" s="1">
        <f>_xlfn.XLOOKUP(E12,[1]Item!$D:$D,[1]Item!$A:$A)</f>
        <v>1022502</v>
      </c>
      <c r="G12" s="1">
        <v>20</v>
      </c>
      <c r="H12" s="1" t="s">
        <v>75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85</v>
      </c>
      <c r="C13" s="1" t="e">
        <f>_xlfn.XLOOKUP(B13,[1]Item!$D:$D,[1]Item!$A:$A)</f>
        <v>#N/A</v>
      </c>
      <c r="D13" s="1">
        <v>1</v>
      </c>
      <c r="E13" s="1" t="s">
        <v>79</v>
      </c>
      <c r="F13" s="1">
        <f>_xlfn.XLOOKUP(E13,[1]Item!$D:$D,[1]Item!$A:$A)</f>
        <v>1022503</v>
      </c>
      <c r="G13" s="1">
        <v>20</v>
      </c>
      <c r="H13" s="1" t="s">
        <v>75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2026-02-12T02:35:53Z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