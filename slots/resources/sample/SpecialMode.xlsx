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<sst xmlns="http://schemas.openxmlformats.org/spreadsheetml/2006/main" count="535" uniqueCount="193">
  <si>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</si>
  <si>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</si>
  <si>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</si>
  <si>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</si>
  <si>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</si>
  <si>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</si>
  <si>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</si>
  <si>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</si>
  <si>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</si>
  <si>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</si>
  <si>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</si>
  <si>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</si>
  <si>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</si>
  <si>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</si>
  <si>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</si>
  <si>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</si>
  <si>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</si>
  <si>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</si>
  <si>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</si>
  <si>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</si>
  <si>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</si>
  <si>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</si>
  <si>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</si>
  <si>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</si>
  <si>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</si>
  <si>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</si>
  <si>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</si>
  <si>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</si>
  <si>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</si>
  <si>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</si>
  <si>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</si>
  <si>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</si>
  <si>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</si>
  <si>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</si>
  <si>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</si>
  <si>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</si>
  <si>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</si>
  <si>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</si>
  <si>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</si>
  <si>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</si>
  <si>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</si>
  <si>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</si>
  <si>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</si>
  <si>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</si>
  <si>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</si>
  <si>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</si>
  <si>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</si>
  <si>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</si>
  <si>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</si>
  <si>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</si>
  <si>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</si>
  <si>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</si>
  <si>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</si>
  <si>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</si>
  <si>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</si>
  <si>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</si>
  <si>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</si>
  <si>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</si>
  <si>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</si>
  <si>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</si>
  <si>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</si>
  <si>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</si>
  <si>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</si>
  <si>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</si>
  <si>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</si>
  <si>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</si>
  <si>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</si>
  <si>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</si>
  <si>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</si>
  <si>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</si>
  <si>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</si>
  <si>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</si>
  <si>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</si>
  <si>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</si>
  <si>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</si>
  <si>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</si>
  <si>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</si>
  <si>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</si>
  <si>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</si>
  <si>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</si>
  <si>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</si>
  <si>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</si>
  <si>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</si>
  <si>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</si>
  <si>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</si>
  <si>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</si>
  <si>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</si>
  <si>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</si>
  <si>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</si>
  <si>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</si>
  <si>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</si>
  <si>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</si>
  <si>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</si>
  <si>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</si>
  <si>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</si>
  <si>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</si>
  <si>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</si>
  <si>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</si>
  <si>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</si>
  <si>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</si>
  <si>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</si>
  <si>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</si>
  <si>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</si>
  <si>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</si>
  <si>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</si>
  <si>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</si>
  <si>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</si>
  <si>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</si>
  <si>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</si>
  <si>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</si>
  <si>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</si>
  <si>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</si>
  <si>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</si>
  <si>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</si>
  <si>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</si>
  <si>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</si>
  <si>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</si>
  <si>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</si>
  <si>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</si>
  <si>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</si>
  <si>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</si>
  <si>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</si>
  <si>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</si>
  <si>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</si>
  <si>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</si>
  <si>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</si>
  <si>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</si>
  <si>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</si>
  <si>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</si>
  <si>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</si>
  <si>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</si>
  <si>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</si>
  <si>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</si>
  <si>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</si>
  <si>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</si>
  <si>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</si>
  <si>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</si>
  <si>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</si>
  <si>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</si>
  <si>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</si>
  <si>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</si>
  <si>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</si>
  <si>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</si>
  <si>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</si>
  <si>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</si>
  <si>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</si>
  <si>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</si>
  <si>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</si>
  <si>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</si>
  <si>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</si>
  <si>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</si>
  <si>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</si>
  <si>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</si>
  <si>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</si>
  <si>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</si>
  <si>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</si>
  <si>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</si>
  <si>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</si>
  <si>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</si>
  <si>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</si>
  <si>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</si>
  <si>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</si>
  <si>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概率改出百搭符号</t>
  </si>
  <si>
    <t>金牛赐福-触发局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</si>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</sst>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1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2"/>
  <sheetViews>
    <sheetView tabSelected="1" zoomScale="85" zoomScaleNormal="85" topLeftCell="A71" workbookViewId="0">
      <selection activeCell="L101" sqref="L101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s="10" t="s">
        <v>0</v>
      </c>
      <c r="B1" s="5" t="s">
        <v>1</v>
      </c>
      <c r="C1" s="5" t="s">
        <v>2</v>
      </c>
      <c r="D1" s="5"/>
      <c r="E1" s="5"/>
      <c r="F1" s="11" t="s">
        <v>3</v>
      </c>
      <c r="G1" s="5"/>
      <c r="H1" s="11" t="s">
        <v>4</v>
      </c>
      <c r="I1" s="5"/>
      <c r="J1" s="12" t="s">
        <v>5</v>
      </c>
      <c r="K1" s="12"/>
      <c r="L1" s="13" t="s">
        <v>6</v>
      </c>
      <c r="M1" s="5" t="s">
        <v>7</v>
      </c>
      <c r="N1" s="14" t="s">
        <v>8</v>
      </c>
      <c r="O1" s="14" t="s">
        <v>9</v>
      </c>
      <c r="Q1"/>
    </row>
    <row r="2" ht="16.5" spans="1:17">
      <c r="A2" s="10" t="s">
        <v>10</v>
      </c>
      <c r="B2" s="5" t="s">
        <v>10</v>
      </c>
      <c r="C2" s="5" t="s">
        <v>10</v>
      </c>
      <c r="D2" s="5"/>
      <c r="E2" s="5"/>
      <c r="F2" s="11" t="s">
        <v>10</v>
      </c>
      <c r="G2" s="5"/>
      <c r="H2" s="11" t="s">
        <v>10</v>
      </c>
      <c r="I2" s="5"/>
      <c r="J2" s="15" t="s">
        <v>11</v>
      </c>
      <c r="K2" s="16"/>
      <c r="L2" s="17" t="s">
        <v>12</v>
      </c>
      <c r="M2" s="5"/>
      <c r="N2" s="18" t="s">
        <v>10</v>
      </c>
      <c r="O2" s="18" t="s">
        <v>10</v>
      </c>
      <c r="Q2"/>
    </row>
    <row r="3" ht="16.5" spans="1:17">
      <c r="A3" s="10" t="s">
        <v>0</v>
      </c>
      <c r="B3" s="19" t="s">
        <v>13</v>
      </c>
      <c r="C3" s="19" t="s">
        <v>14</v>
      </c>
      <c r="D3" s="19"/>
      <c r="E3" s="19"/>
      <c r="F3" s="20" t="s">
        <v>15</v>
      </c>
      <c r="G3" s="19"/>
      <c r="H3" s="21" t="s">
        <v>16</v>
      </c>
      <c r="I3" s="19"/>
      <c r="J3" s="22" t="s">
        <v>17</v>
      </c>
      <c r="K3" s="22"/>
      <c r="L3" s="23" t="s">
        <v>18</v>
      </c>
      <c r="M3" s="19"/>
      <c r="N3" s="18" t="s">
        <v>19</v>
      </c>
      <c r="O3" s="18" t="s">
        <v>20</v>
      </c>
      <c r="Q3"/>
    </row>
    <row r="4" ht="16.5" spans="1:17">
      <c r="B4" s="5"/>
      <c r="C4" s="5"/>
      <c r="D4" s="5"/>
      <c r="E4" s="5"/>
      <c r="F4" s="11"/>
      <c r="G4" s="5"/>
      <c r="H4" s="11"/>
      <c r="I4" s="5"/>
      <c r="J4" s="24"/>
      <c r="K4" s="24"/>
      <c r="L4" s="13"/>
      <c r="M4" s="5"/>
      <c r="N4" s="18"/>
      <c r="O4" s="18"/>
      <c r="Q4"/>
    </row>
    <row r="5" s="1" customFormat="1" ht="16.5" spans="1:17">
      <c r="A5" s="25" t="str">
        <f t="shared" ref="A5:A15" si="0">B5&amp;C5</f>
        <v>1001001</v>
      </c>
      <c r="B5" s="26">
        <v>100100</v>
      </c>
      <c r="C5" s="26">
        <v>1</v>
      </c>
      <c r="D5" s="26" t="s">
        <v>21</v>
      </c>
      <c r="E5" s="27" t="s">
        <v>22</v>
      </c>
      <c r="F5" s="26">
        <v>1</v>
      </c>
      <c r="G5" s="25" t="s">
        <v>23</v>
      </c>
      <c r="H5" s="25">
        <v>2001001</v>
      </c>
      <c r="I5" s="25" t="s">
        <v>24</v>
      </c>
      <c r="J5" s="25"/>
      <c r="K5" s="25"/>
      <c r="L5" s="28" t="s">
        <v>25</v>
      </c>
      <c r="M5" s="25" t="s">
        <v>26</v>
      </c>
      <c r="N5" s="18">
        <v>4</v>
      </c>
      <c r="O5" s="18">
        <v>5</v>
      </c>
    </row>
    <row r="6" s="1" customFormat="1" ht="16.5" spans="1:17">
      <c r="A6" s="25" t="str">
        <f t="shared" si="0"/>
        <v>1001002</v>
      </c>
      <c r="B6" s="26">
        <v>100100</v>
      </c>
      <c r="C6" s="26">
        <v>2</v>
      </c>
      <c r="D6" s="26"/>
      <c r="E6" s="29" t="s">
        <v>27</v>
      </c>
      <c r="F6" s="26">
        <v>1</v>
      </c>
      <c r="G6" s="25" t="s">
        <v>23</v>
      </c>
      <c r="H6" s="25">
        <v>2001001</v>
      </c>
      <c r="I6" s="25" t="s">
        <v>24</v>
      </c>
      <c r="J6" s="25"/>
      <c r="K6" s="25"/>
      <c r="L6" s="30" t="s">
        <v>28</v>
      </c>
      <c r="M6" s="25" t="s">
        <v>29</v>
      </c>
      <c r="N6" s="18">
        <v>4</v>
      </c>
      <c r="O6" s="18">
        <v>5</v>
      </c>
    </row>
    <row r="7" s="1" customFormat="1" ht="16.5" spans="1:17">
      <c r="A7" s="25" t="str">
        <f t="shared" si="0"/>
        <v>1001003</v>
      </c>
      <c r="B7" s="26">
        <v>100100</v>
      </c>
      <c r="C7" s="26">
        <v>3</v>
      </c>
      <c r="D7" s="26"/>
      <c r="E7" s="31" t="s">
        <v>30</v>
      </c>
      <c r="F7" s="26">
        <v>1</v>
      </c>
      <c r="G7" s="25" t="s">
        <v>23</v>
      </c>
      <c r="H7" s="25">
        <v>2001001</v>
      </c>
      <c r="I7" s="25" t="s">
        <v>24</v>
      </c>
      <c r="J7" s="25"/>
      <c r="K7" s="25"/>
      <c r="L7" s="28" t="s">
        <v>31</v>
      </c>
      <c r="M7" s="25" t="s">
        <v>32</v>
      </c>
      <c r="N7" s="18">
        <v>4</v>
      </c>
      <c r="O7" s="18">
        <v>5</v>
      </c>
    </row>
    <row r="8" s="1" customFormat="1" ht="16.5" spans="1:17">
      <c r="A8" s="25" t="str">
        <f t="shared" si="0"/>
        <v>1001004</v>
      </c>
      <c r="B8" s="26">
        <v>100100</v>
      </c>
      <c r="C8" s="26">
        <v>4</v>
      </c>
      <c r="D8" s="26"/>
      <c r="E8" s="32" t="s">
        <v>33</v>
      </c>
      <c r="F8" s="33">
        <v>1</v>
      </c>
      <c r="G8" s="25" t="s">
        <v>23</v>
      </c>
      <c r="H8" s="25">
        <v>2001001</v>
      </c>
      <c r="I8" s="25" t="s">
        <v>24</v>
      </c>
      <c r="J8" s="25"/>
      <c r="K8" s="25"/>
      <c r="L8" s="28">
        <v>10010041</v>
      </c>
      <c r="M8" s="25" t="s">
        <v>34</v>
      </c>
      <c r="N8" s="18">
        <v>4</v>
      </c>
      <c r="O8" s="18">
        <v>5</v>
      </c>
    </row>
    <row r="9" s="1" customFormat="1" ht="16.5" spans="1:17">
      <c r="A9" s="25" t="str">
        <f t="shared" si="0"/>
        <v>1001005</v>
      </c>
      <c r="B9" s="26">
        <v>100100</v>
      </c>
      <c r="C9" s="26">
        <v>5</v>
      </c>
      <c r="D9" s="26"/>
      <c r="E9" s="34" t="s">
        <v>35</v>
      </c>
      <c r="F9" s="33">
        <v>1</v>
      </c>
      <c r="G9" s="25" t="s">
        <v>23</v>
      </c>
      <c r="H9" s="25">
        <v>2001001</v>
      </c>
      <c r="I9" s="25" t="s">
        <v>24</v>
      </c>
      <c r="J9" s="25"/>
      <c r="K9" s="25"/>
      <c r="L9" s="28" t="s">
        <v>36</v>
      </c>
      <c r="M9" s="25" t="s">
        <v>37</v>
      </c>
      <c r="N9" s="18">
        <v>4</v>
      </c>
      <c r="O9" s="18">
        <v>5</v>
      </c>
    </row>
    <row r="10" s="1" customFormat="1" ht="16.5" spans="1:17">
      <c r="A10" s="25" t="str">
        <f t="shared" si="0"/>
        <v>1001006</v>
      </c>
      <c r="B10" s="26">
        <v>100100</v>
      </c>
      <c r="C10" s="26">
        <v>6</v>
      </c>
      <c r="D10" s="26"/>
      <c r="E10" s="34" t="s">
        <v>38</v>
      </c>
      <c r="F10" s="33">
        <v>1</v>
      </c>
      <c r="G10" s="25" t="s">
        <v>23</v>
      </c>
      <c r="H10" s="25">
        <v>2001001</v>
      </c>
      <c r="I10" s="25" t="s">
        <v>24</v>
      </c>
      <c r="J10" s="25"/>
      <c r="K10" s="25"/>
      <c r="L10" s="28">
        <v>10010061</v>
      </c>
      <c r="M10" s="25" t="s">
        <v>39</v>
      </c>
      <c r="N10" s="18">
        <v>4</v>
      </c>
      <c r="O10" s="18">
        <v>5</v>
      </c>
    </row>
    <row r="11" s="1" customFormat="1" ht="16.5" spans="1:17">
      <c r="A11" s="25" t="str">
        <f t="shared" si="0"/>
        <v>1001007</v>
      </c>
      <c r="B11" s="26">
        <v>100100</v>
      </c>
      <c r="C11" s="26">
        <v>7</v>
      </c>
      <c r="D11" s="26"/>
      <c r="E11" s="29" t="s">
        <v>40</v>
      </c>
      <c r="F11" s="26">
        <v>1</v>
      </c>
      <c r="G11" s="25" t="s">
        <v>23</v>
      </c>
      <c r="H11" s="25">
        <v>2001001</v>
      </c>
      <c r="I11" s="25" t="s">
        <v>24</v>
      </c>
      <c r="J11" s="25"/>
      <c r="K11" s="25"/>
      <c r="L11" s="30" t="s">
        <v>41</v>
      </c>
      <c r="M11" s="25" t="s">
        <v>29</v>
      </c>
      <c r="N11" s="18">
        <v>4</v>
      </c>
      <c r="O11" s="18">
        <v>5</v>
      </c>
    </row>
    <row r="12" s="2" customFormat="1" ht="16.5" spans="1:17">
      <c r="A12" s="35" t="str">
        <f t="shared" si="0"/>
        <v>1003001</v>
      </c>
      <c r="B12" s="27">
        <v>100300</v>
      </c>
      <c r="C12" s="27">
        <v>1</v>
      </c>
      <c r="D12" s="27" t="s">
        <v>42</v>
      </c>
      <c r="E12" s="27" t="s">
        <v>22</v>
      </c>
      <c r="F12" s="27">
        <v>1</v>
      </c>
      <c r="G12" s="35" t="s">
        <v>23</v>
      </c>
      <c r="H12" s="35">
        <v>2003001</v>
      </c>
      <c r="I12" s="35" t="s">
        <v>24</v>
      </c>
      <c r="J12" s="35"/>
      <c r="K12" s="35"/>
      <c r="L12" s="36">
        <v>10030022</v>
      </c>
      <c r="M12" s="35" t="s">
        <v>43</v>
      </c>
      <c r="N12" s="27">
        <v>3</v>
      </c>
      <c r="O12" s="27">
        <v>3</v>
      </c>
      <c r="Q12" s="37"/>
    </row>
    <row r="13" s="2" customFormat="1" ht="16.5" spans="1:17">
      <c r="A13" s="35" t="str">
        <f t="shared" ref="A13:A30" si="1">B13&amp;C13</f>
        <v>1003002</v>
      </c>
      <c r="B13" s="27">
        <v>100300</v>
      </c>
      <c r="C13" s="27">
        <v>2</v>
      </c>
      <c r="D13" s="27"/>
      <c r="E13" s="27" t="s">
        <v>44</v>
      </c>
      <c r="F13" s="27">
        <v>1</v>
      </c>
      <c r="G13" s="35" t="s">
        <v>23</v>
      </c>
      <c r="H13" s="35">
        <v>2003001</v>
      </c>
      <c r="I13" s="35" t="s">
        <v>24</v>
      </c>
      <c r="J13" s="35"/>
      <c r="K13" s="35"/>
      <c r="L13" s="36" t="s">
        <v>45</v>
      </c>
      <c r="M13" s="35" t="s">
        <v>46</v>
      </c>
      <c r="N13" s="27">
        <v>3</v>
      </c>
      <c r="O13" s="27">
        <v>3</v>
      </c>
      <c r="Q13" s="37"/>
    </row>
    <row r="14" s="2" customFormat="1" ht="16.5" spans="1:17">
      <c r="A14" s="35" t="str">
        <f t="shared" si="1"/>
        <v>1003003</v>
      </c>
      <c r="B14" s="27">
        <v>100300</v>
      </c>
      <c r="C14" s="27">
        <v>3</v>
      </c>
      <c r="D14" s="27"/>
      <c r="E14" s="27" t="s">
        <v>47</v>
      </c>
      <c r="F14" s="27">
        <v>1</v>
      </c>
      <c r="G14" s="35" t="s">
        <v>23</v>
      </c>
      <c r="H14" s="35">
        <v>2003002</v>
      </c>
      <c r="I14" s="35" t="s">
        <v>24</v>
      </c>
      <c r="J14" s="35" t="s">
        <v>48</v>
      </c>
      <c r="K14" s="35" t="s">
        <v>49</v>
      </c>
      <c r="L14" s="36" t="s">
        <v>50</v>
      </c>
      <c r="M14" s="35" t="s">
        <v>51</v>
      </c>
      <c r="N14" s="27">
        <v>3</v>
      </c>
      <c r="O14" s="27">
        <v>3</v>
      </c>
      <c r="Q14" s="37"/>
    </row>
    <row r="15" s="3" customFormat="1" ht="16.5" spans="1:17">
      <c r="A15" s="38" t="str">
        <f t="shared" si="1"/>
        <v>1007001</v>
      </c>
      <c r="B15" s="39">
        <v>100700</v>
      </c>
      <c r="C15" s="39">
        <v>1</v>
      </c>
      <c r="D15" s="39" t="s">
        <v>52</v>
      </c>
      <c r="E15" s="39" t="s">
        <v>22</v>
      </c>
      <c r="F15" s="39">
        <v>1</v>
      </c>
      <c r="G15" s="38" t="s">
        <v>23</v>
      </c>
      <c r="H15" s="38">
        <v>2007001</v>
      </c>
      <c r="I15" s="38" t="s">
        <v>24</v>
      </c>
      <c r="J15" s="38"/>
      <c r="K15" s="38"/>
      <c r="L15" s="40" t="s">
        <v>53</v>
      </c>
      <c r="M15" s="38" t="s">
        <v>54</v>
      </c>
      <c r="N15" s="18">
        <v>4</v>
      </c>
      <c r="O15" s="18">
        <v>5</v>
      </c>
    </row>
    <row r="16" s="3" customFormat="1" ht="16.5" spans="1:17">
      <c r="A16" s="38" t="str">
        <f t="shared" si="1"/>
        <v>1007002</v>
      </c>
      <c r="B16" s="39">
        <v>100700</v>
      </c>
      <c r="C16" s="39">
        <v>2</v>
      </c>
      <c r="D16" s="39"/>
      <c r="E16" s="39" t="s">
        <v>55</v>
      </c>
      <c r="F16" s="39">
        <v>1</v>
      </c>
      <c r="G16" s="38" t="s">
        <v>23</v>
      </c>
      <c r="H16" s="38">
        <v>2007001</v>
      </c>
      <c r="I16" s="38" t="s">
        <v>24</v>
      </c>
      <c r="J16" s="38"/>
      <c r="K16" s="38"/>
      <c r="L16" s="40" t="s">
        <v>56</v>
      </c>
      <c r="M16" s="38" t="s">
        <v>34</v>
      </c>
      <c r="N16" s="18">
        <v>4</v>
      </c>
      <c r="O16" s="18">
        <v>5</v>
      </c>
    </row>
    <row r="17" s="4" customFormat="1" ht="16.5" spans="1:17">
      <c r="A17" s="41" t="str">
        <f t="shared" si="1"/>
        <v>1012001</v>
      </c>
      <c r="B17" s="42">
        <v>101200</v>
      </c>
      <c r="C17" s="42">
        <v>1</v>
      </c>
      <c r="D17" s="42" t="s">
        <v>57</v>
      </c>
      <c r="E17" s="42" t="s">
        <v>22</v>
      </c>
      <c r="F17" s="42">
        <v>1</v>
      </c>
      <c r="G17" s="41" t="s">
        <v>23</v>
      </c>
      <c r="H17" s="41">
        <v>2012001</v>
      </c>
      <c r="I17" s="41" t="s">
        <v>24</v>
      </c>
      <c r="J17" s="41"/>
      <c r="K17" s="41"/>
      <c r="L17" s="43">
        <v>10120011</v>
      </c>
      <c r="M17" s="41" t="s">
        <v>58</v>
      </c>
      <c r="N17" s="42">
        <v>3</v>
      </c>
      <c r="O17" s="42">
        <v>5</v>
      </c>
      <c r="Q17" s="44"/>
    </row>
    <row r="18" s="4" customFormat="1" ht="16.5" spans="1:17">
      <c r="A18" s="41" t="str">
        <f t="shared" si="1"/>
        <v>1012002</v>
      </c>
      <c r="B18" s="42">
        <v>101200</v>
      </c>
      <c r="C18" s="42">
        <v>2</v>
      </c>
      <c r="D18" s="42"/>
      <c r="E18" s="42" t="s">
        <v>59</v>
      </c>
      <c r="F18" s="42">
        <v>1</v>
      </c>
      <c r="G18" s="41" t="s">
        <v>23</v>
      </c>
      <c r="H18" s="41">
        <v>2012001</v>
      </c>
      <c r="I18" s="41" t="s">
        <v>24</v>
      </c>
      <c r="J18" s="41"/>
      <c r="K18" s="41"/>
      <c r="L18" s="43">
        <v>10120021</v>
      </c>
      <c r="M18" s="41" t="s">
        <v>60</v>
      </c>
      <c r="N18" s="42">
        <v>3</v>
      </c>
      <c r="O18" s="42">
        <v>5</v>
      </c>
      <c r="Q18" s="44"/>
    </row>
    <row r="19" s="4" customFormat="1" ht="16.5" spans="1:17">
      <c r="A19" s="41" t="str">
        <f t="shared" si="1"/>
        <v>1012003</v>
      </c>
      <c r="B19" s="42">
        <v>101200</v>
      </c>
      <c r="C19" s="42">
        <v>3</v>
      </c>
      <c r="D19" s="42"/>
      <c r="E19" s="42" t="s">
        <v>61</v>
      </c>
      <c r="F19" s="42">
        <v>1</v>
      </c>
      <c r="G19" s="41" t="s">
        <v>23</v>
      </c>
      <c r="H19" s="41">
        <v>2012001</v>
      </c>
      <c r="I19" s="41" t="s">
        <v>24</v>
      </c>
      <c r="J19" s="41" t="s">
        <v>62</v>
      </c>
      <c r="K19" s="41" t="s">
        <v>63</v>
      </c>
      <c r="L19" s="43"/>
      <c r="M19" s="41" t="s">
        <v>64</v>
      </c>
      <c r="N19" s="42">
        <v>3</v>
      </c>
      <c r="O19" s="42">
        <v>5</v>
      </c>
      <c r="Q19" s="44"/>
    </row>
    <row r="20" s="3" customFormat="1" ht="16.5" spans="1:17">
      <c r="A20" s="35" t="str">
        <f t="shared" si="1"/>
        <v>1014001</v>
      </c>
      <c r="B20" s="27">
        <v>101400</v>
      </c>
      <c r="C20" s="27">
        <v>1</v>
      </c>
      <c r="D20" s="27" t="s">
        <v>65</v>
      </c>
      <c r="E20" s="27" t="s">
        <v>22</v>
      </c>
      <c r="F20" s="27">
        <v>1</v>
      </c>
      <c r="G20" s="35" t="s">
        <v>23</v>
      </c>
      <c r="H20" s="35">
        <v>2014001</v>
      </c>
      <c r="I20" s="35" t="s">
        <v>24</v>
      </c>
      <c r="J20" s="35"/>
      <c r="K20" s="35"/>
      <c r="L20" s="36" t="s">
        <v>66</v>
      </c>
      <c r="M20" s="35" t="s">
        <v>67</v>
      </c>
      <c r="N20" s="18">
        <v>4</v>
      </c>
      <c r="O20" s="18">
        <v>3</v>
      </c>
      <c r="Q20" s="45"/>
    </row>
    <row r="21" s="3" customFormat="1" ht="16.5" spans="1:17">
      <c r="A21" s="35" t="str">
        <f t="shared" si="1"/>
        <v>1014002</v>
      </c>
      <c r="B21" s="27">
        <v>101400</v>
      </c>
      <c r="C21" s="27">
        <v>2</v>
      </c>
      <c r="D21" s="27" t="s">
        <v>65</v>
      </c>
      <c r="E21" s="27" t="s">
        <v>22</v>
      </c>
      <c r="F21" s="27">
        <v>1</v>
      </c>
      <c r="G21" s="35" t="s">
        <v>23</v>
      </c>
      <c r="H21" s="35">
        <v>2014001</v>
      </c>
      <c r="I21" s="35" t="s">
        <v>24</v>
      </c>
      <c r="J21" s="35"/>
      <c r="K21" s="35"/>
      <c r="L21" s="36" t="s">
        <v>68</v>
      </c>
      <c r="M21" s="35" t="s">
        <v>69</v>
      </c>
      <c r="N21" s="18">
        <v>4</v>
      </c>
      <c r="O21" s="18">
        <v>3</v>
      </c>
      <c r="Q21" s="45"/>
    </row>
    <row r="22" s="3" customFormat="1" ht="16.5" spans="1:17">
      <c r="A22" s="35" t="str">
        <f t="shared" si="1"/>
        <v>1014003</v>
      </c>
      <c r="B22" s="27">
        <v>101400</v>
      </c>
      <c r="C22" s="27">
        <v>3</v>
      </c>
      <c r="D22" s="27" t="s">
        <v>65</v>
      </c>
      <c r="E22" s="27" t="s">
        <v>70</v>
      </c>
      <c r="F22" s="27">
        <v>1</v>
      </c>
      <c r="G22" s="35" t="s">
        <v>23</v>
      </c>
      <c r="H22" s="35">
        <v>2014001</v>
      </c>
      <c r="I22" s="35" t="s">
        <v>24</v>
      </c>
      <c r="J22" s="35"/>
      <c r="K22" s="35"/>
      <c r="L22" s="36">
        <v>10140021</v>
      </c>
      <c r="M22" s="35" t="s">
        <v>71</v>
      </c>
      <c r="N22" s="18">
        <v>4</v>
      </c>
      <c r="O22" s="18">
        <v>3</v>
      </c>
      <c r="Q22" s="45"/>
    </row>
    <row r="23" s="1" customFormat="1" ht="16.5" spans="1:17">
      <c r="A23" s="25" t="str">
        <f t="shared" si="1"/>
        <v>1024001</v>
      </c>
      <c r="B23" s="26">
        <v>102400</v>
      </c>
      <c r="C23" s="26">
        <v>1</v>
      </c>
      <c r="D23" s="26" t="s">
        <v>72</v>
      </c>
      <c r="E23" s="27" t="s">
        <v>22</v>
      </c>
      <c r="F23" s="26">
        <v>1</v>
      </c>
      <c r="G23" s="25" t="s">
        <v>23</v>
      </c>
      <c r="H23" s="25">
        <v>2024001</v>
      </c>
      <c r="I23" s="25" t="s">
        <v>24</v>
      </c>
      <c r="J23" s="25"/>
      <c r="K23" s="25"/>
      <c r="L23" s="28" t="s">
        <v>73</v>
      </c>
      <c r="M23" s="25" t="s">
        <v>26</v>
      </c>
      <c r="N23" s="18">
        <v>4</v>
      </c>
      <c r="O23" s="18">
        <v>5</v>
      </c>
    </row>
    <row r="24" s="1" customFormat="1" ht="16.5" spans="1:17">
      <c r="A24" s="25" t="str">
        <f t="shared" si="1"/>
        <v>1024002</v>
      </c>
      <c r="B24" s="26">
        <v>102400</v>
      </c>
      <c r="C24" s="26">
        <v>2</v>
      </c>
      <c r="D24" s="26"/>
      <c r="E24" s="29" t="s">
        <v>27</v>
      </c>
      <c r="F24" s="26">
        <v>1</v>
      </c>
      <c r="G24" s="25" t="s">
        <v>23</v>
      </c>
      <c r="H24" s="25">
        <v>2024001</v>
      </c>
      <c r="I24" s="25" t="s">
        <v>24</v>
      </c>
      <c r="J24" s="25"/>
      <c r="K24" s="25"/>
      <c r="L24" s="30" t="s">
        <v>74</v>
      </c>
      <c r="M24" s="25" t="s">
        <v>29</v>
      </c>
      <c r="N24" s="18">
        <v>4</v>
      </c>
      <c r="O24" s="18">
        <v>5</v>
      </c>
    </row>
    <row r="25" s="1" customFormat="1" ht="16.5" spans="1:17">
      <c r="A25" s="25" t="str">
        <f t="shared" si="1"/>
        <v>1024003</v>
      </c>
      <c r="B25" s="26">
        <v>102400</v>
      </c>
      <c r="C25" s="26">
        <v>3</v>
      </c>
      <c r="D25" s="26"/>
      <c r="E25" s="31" t="s">
        <v>30</v>
      </c>
      <c r="F25" s="26">
        <v>1</v>
      </c>
      <c r="G25" s="25" t="s">
        <v>23</v>
      </c>
      <c r="H25" s="25">
        <v>2024001</v>
      </c>
      <c r="I25" s="25" t="s">
        <v>24</v>
      </c>
      <c r="J25" s="25"/>
      <c r="K25" s="25"/>
      <c r="L25" s="28" t="s">
        <v>75</v>
      </c>
      <c r="M25" s="25" t="s">
        <v>32</v>
      </c>
      <c r="N25" s="18">
        <v>4</v>
      </c>
      <c r="O25" s="18">
        <v>5</v>
      </c>
    </row>
    <row r="26" s="1" customFormat="1" ht="16.5" spans="1:17">
      <c r="A26" s="25" t="str">
        <f t="shared" si="1"/>
        <v>1024004</v>
      </c>
      <c r="B26" s="26">
        <v>102400</v>
      </c>
      <c r="C26" s="26">
        <v>4</v>
      </c>
      <c r="D26" s="26"/>
      <c r="E26" s="32" t="s">
        <v>33</v>
      </c>
      <c r="F26" s="33">
        <v>1</v>
      </c>
      <c r="G26" s="25" t="s">
        <v>23</v>
      </c>
      <c r="H26" s="25">
        <v>2024001</v>
      </c>
      <c r="I26" s="25" t="s">
        <v>24</v>
      </c>
      <c r="J26" s="25"/>
      <c r="K26" s="25"/>
      <c r="L26" s="28">
        <v>10240041</v>
      </c>
      <c r="M26" s="25" t="s">
        <v>34</v>
      </c>
      <c r="N26" s="18">
        <v>4</v>
      </c>
      <c r="O26" s="18">
        <v>5</v>
      </c>
    </row>
    <row r="27" s="1" customFormat="1" ht="16.5" spans="1:17">
      <c r="A27" s="25" t="str">
        <f t="shared" si="1"/>
        <v>1024005</v>
      </c>
      <c r="B27" s="26">
        <v>102400</v>
      </c>
      <c r="C27" s="26">
        <v>5</v>
      </c>
      <c r="D27" s="26"/>
      <c r="E27" s="34" t="s">
        <v>35</v>
      </c>
      <c r="F27" s="33">
        <v>1</v>
      </c>
      <c r="G27" s="25" t="s">
        <v>23</v>
      </c>
      <c r="H27" s="25">
        <v>2024001</v>
      </c>
      <c r="I27" s="25" t="s">
        <v>24</v>
      </c>
      <c r="J27" s="25"/>
      <c r="K27" s="25"/>
      <c r="L27" s="28" t="s">
        <v>76</v>
      </c>
      <c r="M27" s="25" t="s">
        <v>37</v>
      </c>
      <c r="N27" s="18">
        <v>4</v>
      </c>
      <c r="O27" s="18">
        <v>5</v>
      </c>
    </row>
    <row r="28" s="1" customFormat="1" ht="16.5" spans="1:17">
      <c r="A28" s="25" t="str">
        <f t="shared" si="1"/>
        <v>1024006</v>
      </c>
      <c r="B28" s="26">
        <v>102400</v>
      </c>
      <c r="C28" s="26">
        <v>6</v>
      </c>
      <c r="D28" s="26"/>
      <c r="E28" s="34" t="s">
        <v>38</v>
      </c>
      <c r="F28" s="33">
        <v>1</v>
      </c>
      <c r="G28" s="25" t="s">
        <v>23</v>
      </c>
      <c r="H28" s="25">
        <v>2024001</v>
      </c>
      <c r="I28" s="25" t="s">
        <v>24</v>
      </c>
      <c r="J28" s="25"/>
      <c r="K28" s="25"/>
      <c r="L28" s="28">
        <v>10240061</v>
      </c>
      <c r="M28" s="25" t="s">
        <v>39</v>
      </c>
      <c r="N28" s="18">
        <v>4</v>
      </c>
      <c r="O28" s="18">
        <v>5</v>
      </c>
    </row>
    <row r="29" s="1" customFormat="1" ht="16.5" spans="1:17">
      <c r="A29" s="25" t="str">
        <f t="shared" si="1"/>
        <v>1024007</v>
      </c>
      <c r="B29" s="26">
        <v>102400</v>
      </c>
      <c r="C29" s="26">
        <v>7</v>
      </c>
      <c r="D29" s="26"/>
      <c r="E29" s="29" t="s">
        <v>40</v>
      </c>
      <c r="F29" s="26">
        <v>1</v>
      </c>
      <c r="G29" s="25" t="s">
        <v>23</v>
      </c>
      <c r="H29" s="25">
        <v>2024001</v>
      </c>
      <c r="I29" s="25" t="s">
        <v>24</v>
      </c>
      <c r="J29" s="25"/>
      <c r="K29" s="25"/>
      <c r="L29" s="30" t="s">
        <v>77</v>
      </c>
      <c r="M29" s="25" t="s">
        <v>29</v>
      </c>
      <c r="N29" s="18">
        <v>4</v>
      </c>
      <c r="O29" s="18">
        <v>5</v>
      </c>
    </row>
    <row r="30" s="5" customFormat="1" ht="16.5" spans="1:17">
      <c r="A30" s="25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6">
        <v>4</v>
      </c>
      <c r="O30" s="46">
        <v>5</v>
      </c>
      <c r="Q30" s="19"/>
    </row>
    <row r="31" s="5" customFormat="1" ht="16.5" spans="1:17">
      <c r="A31" s="25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6">
        <v>4</v>
      </c>
      <c r="O31" s="46">
        <v>5</v>
      </c>
      <c r="Q31" s="19"/>
    </row>
    <row r="32" s="5" customFormat="1" ht="16.5" spans="1:17">
      <c r="A32" s="25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6">
        <v>4</v>
      </c>
      <c r="O32" s="46">
        <v>5</v>
      </c>
      <c r="Q32" s="19"/>
    </row>
    <row r="33" s="5" customFormat="1" ht="16.5" spans="1:19">
      <c r="A33" s="25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7" t="s">
        <v>85</v>
      </c>
      <c r="M33" s="5" t="s">
        <v>86</v>
      </c>
      <c r="N33" s="46">
        <v>3</v>
      </c>
      <c r="O33" s="46">
        <v>5</v>
      </c>
      <c r="Q33" s="19"/>
    </row>
    <row r="34" s="5" customFormat="1" ht="16.5" spans="1:19">
      <c r="A34" s="25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8">
        <v>1</v>
      </c>
      <c r="G34" s="48" t="s">
        <v>23</v>
      </c>
      <c r="H34" s="5">
        <v>2022001</v>
      </c>
      <c r="I34" s="5" t="s">
        <v>24</v>
      </c>
      <c r="L34" s="47">
        <v>10220033</v>
      </c>
      <c r="M34" s="5" t="s">
        <v>88</v>
      </c>
      <c r="N34" s="46">
        <v>3</v>
      </c>
      <c r="O34" s="46">
        <v>5</v>
      </c>
      <c r="Q34" s="19"/>
    </row>
    <row r="35" s="5" customFormat="1" ht="16.5" spans="1:19">
      <c r="A35" s="25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8">
        <v>1</v>
      </c>
      <c r="G35" s="48" t="s">
        <v>23</v>
      </c>
      <c r="H35" s="5">
        <v>2022001</v>
      </c>
      <c r="I35" s="5" t="s">
        <v>24</v>
      </c>
      <c r="L35" s="49" t="s">
        <v>89</v>
      </c>
      <c r="M35" s="5" t="s">
        <v>83</v>
      </c>
      <c r="N35" s="46">
        <v>3</v>
      </c>
      <c r="O35" s="46">
        <v>5</v>
      </c>
      <c r="Q35" s="19"/>
    </row>
    <row r="36" s="5" customFormat="1" ht="16.5" spans="1:19">
      <c r="A36" s="25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8">
        <v>1</v>
      </c>
      <c r="G36" s="48" t="s">
        <v>23</v>
      </c>
      <c r="H36" s="5">
        <v>2022001</v>
      </c>
      <c r="I36" s="5" t="s">
        <v>24</v>
      </c>
      <c r="L36" s="47">
        <v>10220020</v>
      </c>
      <c r="N36" s="46">
        <v>3</v>
      </c>
      <c r="O36" s="46">
        <v>5</v>
      </c>
      <c r="Q36" s="19"/>
    </row>
    <row r="37" s="5" customFormat="1" ht="16.5" spans="1:19">
      <c r="A37" s="25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7">
        <v>10220019</v>
      </c>
      <c r="N37" s="46">
        <v>3</v>
      </c>
      <c r="O37" s="46">
        <v>5</v>
      </c>
      <c r="Q37" s="19"/>
      <c r="S37" s="50"/>
    </row>
    <row r="38" s="5" customFormat="1" ht="16.5" spans="1:19">
      <c r="A38" s="25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7" t="s">
        <v>93</v>
      </c>
      <c r="M38" s="5" t="s">
        <v>86</v>
      </c>
      <c r="N38" s="46">
        <v>3</v>
      </c>
      <c r="O38" s="46">
        <v>5</v>
      </c>
      <c r="Q38" s="19"/>
      <c r="S38" s="50"/>
    </row>
    <row r="39" s="5" customFormat="1" ht="16.5" spans="1:19">
      <c r="A39" s="25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7">
        <v>10210031</v>
      </c>
      <c r="M39" s="5" t="s">
        <v>88</v>
      </c>
      <c r="N39" s="46">
        <v>3</v>
      </c>
      <c r="O39" s="46">
        <v>5</v>
      </c>
      <c r="Q39" s="19"/>
      <c r="S39" s="50"/>
    </row>
    <row r="40" s="5" customFormat="1" ht="16.5" spans="1:19">
      <c r="A40" s="25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7">
        <v>10210041</v>
      </c>
      <c r="M40" s="5" t="s">
        <v>95</v>
      </c>
      <c r="N40" s="46">
        <v>3</v>
      </c>
      <c r="O40" s="46">
        <v>5</v>
      </c>
      <c r="Q40" s="19"/>
      <c r="S40" s="50"/>
    </row>
    <row r="41" s="5" customFormat="1" ht="16.5" spans="1:19">
      <c r="A41" s="25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7" t="s">
        <v>96</v>
      </c>
      <c r="M41" s="5" t="s">
        <v>83</v>
      </c>
      <c r="N41" s="46">
        <v>3</v>
      </c>
      <c r="O41" s="46">
        <v>5</v>
      </c>
      <c r="Q41" s="19"/>
      <c r="S41" s="50"/>
    </row>
    <row r="42" s="5" customFormat="1" ht="16.5" spans="1:19">
      <c r="A42" s="25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7" t="s">
        <v>98</v>
      </c>
      <c r="M42" s="5" t="s">
        <v>86</v>
      </c>
      <c r="N42" s="46">
        <v>4</v>
      </c>
      <c r="O42" s="46">
        <v>6</v>
      </c>
      <c r="Q42" s="19"/>
      <c r="S42" s="50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7">
        <v>10180031</v>
      </c>
      <c r="M43" s="5" t="s">
        <v>88</v>
      </c>
      <c r="N43" s="46">
        <v>4</v>
      </c>
      <c r="O43" s="46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7" t="s">
        <v>99</v>
      </c>
      <c r="M44" s="5" t="s">
        <v>83</v>
      </c>
      <c r="N44" s="46">
        <v>4</v>
      </c>
      <c r="O44" s="46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7" t="s">
        <v>101</v>
      </c>
      <c r="M45" s="5" t="s">
        <v>86</v>
      </c>
      <c r="N45" s="46">
        <v>3</v>
      </c>
      <c r="O45" s="46">
        <v>5</v>
      </c>
      <c r="Q45" s="9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7">
        <v>10250031</v>
      </c>
      <c r="M46" s="5" t="s">
        <v>102</v>
      </c>
      <c r="N46" s="46">
        <v>3</v>
      </c>
      <c r="O46" s="46">
        <v>5</v>
      </c>
      <c r="Q46" s="9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7" t="s">
        <v>103</v>
      </c>
      <c r="M47" s="5" t="s">
        <v>83</v>
      </c>
      <c r="N47" s="46">
        <v>3</v>
      </c>
      <c r="O47" s="46">
        <v>5</v>
      </c>
      <c r="Q47" s="9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7" t="s">
        <v>105</v>
      </c>
      <c r="M48" s="5" t="s">
        <v>86</v>
      </c>
      <c r="N48" s="46">
        <v>4</v>
      </c>
      <c r="O48" s="46">
        <v>5</v>
      </c>
      <c r="Q48" s="9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7">
        <v>10230003</v>
      </c>
      <c r="M49" s="5" t="s">
        <v>102</v>
      </c>
      <c r="N49" s="46">
        <v>4</v>
      </c>
      <c r="O49" s="46">
        <v>5</v>
      </c>
      <c r="Q49" s="9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7" t="s">
        <v>106</v>
      </c>
      <c r="M50" s="5" t="s">
        <v>83</v>
      </c>
      <c r="N50" s="46">
        <v>4</v>
      </c>
      <c r="O50" s="46">
        <v>5</v>
      </c>
      <c r="Q50" s="9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7">
        <v>10340007</v>
      </c>
      <c r="M51" s="5" t="s">
        <v>108</v>
      </c>
      <c r="N51" s="46">
        <v>3</v>
      </c>
      <c r="O51" s="46">
        <v>3</v>
      </c>
      <c r="Q51" s="9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7"/>
      <c r="M52" s="5"/>
      <c r="N52" s="46">
        <v>3</v>
      </c>
      <c r="O52" s="46">
        <v>3</v>
      </c>
      <c r="P52" s="51"/>
      <c r="Q52" s="9"/>
    </row>
    <row r="53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">
        <v>1</v>
      </c>
      <c r="G53" s="5" t="s">
        <v>23</v>
      </c>
      <c r="H53" s="5">
        <v>2034001</v>
      </c>
      <c r="I53" s="5" t="s">
        <v>24</v>
      </c>
      <c r="L53" s="47"/>
      <c r="M53" s="5"/>
      <c r="N53" s="46">
        <v>3</v>
      </c>
      <c r="O53" s="46">
        <v>3</v>
      </c>
      <c r="Q53" s="9"/>
    </row>
    <row r="54" customFormat="1" ht="16.5" spans="1:17">
      <c r="A54" s="5" t="str">
        <f t="shared" ref="A54:A83" si="3">B54&amp;C54</f>
        <v>1035001</v>
      </c>
      <c r="B54" s="5">
        <v>103500</v>
      </c>
      <c r="C54" s="5">
        <v>1</v>
      </c>
      <c r="D54" s="5" t="s">
        <v>110</v>
      </c>
      <c r="E54" s="5" t="s">
        <v>111</v>
      </c>
      <c r="F54" s="5">
        <v>1</v>
      </c>
      <c r="G54" s="5" t="s">
        <v>23</v>
      </c>
      <c r="H54" s="5">
        <v>2035001</v>
      </c>
      <c r="I54" s="5" t="s">
        <v>24</v>
      </c>
      <c r="L54" s="47" t="s">
        <v>112</v>
      </c>
      <c r="M54" s="5" t="s">
        <v>113</v>
      </c>
      <c r="N54" s="46">
        <v>4</v>
      </c>
      <c r="O54" s="46">
        <v>3</v>
      </c>
      <c r="Q54" s="9"/>
    </row>
    <row r="55" customFormat="1" ht="16.5" spans="1:17">
      <c r="A55" s="5" t="str">
        <f t="shared" si="3"/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7" t="s">
        <v>115</v>
      </c>
      <c r="M55" s="5" t="s">
        <v>116</v>
      </c>
      <c r="N55" s="46">
        <v>4</v>
      </c>
      <c r="O55" s="46">
        <v>3</v>
      </c>
      <c r="Q55" s="9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7" t="s">
        <v>117</v>
      </c>
      <c r="M56" s="5" t="s">
        <v>118</v>
      </c>
      <c r="N56" s="46">
        <v>4</v>
      </c>
      <c r="O56" s="46">
        <v>3</v>
      </c>
      <c r="Q56" s="9"/>
    </row>
    <row r="57" customFormat="1" ht="16.5" spans="1:17">
      <c r="A57" s="5" t="str">
        <f t="shared" si="3"/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7" t="s">
        <v>120</v>
      </c>
      <c r="M57" s="5" t="s">
        <v>113</v>
      </c>
      <c r="N57" s="46">
        <v>4</v>
      </c>
      <c r="O57" s="46">
        <v>3</v>
      </c>
      <c r="Q57" s="9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7" t="s">
        <v>121</v>
      </c>
      <c r="M58" s="5" t="s">
        <v>116</v>
      </c>
      <c r="N58" s="46">
        <v>4</v>
      </c>
      <c r="O58" s="46">
        <v>3</v>
      </c>
      <c r="Q58" s="9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7" t="s">
        <v>122</v>
      </c>
      <c r="M59" s="5" t="s">
        <v>118</v>
      </c>
      <c r="N59" s="46">
        <v>4</v>
      </c>
      <c r="O59" s="46">
        <v>3</v>
      </c>
      <c r="Q59" s="9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7" t="s">
        <v>124</v>
      </c>
      <c r="M60" s="5" t="s">
        <v>125</v>
      </c>
      <c r="N60" s="46">
        <v>3</v>
      </c>
      <c r="O60" s="46">
        <v>3</v>
      </c>
      <c r="Q60" s="9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7">
        <v>10360004</v>
      </c>
      <c r="M61" s="5" t="s">
        <v>116</v>
      </c>
      <c r="N61" s="46">
        <v>3</v>
      </c>
      <c r="O61" s="46">
        <v>3</v>
      </c>
      <c r="Q61" s="9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7">
        <v>10360002</v>
      </c>
      <c r="M62" s="5" t="s">
        <v>127</v>
      </c>
      <c r="N62" s="46">
        <v>3</v>
      </c>
      <c r="O62" s="46">
        <v>3</v>
      </c>
      <c r="Q62" s="9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128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7" t="s">
        <v>129</v>
      </c>
      <c r="M63" s="5" t="s">
        <v>130</v>
      </c>
      <c r="N63" s="46">
        <v>5</v>
      </c>
      <c r="O63" s="46">
        <v>6</v>
      </c>
      <c r="Q63" s="9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128</v>
      </c>
      <c r="E64" s="5" t="s">
        <v>131</v>
      </c>
      <c r="F64" s="5">
        <v>1</v>
      </c>
      <c r="G64" s="5" t="s">
        <v>23</v>
      </c>
      <c r="H64" s="5">
        <v>2028001</v>
      </c>
      <c r="I64" s="5" t="s">
        <v>24</v>
      </c>
      <c r="L64" s="47">
        <v>10280002</v>
      </c>
      <c r="M64" s="5" t="s">
        <v>102</v>
      </c>
      <c r="N64" s="46">
        <v>5</v>
      </c>
      <c r="O64" s="46">
        <v>6</v>
      </c>
      <c r="Q64" s="9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128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7" t="s">
        <v>132</v>
      </c>
      <c r="M65" s="5" t="s">
        <v>83</v>
      </c>
      <c r="N65" s="46">
        <v>5</v>
      </c>
      <c r="O65" s="46">
        <v>6</v>
      </c>
      <c r="Q65" s="9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133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7">
        <v>10340007</v>
      </c>
      <c r="M66" s="5" t="s">
        <v>108</v>
      </c>
      <c r="N66" s="46">
        <v>3</v>
      </c>
      <c r="O66" s="46">
        <v>3</v>
      </c>
      <c r="Q66" s="9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133</v>
      </c>
      <c r="E67" s="5" t="s">
        <v>134</v>
      </c>
      <c r="F67" s="5">
        <v>1</v>
      </c>
      <c r="G67" s="5" t="s">
        <v>23</v>
      </c>
      <c r="H67" s="5">
        <v>2034011</v>
      </c>
      <c r="I67" s="5" t="s">
        <v>24</v>
      </c>
      <c r="L67" s="47"/>
      <c r="M67" s="5"/>
      <c r="N67" s="46">
        <v>3</v>
      </c>
      <c r="O67" s="46">
        <v>3</v>
      </c>
      <c r="P67" s="51"/>
      <c r="Q67" s="9"/>
    </row>
    <row r="68" s="6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133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7"/>
      <c r="M68" s="5"/>
      <c r="N68" s="46">
        <v>4</v>
      </c>
      <c r="O68" s="46">
        <v>4</v>
      </c>
      <c r="Q68" s="52"/>
    </row>
    <row r="69" s="6" customFormat="1" ht="16.5" spans="1:17">
      <c r="A69" s="53" t="str">
        <f t="shared" si="3"/>
        <v>1020001</v>
      </c>
      <c r="B69" s="53">
        <v>102000</v>
      </c>
      <c r="C69" s="53">
        <v>1</v>
      </c>
      <c r="D69" s="53" t="s">
        <v>135</v>
      </c>
      <c r="E69" s="53" t="s">
        <v>22</v>
      </c>
      <c r="F69" s="53">
        <v>1</v>
      </c>
      <c r="G69" s="53" t="s">
        <v>23</v>
      </c>
      <c r="H69" s="53">
        <v>2020001</v>
      </c>
      <c r="I69" s="53" t="s">
        <v>24</v>
      </c>
      <c r="L69" s="54" t="s">
        <v>136</v>
      </c>
      <c r="M69" s="53" t="s">
        <v>137</v>
      </c>
      <c r="N69" s="55">
        <v>5</v>
      </c>
      <c r="O69" s="55">
        <v>5</v>
      </c>
      <c r="Q69" s="52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135</v>
      </c>
      <c r="E70" s="5" t="s">
        <v>131</v>
      </c>
      <c r="F70" s="5">
        <v>1</v>
      </c>
      <c r="G70" s="5" t="s">
        <v>23</v>
      </c>
      <c r="H70" s="5">
        <v>2020001</v>
      </c>
      <c r="I70" s="5" t="s">
        <v>24</v>
      </c>
      <c r="L70" s="47" t="s">
        <v>138</v>
      </c>
      <c r="M70" s="5" t="s">
        <v>139</v>
      </c>
      <c r="N70" s="46">
        <v>5</v>
      </c>
      <c r="O70" s="46">
        <v>5</v>
      </c>
      <c r="Q70" s="9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135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7" t="s">
        <v>140</v>
      </c>
      <c r="M71" s="5" t="s">
        <v>141</v>
      </c>
      <c r="N71" s="46">
        <v>5</v>
      </c>
      <c r="O71" s="46">
        <v>5</v>
      </c>
      <c r="Q71" s="9"/>
    </row>
    <row r="72" s="7" customFormat="1" ht="16.5" spans="1:17">
      <c r="A72" s="56" t="str">
        <f t="shared" si="3"/>
        <v>1020004</v>
      </c>
      <c r="B72" s="56">
        <v>102000</v>
      </c>
      <c r="C72" s="56">
        <v>4</v>
      </c>
      <c r="D72" s="56" t="s">
        <v>135</v>
      </c>
      <c r="E72" s="56" t="s">
        <v>142</v>
      </c>
      <c r="F72" s="56">
        <v>1</v>
      </c>
      <c r="G72" s="56" t="s">
        <v>23</v>
      </c>
      <c r="H72" s="56">
        <v>2020002</v>
      </c>
      <c r="I72" s="56" t="s">
        <v>24</v>
      </c>
      <c r="L72" s="57">
        <v>10200016</v>
      </c>
      <c r="M72" s="56" t="s">
        <v>143</v>
      </c>
      <c r="N72" s="58">
        <v>5</v>
      </c>
      <c r="O72" s="58">
        <v>5</v>
      </c>
      <c r="Q72" s="59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135</v>
      </c>
      <c r="E73" s="5" t="s">
        <v>144</v>
      </c>
      <c r="F73" s="5">
        <v>1</v>
      </c>
      <c r="G73" s="5" t="s">
        <v>23</v>
      </c>
      <c r="H73" s="5">
        <v>2020003</v>
      </c>
      <c r="I73" s="5" t="s">
        <v>24</v>
      </c>
      <c r="L73" s="47">
        <v>10200021</v>
      </c>
      <c r="M73" s="5" t="s">
        <v>145</v>
      </c>
      <c r="N73" s="46">
        <v>5</v>
      </c>
      <c r="O73" s="46">
        <v>5</v>
      </c>
      <c r="Q73" s="9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146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147</v>
      </c>
      <c r="L74" s="47"/>
      <c r="M74" s="5" t="s">
        <v>148</v>
      </c>
      <c r="N74" s="46">
        <v>3</v>
      </c>
      <c r="O74" s="46">
        <v>5</v>
      </c>
      <c r="Q74" s="9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146</v>
      </c>
      <c r="E75" s="5" t="s">
        <v>131</v>
      </c>
      <c r="F75" s="5">
        <v>1</v>
      </c>
      <c r="G75" s="5" t="s">
        <v>23</v>
      </c>
      <c r="H75" s="5">
        <v>2038001</v>
      </c>
      <c r="I75" s="5" t="s">
        <v>24</v>
      </c>
      <c r="L75" s="47">
        <v>10380002</v>
      </c>
      <c r="M75" s="5" t="s">
        <v>149</v>
      </c>
      <c r="N75" s="46">
        <v>3</v>
      </c>
      <c r="O75" s="46">
        <v>5</v>
      </c>
      <c r="Q75" s="9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146</v>
      </c>
      <c r="E76" s="5" t="s">
        <v>150</v>
      </c>
      <c r="F76" s="5">
        <v>1</v>
      </c>
      <c r="G76" s="5" t="s">
        <v>23</v>
      </c>
      <c r="H76" s="5">
        <v>2038001</v>
      </c>
      <c r="I76" s="5" t="s">
        <v>24</v>
      </c>
      <c r="L76" s="47" t="s">
        <v>151</v>
      </c>
      <c r="M76" s="5" t="s">
        <v>152</v>
      </c>
      <c r="N76" s="46">
        <v>3</v>
      </c>
      <c r="O76" s="46">
        <v>5</v>
      </c>
      <c r="Q76" s="9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146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7" t="s">
        <v>153</v>
      </c>
      <c r="M77" s="5" t="s">
        <v>154</v>
      </c>
      <c r="N77" s="46">
        <v>3</v>
      </c>
      <c r="O77" s="46">
        <v>5</v>
      </c>
      <c r="Q77" s="9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155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7" t="s">
        <v>156</v>
      </c>
      <c r="M78" s="5" t="s">
        <v>157</v>
      </c>
      <c r="N78" s="46">
        <v>3</v>
      </c>
      <c r="O78" s="46">
        <v>5</v>
      </c>
      <c r="Q78" s="9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155</v>
      </c>
      <c r="E79" s="5" t="s">
        <v>131</v>
      </c>
      <c r="F79" s="5">
        <v>1</v>
      </c>
      <c r="G79" s="5" t="s">
        <v>23</v>
      </c>
      <c r="H79" s="5">
        <v>2027001</v>
      </c>
      <c r="I79" s="5" t="s">
        <v>24</v>
      </c>
      <c r="L79" s="47">
        <v>10270003</v>
      </c>
      <c r="M79" s="5" t="s">
        <v>158</v>
      </c>
      <c r="N79" s="46">
        <v>3</v>
      </c>
      <c r="O79" s="46">
        <v>5</v>
      </c>
      <c r="Q79" s="9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155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7" t="s">
        <v>159</v>
      </c>
      <c r="M80" s="5" t="s">
        <v>160</v>
      </c>
      <c r="N80" s="46">
        <v>3</v>
      </c>
      <c r="O80" s="46">
        <v>5</v>
      </c>
      <c r="Q80" s="9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161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7">
        <v>10370001</v>
      </c>
      <c r="M81" s="5" t="s">
        <v>162</v>
      </c>
      <c r="N81" s="46">
        <v>4</v>
      </c>
      <c r="O81" s="46">
        <v>3</v>
      </c>
      <c r="Q81" s="9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161</v>
      </c>
      <c r="E82" s="5" t="s">
        <v>163</v>
      </c>
      <c r="F82" s="5">
        <v>1</v>
      </c>
      <c r="G82" s="5" t="s">
        <v>23</v>
      </c>
      <c r="H82" s="5">
        <v>2037001</v>
      </c>
      <c r="I82" s="5" t="s">
        <v>24</v>
      </c>
      <c r="L82" s="47">
        <v>10370003</v>
      </c>
      <c r="M82" s="5" t="s">
        <v>116</v>
      </c>
      <c r="N82" s="46">
        <v>4</v>
      </c>
      <c r="O82" s="46">
        <v>3</v>
      </c>
      <c r="Q82" s="9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161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7"/>
      <c r="M83" s="5"/>
      <c r="N83" s="46">
        <v>4</v>
      </c>
      <c r="O83" s="46">
        <v>3</v>
      </c>
      <c r="Q83" s="9"/>
    </row>
    <row r="84" customFormat="1" ht="16.5" spans="1:17">
      <c r="A84" s="5" t="str">
        <f t="shared" ref="A84:A95" si="4">B84&amp;C84</f>
        <v>1031001</v>
      </c>
      <c r="B84" s="5">
        <v>103100</v>
      </c>
      <c r="C84" s="5">
        <v>1</v>
      </c>
      <c r="D84" s="5" t="s">
        <v>164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7" t="s">
        <v>165</v>
      </c>
      <c r="M84" s="5" t="s">
        <v>166</v>
      </c>
      <c r="N84" s="46">
        <v>3</v>
      </c>
      <c r="O84" s="46">
        <v>5</v>
      </c>
      <c r="Q84" s="9"/>
    </row>
    <row r="85" customFormat="1" ht="16.5" spans="1:17">
      <c r="A85" s="5" t="str">
        <f t="shared" si="4"/>
        <v>1031002</v>
      </c>
      <c r="B85" s="5">
        <v>103100</v>
      </c>
      <c r="C85" s="5">
        <v>2</v>
      </c>
      <c r="D85" s="5" t="s">
        <v>164</v>
      </c>
      <c r="E85" s="5" t="s">
        <v>131</v>
      </c>
      <c r="F85" s="5">
        <v>1</v>
      </c>
      <c r="G85" s="5" t="s">
        <v>23</v>
      </c>
      <c r="H85" s="5">
        <v>2031001</v>
      </c>
      <c r="I85" s="5" t="s">
        <v>24</v>
      </c>
      <c r="L85" s="47">
        <v>10310008</v>
      </c>
      <c r="M85" s="5" t="s">
        <v>167</v>
      </c>
      <c r="N85" s="46">
        <v>3</v>
      </c>
      <c r="O85" s="46">
        <v>5</v>
      </c>
      <c r="Q85" s="9"/>
    </row>
    <row r="86" customFormat="1" ht="16.5" spans="1:17">
      <c r="A86" s="5" t="str">
        <f t="shared" si="4"/>
        <v>1031003</v>
      </c>
      <c r="B86" s="5">
        <v>103100</v>
      </c>
      <c r="C86" s="5">
        <v>3</v>
      </c>
      <c r="D86" s="5" t="s">
        <v>164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7" t="s">
        <v>168</v>
      </c>
      <c r="M86" s="5" t="s">
        <v>169</v>
      </c>
      <c r="N86" s="46">
        <v>3</v>
      </c>
      <c r="O86" s="46">
        <v>5</v>
      </c>
      <c r="Q86" s="9"/>
    </row>
    <row r="87" customFormat="1" ht="16.5" spans="1:17">
      <c r="A87" s="5" t="str">
        <f t="shared" si="4"/>
        <v>1031004</v>
      </c>
      <c r="B87" s="5">
        <v>103100</v>
      </c>
      <c r="C87" s="5">
        <v>4</v>
      </c>
      <c r="D87" s="5" t="s">
        <v>164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7" t="s">
        <v>170</v>
      </c>
      <c r="M87" s="5" t="s">
        <v>171</v>
      </c>
      <c r="N87" s="46">
        <v>3</v>
      </c>
      <c r="O87" s="46">
        <v>5</v>
      </c>
      <c r="Q87" s="9"/>
    </row>
    <row r="88" customFormat="1" ht="16.5" spans="1:17">
      <c r="A88" s="5" t="str">
        <f t="shared" si="4"/>
        <v>1031005</v>
      </c>
      <c r="B88" s="5">
        <v>103100</v>
      </c>
      <c r="C88" s="5">
        <v>5</v>
      </c>
      <c r="D88" s="5" t="s">
        <v>164</v>
      </c>
      <c r="E88" s="5" t="s">
        <v>172</v>
      </c>
      <c r="F88" s="5">
        <v>1</v>
      </c>
      <c r="G88" s="5" t="s">
        <v>23</v>
      </c>
      <c r="H88" s="5">
        <v>2031001</v>
      </c>
      <c r="I88" s="5" t="s">
        <v>24</v>
      </c>
      <c r="L88" s="47">
        <v>10310003</v>
      </c>
      <c r="M88" s="5" t="s">
        <v>173</v>
      </c>
      <c r="N88" s="46">
        <v>3</v>
      </c>
      <c r="O88" s="46">
        <v>5</v>
      </c>
      <c r="Q88" s="9"/>
    </row>
    <row r="89" customFormat="1" ht="16.5" spans="1:17">
      <c r="A89" s="5" t="str">
        <f t="shared" si="4"/>
        <v>1031006</v>
      </c>
      <c r="B89" s="5">
        <v>103100</v>
      </c>
      <c r="C89" s="5">
        <v>6</v>
      </c>
      <c r="D89" s="5" t="s">
        <v>164</v>
      </c>
      <c r="E89" s="5" t="s">
        <v>174</v>
      </c>
      <c r="F89" s="5">
        <v>1</v>
      </c>
      <c r="G89" s="5" t="s">
        <v>23</v>
      </c>
      <c r="H89" s="5">
        <v>2031001</v>
      </c>
      <c r="I89" s="5" t="s">
        <v>24</v>
      </c>
      <c r="L89" s="47" t="s">
        <v>175</v>
      </c>
      <c r="M89" s="5" t="s">
        <v>176</v>
      </c>
      <c r="N89" s="46">
        <v>3</v>
      </c>
      <c r="O89" s="46">
        <v>5</v>
      </c>
      <c r="Q89" s="9"/>
    </row>
    <row r="90" customFormat="1" ht="16.5" spans="1:17">
      <c r="A90" s="5" t="str">
        <f t="shared" si="4"/>
        <v>1040001</v>
      </c>
      <c r="B90" s="5">
        <v>104000</v>
      </c>
      <c r="C90" s="5">
        <v>1</v>
      </c>
      <c r="D90" s="5" t="s">
        <v>177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7" t="s">
        <v>178</v>
      </c>
      <c r="M90" s="5" t="s">
        <v>179</v>
      </c>
      <c r="N90" s="46">
        <v>3</v>
      </c>
      <c r="O90" s="46">
        <v>5</v>
      </c>
      <c r="Q90" s="9"/>
    </row>
    <row r="91" customFormat="1" ht="16.5" spans="1:17">
      <c r="A91" s="5" t="str">
        <f t="shared" si="4"/>
        <v>1040002</v>
      </c>
      <c r="B91" s="5">
        <v>104000</v>
      </c>
      <c r="C91" s="5">
        <v>2</v>
      </c>
      <c r="D91" s="5" t="s">
        <v>177</v>
      </c>
      <c r="E91" s="5" t="s">
        <v>131</v>
      </c>
      <c r="F91" s="5">
        <v>1</v>
      </c>
      <c r="G91" s="5" t="s">
        <v>23</v>
      </c>
      <c r="H91" s="5">
        <v>2040001</v>
      </c>
      <c r="I91" s="5" t="s">
        <v>24</v>
      </c>
      <c r="L91" s="47" t="s">
        <v>180</v>
      </c>
      <c r="M91" s="5" t="s">
        <v>181</v>
      </c>
      <c r="N91" s="46">
        <v>3</v>
      </c>
      <c r="O91" s="46">
        <v>5</v>
      </c>
      <c r="Q91" s="9"/>
    </row>
    <row r="92" customFormat="1" ht="16.5" spans="1:17">
      <c r="A92" s="5" t="str">
        <f t="shared" si="4"/>
        <v>1040003</v>
      </c>
      <c r="B92" s="5">
        <v>104000</v>
      </c>
      <c r="C92" s="5">
        <v>3</v>
      </c>
      <c r="D92" s="5" t="s">
        <v>177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7" t="s">
        <v>182</v>
      </c>
      <c r="M92" s="5" t="s">
        <v>183</v>
      </c>
      <c r="N92" s="46">
        <v>3</v>
      </c>
      <c r="O92" s="46">
        <v>5</v>
      </c>
      <c r="Q92" s="9"/>
    </row>
    <row r="93" s="5" customFormat="1" ht="16.5" spans="1:17">
      <c r="A93" s="5" t="str">
        <f t="shared" si="4"/>
        <v>1039001</v>
      </c>
      <c r="B93" s="5">
        <v>103900</v>
      </c>
      <c r="C93" s="5">
        <v>1</v>
      </c>
      <c r="D93" s="5" t="s">
        <v>184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185</v>
      </c>
      <c r="M93" s="5" t="s">
        <v>157</v>
      </c>
      <c r="N93" s="46">
        <v>3</v>
      </c>
      <c r="O93" s="46">
        <v>5</v>
      </c>
      <c r="Q93" s="19"/>
    </row>
    <row r="94" s="5" customFormat="1" ht="16.5" spans="1:17">
      <c r="A94" s="5" t="str">
        <f t="shared" si="4"/>
        <v>1039002</v>
      </c>
      <c r="B94" s="5">
        <v>103900</v>
      </c>
      <c r="C94" s="5">
        <v>2</v>
      </c>
      <c r="D94" s="5" t="s">
        <v>184</v>
      </c>
      <c r="E94" s="5" t="s">
        <v>131</v>
      </c>
      <c r="F94" s="5">
        <v>1</v>
      </c>
      <c r="G94" s="5" t="s">
        <v>23</v>
      </c>
      <c r="H94" s="5">
        <v>2039001</v>
      </c>
      <c r="I94" s="5" t="s">
        <v>24</v>
      </c>
      <c r="L94" s="47">
        <v>10390003</v>
      </c>
      <c r="M94" s="5" t="s">
        <v>158</v>
      </c>
      <c r="N94" s="46">
        <v>3</v>
      </c>
      <c r="O94" s="46">
        <v>5</v>
      </c>
      <c r="Q94" s="19"/>
    </row>
    <row r="95" s="5" customFormat="1" ht="16.5" spans="1:17">
      <c r="A95" s="5" t="str">
        <f t="shared" si="4"/>
        <v>1039003</v>
      </c>
      <c r="B95" s="5">
        <v>103900</v>
      </c>
      <c r="C95" s="5">
        <v>3</v>
      </c>
      <c r="D95" s="5" t="s">
        <v>184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186</v>
      </c>
      <c r="M95" s="5" t="s">
        <v>83</v>
      </c>
      <c r="N95" s="46">
        <v>3</v>
      </c>
      <c r="O95" s="46">
        <v>5</v>
      </c>
      <c r="Q95" s="19"/>
    </row>
    <row r="96" s="5" customFormat="1" ht="16.5" spans="1:17">
      <c r="A96" s="5" t="str">
        <f>B96&amp;C96</f>
        <v>1016001</v>
      </c>
      <c r="B96" s="5">
        <v>101600</v>
      </c>
      <c r="C96" s="5">
        <v>1</v>
      </c>
      <c r="D96" s="5" t="s">
        <v>187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188</v>
      </c>
      <c r="M96" s="5" t="s">
        <v>189</v>
      </c>
      <c r="N96" s="46">
        <v>6</v>
      </c>
      <c r="O96" s="46">
        <v>6</v>
      </c>
      <c r="Q96" s="19"/>
    </row>
    <row r="97" s="5" customFormat="1" ht="16.5" spans="1:17">
      <c r="A97" s="5" t="str">
        <f>B97&amp;C97</f>
        <v>1016002</v>
      </c>
      <c r="B97" s="5">
        <v>101600</v>
      </c>
      <c r="C97" s="5">
        <v>2</v>
      </c>
      <c r="D97" s="5" t="s">
        <v>187</v>
      </c>
      <c r="E97" s="5" t="s">
        <v>131</v>
      </c>
      <c r="F97" s="5">
        <v>1</v>
      </c>
      <c r="G97" s="5" t="s">
        <v>23</v>
      </c>
      <c r="H97" s="5">
        <v>2016001</v>
      </c>
      <c r="I97" s="5" t="s">
        <v>24</v>
      </c>
      <c r="L97" s="60">
        <v>10160002</v>
      </c>
      <c r="M97" s="5" t="s">
        <v>190</v>
      </c>
      <c r="N97" s="46">
        <v>6</v>
      </c>
      <c r="O97" s="46">
        <v>6</v>
      </c>
      <c r="Q97" s="19"/>
    </row>
    <row r="98" s="5" customFormat="1" ht="16.5" spans="1:17">
      <c r="A98" s="5" t="str">
        <f>B98&amp;C98</f>
        <v>1016003</v>
      </c>
      <c r="B98" s="5">
        <v>101600</v>
      </c>
      <c r="C98" s="5">
        <v>3</v>
      </c>
      <c r="D98" s="5" t="s">
        <v>187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J98" s="5"/>
      <c r="L98" s="5" t="s">
        <v>191</v>
      </c>
      <c r="M98" s="5" t="s">
        <v>192</v>
      </c>
      <c r="N98" s="46">
        <v>6</v>
      </c>
      <c r="O98" s="46">
        <v>6</v>
      </c>
      <c r="Q98" s="19"/>
    </row>
    <row r="99" s="5" customFormat="1" ht="16.5" spans="1:17">
      <c r="N99" s="46"/>
      <c r="O99" s="46"/>
      <c r="Q99" s="19"/>
    </row>
    <row r="100" s="5" customFormat="1" ht="16.5" spans="1:17">
      <c r="N100" s="46"/>
      <c r="O100" s="46"/>
      <c r="Q100" s="19"/>
    </row>
    <row r="101" s="5" customFormat="1" ht="16.5" spans="1:17">
      <c r="N101" s="46"/>
      <c r="O101" s="46"/>
      <c r="Q101" s="19"/>
    </row>
    <row r="102" s="5" customFormat="1" ht="16.5" spans="1:17">
      <c r="N102" s="46"/>
      <c r="O102" s="46"/>
      <c r="Q102" s="19"/>
    </row>
    <row r="103" s="5" customFormat="1" ht="16.5" spans="1:17">
      <c r="N103" s="46"/>
      <c r="O103" s="46"/>
      <c r="Q103" s="19"/>
    </row>
    <row r="104" s="5" customFormat="1" ht="16.5" spans="1:17">
      <c r="N104" s="46"/>
      <c r="O104" s="46"/>
      <c r="Q104" s="19"/>
    </row>
    <row r="105" s="5" customFormat="1" ht="16.5" spans="1:17">
      <c r="N105" s="46"/>
      <c r="O105" s="46"/>
      <c r="Q105" s="19"/>
    </row>
    <row r="106" s="5" customFormat="1" ht="16.5" spans="1:17">
      <c r="N106" s="46"/>
      <c r="O106" s="46"/>
      <c r="Q106" s="19"/>
    </row>
    <row r="107" s="5" customFormat="1" ht="16.5" spans="1:17">
      <c r="N107" s="46"/>
      <c r="O107" s="46"/>
      <c r="Q107" s="19"/>
    </row>
    <row r="108" s="5" customFormat="1" ht="16.5" spans="1:17">
      <c r="N108" s="46"/>
      <c r="O108" s="46"/>
      <c r="Q108" s="19"/>
    </row>
    <row r="109" s="5" customFormat="1" ht="16.5" spans="1:17">
      <c r="N109" s="46"/>
      <c r="O109" s="46"/>
      <c r="Q109" s="19"/>
    </row>
    <row r="110" s="5" customFormat="1" ht="16.5" spans="1:17">
      <c r="N110" s="46"/>
      <c r="O110" s="46"/>
      <c r="Q110" s="19"/>
    </row>
    <row r="111" s="5" customFormat="1" ht="16.5" spans="1:17">
      <c r="N111" s="46"/>
      <c r="O111" s="46"/>
      <c r="Q111" s="19"/>
    </row>
    <row r="112" s="5" customFormat="1" ht="16.5" spans="1:17">
      <c r="N112" s="46"/>
      <c r="O112" s="46"/>
      <c r="Q112" s="1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2026-02-05T09:54:55Z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