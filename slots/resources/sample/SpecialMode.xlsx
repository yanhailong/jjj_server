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<sst xmlns="http://schemas.openxmlformats.org/spreadsheetml/2006/main" count="435" uniqueCount="161">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</sst>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0"/>
  <sheetViews>
    <sheetView tabSelected="1" zoomScale="85" zoomScaleNormal="85" topLeftCell="A49" workbookViewId="0">
      <selection activeCell="B83" sqref="B83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7"/>
      <c r="M53" s="5"/>
      <c r="N53" s="46">
        <v>3</v>
      </c>
      <c r="O53" s="46">
        <v>3</v>
      </c>
      <c r="Q53" s="9"/>
    </row>
    <row r="54" customFormat="1" ht="16.5" spans="1:17">
      <c r="A54" s="5" t="str">
        <f t="shared" ref="A54:A77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7" t="s">
        <v>112</v>
      </c>
      <c r="M54" s="5" t="s">
        <v>113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7" t="s">
        <v>115</v>
      </c>
      <c r="M55" s="5" t="s">
        <v>116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7" t="s">
        <v>117</v>
      </c>
      <c r="M56" s="5" t="s">
        <v>118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7" t="s">
        <v>120</v>
      </c>
      <c r="M57" s="5" t="s">
        <v>113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7" t="s">
        <v>121</v>
      </c>
      <c r="M58" s="5" t="s">
        <v>116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7" t="s">
        <v>122</v>
      </c>
      <c r="M59" s="5" t="s">
        <v>118</v>
      </c>
      <c r="N59" s="46">
        <v>4</v>
      </c>
      <c r="O59" s="46">
        <v>3</v>
      </c>
      <c r="Q59" s="9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7" t="s">
        <v>124</v>
      </c>
      <c r="M60" s="5" t="s">
        <v>125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7">
        <v>10360004</v>
      </c>
      <c r="M61" s="5" t="s">
        <v>116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7">
        <v>10360002</v>
      </c>
      <c r="M62" s="5" t="s">
        <v>127</v>
      </c>
      <c r="N62" s="46">
        <v>3</v>
      </c>
      <c r="O62" s="46">
        <v>3</v>
      </c>
      <c r="Q62" s="9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128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7" t="s">
        <v>129</v>
      </c>
      <c r="M63" s="5" t="s">
        <v>130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128</v>
      </c>
      <c r="E64" s="5" t="s">
        <v>131</v>
      </c>
      <c r="F64" s="5">
        <v>1</v>
      </c>
      <c r="G64" s="5" t="s">
        <v>23</v>
      </c>
      <c r="H64" s="5">
        <v>2028001</v>
      </c>
      <c r="I64" s="5" t="s">
        <v>24</v>
      </c>
      <c r="L64" s="47">
        <v>10280002</v>
      </c>
      <c r="M64" s="5" t="s">
        <v>102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128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7" t="s">
        <v>132</v>
      </c>
      <c r="M65" s="5" t="s">
        <v>83</v>
      </c>
      <c r="N65" s="46">
        <v>5</v>
      </c>
      <c r="O65" s="46">
        <v>6</v>
      </c>
      <c r="Q65" s="9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133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7">
        <v>10340007</v>
      </c>
      <c r="M66" s="5" t="s">
        <v>108</v>
      </c>
      <c r="N66" s="46">
        <v>3</v>
      </c>
      <c r="O66" s="46">
        <v>3</v>
      </c>
      <c r="Q66" s="9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133</v>
      </c>
      <c r="E67" s="5" t="s">
        <v>134</v>
      </c>
      <c r="F67" s="5">
        <v>1</v>
      </c>
      <c r="G67" s="5" t="s">
        <v>23</v>
      </c>
      <c r="H67" s="5">
        <v>2034011</v>
      </c>
      <c r="I67" s="5" t="s">
        <v>24</v>
      </c>
      <c r="L67" s="47"/>
      <c r="M67" s="5"/>
      <c r="N67" s="46">
        <v>3</v>
      </c>
      <c r="O67" s="46">
        <v>3</v>
      </c>
      <c r="P67" s="51"/>
      <c r="Q67" s="9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133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7"/>
      <c r="M68" s="5"/>
      <c r="N68" s="46">
        <v>4</v>
      </c>
      <c r="O68" s="46">
        <v>4</v>
      </c>
      <c r="Q68" s="52"/>
    </row>
    <row r="69" s="6" customFormat="1" ht="16.5" spans="1:17">
      <c r="A69" s="53" t="str">
        <f t="shared" si="3"/>
        <v>1020001</v>
      </c>
      <c r="B69" s="53">
        <v>102000</v>
      </c>
      <c r="C69" s="53">
        <v>1</v>
      </c>
      <c r="D69" s="53" t="s">
        <v>135</v>
      </c>
      <c r="E69" s="53" t="s">
        <v>22</v>
      </c>
      <c r="F69" s="53">
        <v>1</v>
      </c>
      <c r="G69" s="53" t="s">
        <v>23</v>
      </c>
      <c r="H69" s="53">
        <v>2020001</v>
      </c>
      <c r="I69" s="53" t="s">
        <v>24</v>
      </c>
      <c r="L69" s="54" t="s">
        <v>136</v>
      </c>
      <c r="M69" s="53" t="s">
        <v>137</v>
      </c>
      <c r="N69" s="55">
        <v>5</v>
      </c>
      <c r="O69" s="55">
        <v>5</v>
      </c>
      <c r="Q69" s="52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135</v>
      </c>
      <c r="E70" s="5" t="s">
        <v>131</v>
      </c>
      <c r="F70" s="5">
        <v>1</v>
      </c>
      <c r="G70" s="5" t="s">
        <v>23</v>
      </c>
      <c r="H70" s="5">
        <v>2020001</v>
      </c>
      <c r="I70" s="5" t="s">
        <v>24</v>
      </c>
      <c r="L70" s="47" t="s">
        <v>138</v>
      </c>
      <c r="M70" s="5" t="s">
        <v>139</v>
      </c>
      <c r="N70" s="46">
        <v>5</v>
      </c>
      <c r="O70" s="46">
        <v>5</v>
      </c>
      <c r="Q70" s="9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135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7" t="s">
        <v>140</v>
      </c>
      <c r="M71" s="5" t="s">
        <v>141</v>
      </c>
      <c r="N71" s="46">
        <v>5</v>
      </c>
      <c r="O71" s="46">
        <v>5</v>
      </c>
      <c r="Q71" s="9"/>
    </row>
    <row r="72" s="7" customFormat="1" ht="16.5" spans="1:17">
      <c r="A72" s="56" t="str">
        <f t="shared" si="3"/>
        <v>1020004</v>
      </c>
      <c r="B72" s="56">
        <v>102000</v>
      </c>
      <c r="C72" s="56">
        <v>4</v>
      </c>
      <c r="D72" s="56" t="s">
        <v>135</v>
      </c>
      <c r="E72" s="56" t="s">
        <v>142</v>
      </c>
      <c r="F72" s="56">
        <v>1</v>
      </c>
      <c r="G72" s="56" t="s">
        <v>23</v>
      </c>
      <c r="H72" s="56">
        <v>2020002</v>
      </c>
      <c r="I72" s="56" t="s">
        <v>24</v>
      </c>
      <c r="L72" s="57">
        <v>10200016</v>
      </c>
      <c r="M72" s="56" t="s">
        <v>143</v>
      </c>
      <c r="N72" s="58">
        <v>5</v>
      </c>
      <c r="O72" s="58">
        <v>5</v>
      </c>
      <c r="Q72" s="59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135</v>
      </c>
      <c r="E73" s="5" t="s">
        <v>144</v>
      </c>
      <c r="F73" s="5">
        <v>1</v>
      </c>
      <c r="G73" s="5" t="s">
        <v>23</v>
      </c>
      <c r="H73" s="5">
        <v>2020003</v>
      </c>
      <c r="I73" s="5" t="s">
        <v>24</v>
      </c>
      <c r="L73" s="47">
        <v>10200021</v>
      </c>
      <c r="M73" s="5" t="s">
        <v>145</v>
      </c>
      <c r="N73" s="46">
        <v>5</v>
      </c>
      <c r="O73" s="46">
        <v>5</v>
      </c>
      <c r="Q73" s="9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146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147</v>
      </c>
      <c r="L74" s="47"/>
      <c r="M74" s="5" t="s">
        <v>148</v>
      </c>
      <c r="N74" s="46">
        <v>3</v>
      </c>
      <c r="O74" s="46">
        <v>5</v>
      </c>
      <c r="Q74" s="9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146</v>
      </c>
      <c r="E75" s="5" t="s">
        <v>131</v>
      </c>
      <c r="F75" s="5">
        <v>1</v>
      </c>
      <c r="G75" s="5" t="s">
        <v>23</v>
      </c>
      <c r="H75" s="5">
        <v>2038001</v>
      </c>
      <c r="I75" s="5" t="s">
        <v>24</v>
      </c>
      <c r="L75" s="47">
        <v>10380002</v>
      </c>
      <c r="M75" s="5" t="s">
        <v>149</v>
      </c>
      <c r="N75" s="46">
        <v>3</v>
      </c>
      <c r="O75" s="46">
        <v>5</v>
      </c>
      <c r="Q75" s="9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146</v>
      </c>
      <c r="E76" s="5" t="s">
        <v>150</v>
      </c>
      <c r="F76" s="5">
        <v>1</v>
      </c>
      <c r="G76" s="5" t="s">
        <v>23</v>
      </c>
      <c r="H76" s="5">
        <v>2038001</v>
      </c>
      <c r="I76" s="5" t="s">
        <v>24</v>
      </c>
      <c r="L76" s="47" t="s">
        <v>151</v>
      </c>
      <c r="M76" s="5" t="s">
        <v>152</v>
      </c>
      <c r="N76" s="46">
        <v>3</v>
      </c>
      <c r="O76" s="46">
        <v>5</v>
      </c>
      <c r="Q76" s="9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146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7" t="s">
        <v>153</v>
      </c>
      <c r="M77" s="5" t="s">
        <v>154</v>
      </c>
      <c r="N77" s="46">
        <v>3</v>
      </c>
      <c r="O77" s="46">
        <v>5</v>
      </c>
      <c r="Q77" s="9"/>
    </row>
    <row r="78" customFormat="1" ht="16.5" spans="1:17">
      <c r="A78" s="5" t="str">
        <f>B78&amp;C78</f>
        <v>1027001</v>
      </c>
      <c r="B78" s="5">
        <v>102700</v>
      </c>
      <c r="C78" s="5">
        <v>1</v>
      </c>
      <c r="D78" s="5" t="s">
        <v>155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7" t="s">
        <v>156</v>
      </c>
      <c r="M78" s="5" t="s">
        <v>157</v>
      </c>
      <c r="N78" s="46">
        <v>3</v>
      </c>
      <c r="O78" s="46">
        <v>5</v>
      </c>
      <c r="Q78" s="9"/>
    </row>
    <row r="79" customFormat="1" ht="16.5" spans="1:17">
      <c r="A79" s="5" t="str">
        <f>B79&amp;C79</f>
        <v>1027002</v>
      </c>
      <c r="B79" s="5">
        <v>102700</v>
      </c>
      <c r="C79" s="5">
        <v>2</v>
      </c>
      <c r="D79" s="5" t="s">
        <v>155</v>
      </c>
      <c r="E79" s="5" t="s">
        <v>131</v>
      </c>
      <c r="F79" s="5">
        <v>1</v>
      </c>
      <c r="G79" s="5" t="s">
        <v>23</v>
      </c>
      <c r="H79" s="5">
        <v>2027001</v>
      </c>
      <c r="I79" s="5" t="s">
        <v>24</v>
      </c>
      <c r="L79" s="47">
        <v>10270003</v>
      </c>
      <c r="M79" s="5" t="s">
        <v>158</v>
      </c>
      <c r="N79" s="46">
        <v>3</v>
      </c>
      <c r="O79" s="46">
        <v>5</v>
      </c>
      <c r="Q79" s="9"/>
    </row>
    <row r="80" customFormat="1" ht="16.5" spans="1:17">
      <c r="A80" s="5" t="str">
        <f>B80&amp;C80</f>
        <v>1027003</v>
      </c>
      <c r="B80" s="5">
        <v>102700</v>
      </c>
      <c r="C80" s="5">
        <v>3</v>
      </c>
      <c r="D80" s="5" t="s">
        <v>155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7" t="s">
        <v>159</v>
      </c>
      <c r="M80" s="5" t="s">
        <v>160</v>
      </c>
      <c r="N80" s="46">
        <v>3</v>
      </c>
      <c r="O80" s="46">
        <v>5</v>
      </c>
      <c r="Q80" s="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2026-01-27T13:11:12Z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