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<sst xmlns="http://schemas.openxmlformats.org/spreadsheetml/2006/main" count="576" uniqueCount="209">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</sst>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2"/>
  <sheetViews>
    <sheetView tabSelected="1" zoomScale="85" zoomScaleNormal="85" topLeftCell="A70" workbookViewId="0">
      <selection activeCell="K87" sqref="K87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 t="s">
        <v>162</v>
      </c>
      <c r="M81" s="5" t="s">
        <v>163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164</v>
      </c>
      <c r="F82" s="5">
        <v>1</v>
      </c>
      <c r="G82" s="5" t="s">
        <v>23</v>
      </c>
      <c r="H82" s="5">
        <v>2037002</v>
      </c>
      <c r="I82" s="5" t="s">
        <v>24</v>
      </c>
      <c r="L82" s="47" t="s">
        <v>165</v>
      </c>
      <c r="M82" s="5" t="s">
        <v>163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>
        <v>10370003</v>
      </c>
      <c r="M83" s="5" t="s">
        <v>166</v>
      </c>
      <c r="N83" s="46">
        <v>4</v>
      </c>
      <c r="O83" s="46">
        <v>3</v>
      </c>
      <c r="Q83" s="9"/>
    </row>
    <row r="84" customFormat="1" ht="16.5" spans="1:17">
      <c r="A84" s="5" t="str">
        <f t="shared" ref="A84:A105" si="4">B84&amp;C84</f>
        <v>1031001</v>
      </c>
      <c r="B84" s="5">
        <v>103100</v>
      </c>
      <c r="C84" s="5">
        <v>1</v>
      </c>
      <c r="D84" s="5" t="s">
        <v>167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168</v>
      </c>
      <c r="M84" s="5" t="s">
        <v>169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167</v>
      </c>
      <c r="E85" s="5" t="s">
        <v>131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170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167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171</v>
      </c>
      <c r="M86" s="5" t="s">
        <v>172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167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173</v>
      </c>
      <c r="M87" s="5" t="s">
        <v>174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167</v>
      </c>
      <c r="E88" s="5" t="s">
        <v>175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176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167</v>
      </c>
      <c r="E89" s="5" t="s">
        <v>177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178</v>
      </c>
      <c r="M89" s="5" t="s">
        <v>179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180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181</v>
      </c>
      <c r="M90" s="5" t="s">
        <v>182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180</v>
      </c>
      <c r="E91" s="5" t="s">
        <v>131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183</v>
      </c>
      <c r="M91" s="5" t="s">
        <v>184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180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185</v>
      </c>
      <c r="M92" s="5" t="s">
        <v>186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187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188</v>
      </c>
      <c r="M93" s="5" t="s">
        <v>157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187</v>
      </c>
      <c r="E94" s="5" t="s">
        <v>131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158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187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189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 t="shared" si="4"/>
        <v>1016001</v>
      </c>
      <c r="B96" s="5">
        <v>101600</v>
      </c>
      <c r="C96" s="5">
        <v>1</v>
      </c>
      <c r="D96" s="5" t="s">
        <v>190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191</v>
      </c>
      <c r="M96" s="5" t="s">
        <v>192</v>
      </c>
      <c r="N96" s="46">
        <v>6</v>
      </c>
      <c r="O96" s="46">
        <v>6</v>
      </c>
      <c r="Q96" s="19"/>
    </row>
    <row r="97" s="5" customFormat="1" ht="16.5" spans="1:17">
      <c r="A97" s="5" t="str">
        <f t="shared" si="4"/>
        <v>1016002</v>
      </c>
      <c r="B97" s="5">
        <v>101600</v>
      </c>
      <c r="C97" s="5">
        <v>2</v>
      </c>
      <c r="D97" s="5" t="s">
        <v>190</v>
      </c>
      <c r="E97" s="5" t="s">
        <v>131</v>
      </c>
      <c r="F97" s="5">
        <v>1</v>
      </c>
      <c r="G97" s="5" t="s">
        <v>23</v>
      </c>
      <c r="H97" s="5">
        <v>2016001</v>
      </c>
      <c r="I97" s="5" t="s">
        <v>24</v>
      </c>
      <c r="L97" s="47">
        <v>10160002</v>
      </c>
      <c r="M97" s="5" t="s">
        <v>193</v>
      </c>
      <c r="N97" s="46">
        <v>6</v>
      </c>
      <c r="O97" s="46">
        <v>6</v>
      </c>
      <c r="Q97" s="19"/>
    </row>
    <row r="98" s="5" customFormat="1" ht="16.5" spans="1:17">
      <c r="A98" s="5" t="str">
        <f t="shared" si="4"/>
        <v>1016003</v>
      </c>
      <c r="B98" s="5">
        <v>101600</v>
      </c>
      <c r="C98" s="5">
        <v>3</v>
      </c>
      <c r="D98" s="5" t="s">
        <v>190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194</v>
      </c>
      <c r="M98" s="5" t="s">
        <v>195</v>
      </c>
      <c r="N98" s="46">
        <v>6</v>
      </c>
      <c r="O98" s="46">
        <v>6</v>
      </c>
      <c r="Q98" s="19"/>
    </row>
    <row r="99" s="5" customFormat="1" ht="16.5" spans="1:17">
      <c r="A99" s="5" t="str">
        <f t="shared" si="4"/>
        <v>1015001</v>
      </c>
      <c r="B99" s="5">
        <v>101500</v>
      </c>
      <c r="C99" s="5">
        <v>1</v>
      </c>
      <c r="D99" s="5" t="s">
        <v>196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197</v>
      </c>
      <c r="M99" s="5" t="s">
        <v>198</v>
      </c>
      <c r="N99" s="46">
        <v>3</v>
      </c>
      <c r="O99" s="46">
        <v>5</v>
      </c>
      <c r="Q99" s="19"/>
    </row>
    <row r="100" s="5" customFormat="1" ht="16.5" spans="1:17">
      <c r="A100" s="5" t="str">
        <f t="shared" si="4"/>
        <v>1015002</v>
      </c>
      <c r="B100" s="5">
        <v>101500</v>
      </c>
      <c r="C100" s="5">
        <v>2</v>
      </c>
      <c r="D100" s="5" t="s">
        <v>196</v>
      </c>
      <c r="E100" s="5" t="s">
        <v>199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200</v>
      </c>
      <c r="M100" s="5" t="s">
        <v>108</v>
      </c>
      <c r="N100" s="46">
        <v>3</v>
      </c>
      <c r="O100" s="46">
        <v>5</v>
      </c>
      <c r="Q100" s="19"/>
    </row>
    <row r="101" s="5" customFormat="1" ht="16.5" spans="1:17">
      <c r="A101" s="5" t="str">
        <f t="shared" si="4"/>
        <v>1015003</v>
      </c>
      <c r="B101" s="5">
        <v>101500</v>
      </c>
      <c r="C101" s="5">
        <v>3</v>
      </c>
      <c r="D101" s="5" t="s">
        <v>196</v>
      </c>
      <c r="E101" s="5" t="s">
        <v>131</v>
      </c>
      <c r="F101" s="5">
        <v>1</v>
      </c>
      <c r="G101" s="5" t="s">
        <v>23</v>
      </c>
      <c r="H101" s="5">
        <v>2015001</v>
      </c>
      <c r="I101" s="5" t="s">
        <v>24</v>
      </c>
      <c r="L101" s="47">
        <v>10150002</v>
      </c>
      <c r="M101" s="5" t="s">
        <v>88</v>
      </c>
      <c r="N101" s="46">
        <v>3</v>
      </c>
      <c r="O101" s="46">
        <v>5</v>
      </c>
      <c r="Q101" s="19"/>
    </row>
    <row r="102" s="5" customFormat="1" ht="16.5" spans="1:17">
      <c r="A102" s="5" t="str">
        <f t="shared" si="4"/>
        <v>1015004</v>
      </c>
      <c r="B102" s="5">
        <v>101500</v>
      </c>
      <c r="C102" s="5">
        <v>4</v>
      </c>
      <c r="D102" s="5" t="s">
        <v>196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201</v>
      </c>
      <c r="M102" s="5" t="s">
        <v>202</v>
      </c>
      <c r="N102" s="46">
        <v>3</v>
      </c>
      <c r="O102" s="46">
        <v>5</v>
      </c>
      <c r="Q102" s="19"/>
    </row>
    <row r="103" s="5" customFormat="1" ht="16.5" spans="1:17">
      <c r="A103" s="5" t="str">
        <f t="shared" si="4"/>
        <v>1015005</v>
      </c>
      <c r="B103" s="5">
        <v>101500</v>
      </c>
      <c r="C103" s="5">
        <v>5</v>
      </c>
      <c r="D103" s="5" t="s">
        <v>196</v>
      </c>
      <c r="E103" s="5" t="s">
        <v>203</v>
      </c>
      <c r="F103" s="5">
        <v>1</v>
      </c>
      <c r="G103" s="5" t="s">
        <v>23</v>
      </c>
      <c r="H103" s="5">
        <v>2015002</v>
      </c>
      <c r="I103" s="5" t="s">
        <v>24</v>
      </c>
      <c r="L103" s="47">
        <v>10150005</v>
      </c>
      <c r="M103" s="5" t="s">
        <v>204</v>
      </c>
      <c r="N103" s="46">
        <v>3</v>
      </c>
      <c r="O103" s="46">
        <v>5</v>
      </c>
      <c r="Q103" s="19"/>
    </row>
    <row r="104" s="5" customFormat="1" ht="16.5" spans="1:17">
      <c r="A104" s="5" t="str">
        <f t="shared" si="4"/>
        <v>1015006</v>
      </c>
      <c r="B104" s="5">
        <v>101500</v>
      </c>
      <c r="C104" s="5">
        <v>6</v>
      </c>
      <c r="D104" s="5" t="s">
        <v>196</v>
      </c>
      <c r="E104" s="5" t="s">
        <v>205</v>
      </c>
      <c r="F104" s="5">
        <v>1</v>
      </c>
      <c r="G104" s="5" t="s">
        <v>23</v>
      </c>
      <c r="H104" s="5">
        <v>2015001</v>
      </c>
      <c r="I104" s="5" t="s">
        <v>24</v>
      </c>
      <c r="L104" s="47">
        <v>10150006</v>
      </c>
      <c r="M104" s="5" t="s">
        <v>206</v>
      </c>
      <c r="N104" s="46">
        <v>3</v>
      </c>
      <c r="O104" s="46">
        <v>5</v>
      </c>
      <c r="Q104" s="19"/>
    </row>
    <row r="105" s="5" customFormat="1" ht="16.5" spans="1:17">
      <c r="A105" s="5" t="str">
        <f t="shared" si="4"/>
        <v>1015007</v>
      </c>
      <c r="B105" s="5">
        <v>101500</v>
      </c>
      <c r="C105" s="5">
        <v>7</v>
      </c>
      <c r="D105" s="5" t="s">
        <v>196</v>
      </c>
      <c r="E105" s="5" t="s">
        <v>207</v>
      </c>
      <c r="F105" s="5">
        <v>1</v>
      </c>
      <c r="G105" s="5" t="s">
        <v>23</v>
      </c>
      <c r="H105" s="5">
        <v>2015001</v>
      </c>
      <c r="I105" s="5" t="s">
        <v>24</v>
      </c>
      <c r="L105" s="47">
        <v>10150007</v>
      </c>
      <c r="M105" s="5" t="s">
        <v>208</v>
      </c>
      <c r="N105" s="46">
        <v>3</v>
      </c>
      <c r="O105" s="46">
        <v>5</v>
      </c>
      <c r="Q105" s="19"/>
    </row>
    <row r="106" s="5" customFormat="1" ht="16.5" spans="1:17">
      <c r="N106" s="46"/>
      <c r="O106" s="46"/>
      <c r="Q106" s="19"/>
    </row>
    <row r="107" s="5" customFormat="1" ht="16.5" spans="1:17">
      <c r="N107" s="46"/>
      <c r="O107" s="46"/>
      <c r="Q107" s="19"/>
    </row>
    <row r="108" s="5" customFormat="1" ht="16.5" spans="1:17">
      <c r="N108" s="46"/>
      <c r="O108" s="46"/>
      <c r="Q108" s="19"/>
    </row>
    <row r="109" s="5" customFormat="1" ht="16.5" spans="1:17">
      <c r="N109" s="46"/>
      <c r="O109" s="46"/>
      <c r="Q109" s="19"/>
    </row>
    <row r="110" s="5" customFormat="1" ht="16.5" spans="1:17">
      <c r="N110" s="46"/>
      <c r="O110" s="46"/>
      <c r="Q110" s="19"/>
    </row>
    <row r="111" s="5" customFormat="1" ht="16.5" spans="1:17">
      <c r="N111" s="46"/>
      <c r="O111" s="46"/>
      <c r="Q111" s="19"/>
    </row>
    <row r="112" s="5" customFormat="1" ht="16.5" spans="1:17">
      <c r="N112" s="46"/>
      <c r="O112" s="46"/>
      <c r="Q112" s="1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2026-02-10T08:50:35Z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