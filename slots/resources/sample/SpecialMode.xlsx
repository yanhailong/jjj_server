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pecialM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/>
  </authors>
  <commentLis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修改ID_抽取权重|修改ID_抽取权重|……</t>
        </r>
      </text>
    </comment>
    <comment ref="N1" authorId="1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游戏由多少行组成</t>
        </r>
      </text>
    </comment>
    <comment ref="O1" authorId="1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游戏由多少列组成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权重类的格式相同用此格式</t>
        </r>
      </text>
    </comment>
  </commentList>
</comments>
</file>

<file path=xl/sharedStrings.xml><?xml version="1.0" encoding="utf-8"?>
<sst xmlns="http://schemas.openxmlformats.org/spreadsheetml/2006/main" count="863" uniqueCount="299">
  <si>
    <t>id</t>
  </si>
  <si>
    <t>游戏ID</t>
  </si>
  <si>
    <t>游戏模式</t>
  </si>
  <si>
    <t>执行次数</t>
  </si>
  <si>
    <t>此次玩法使用得滚轴组ID</t>
  </si>
  <si>
    <t>修改图案策略组，多个修改中按概率抽取1个修改</t>
  </si>
  <si>
    <t>修改图案策略</t>
  </si>
  <si>
    <t>描述</t>
  </si>
  <si>
    <t>初始行数</t>
  </si>
  <si>
    <t>初始列数</t>
  </si>
  <si>
    <t>int</t>
  </si>
  <si>
    <t>Map&lt;int{_}int&gt;{|}</t>
  </si>
  <si>
    <t>List&lt;int&gt;{|}</t>
  </si>
  <si>
    <t>gameType</t>
  </si>
  <si>
    <t>type</t>
  </si>
  <si>
    <t>triggerCount</t>
  </si>
  <si>
    <t>rollerMode</t>
  </si>
  <si>
    <t>specialGroupGirdID</t>
  </si>
  <si>
    <t>specialGirdID</t>
  </si>
  <si>
    <t>rows</t>
  </si>
  <si>
    <t>cols</t>
  </si>
  <si>
    <t>金矿大亨</t>
  </si>
  <si>
    <t>常规旋转</t>
  </si>
  <si>
    <t>抽奖</t>
  </si>
  <si>
    <t>使用基础滚轴</t>
  </si>
  <si>
    <t>10010011|10010012</t>
  </si>
  <si>
    <t>需要改出美金</t>
  </si>
  <si>
    <t>拉火车模式-触发局</t>
  </si>
  <si>
    <t>10010021|10010022|10010023|10010024|10010025|10010026</t>
  </si>
  <si>
    <t>需要改出美元、火车和保险箱</t>
  </si>
  <si>
    <t>黄金列车模式-触发局</t>
  </si>
  <si>
    <t>10010031|10010032</t>
  </si>
  <si>
    <t>需要改出特殊美金和金火车</t>
  </si>
  <si>
    <t>all board(二选一触发局)</t>
  </si>
  <si>
    <t>需要改出免费图标</t>
  </si>
  <si>
    <t>保险箱-触发局</t>
  </si>
  <si>
    <t>10010051|10010052</t>
  </si>
  <si>
    <t>需要改出特殊美金和保险箱</t>
  </si>
  <si>
    <t>免费模式-触发局|结果库用，实际不会出现</t>
  </si>
  <si>
    <t>改出隐藏免费图案</t>
  </si>
  <si>
    <t>免费模式 - 拉火车模式-触发局</t>
  </si>
  <si>
    <t>10010071|10010072|10010073|10010074|10010075|10010076</t>
  </si>
  <si>
    <t>超级明星</t>
  </si>
  <si>
    <t>改出不在中奖线的樱桃</t>
  </si>
  <si>
    <t>樱桃出现</t>
  </si>
  <si>
    <t>10030021|10030022</t>
  </si>
  <si>
    <t>改出樱桃，必中奖</t>
  </si>
  <si>
    <t>幸运星模式_出倍率&amp;jackpot</t>
  </si>
  <si>
    <t>10030041_20|10030042_10|10030043_5|10030044_2|10030045_1</t>
  </si>
  <si>
    <t>前两列必然中奖</t>
  </si>
  <si>
    <t>10030031|10030050</t>
  </si>
  <si>
    <t>最后一列改出百搭和jackpot</t>
  </si>
  <si>
    <t>麻将胡了</t>
  </si>
  <si>
    <t>10070011|10070012|10070031|10070032|10070033|10070034|10070035|10070036|10070037|10070038</t>
  </si>
  <si>
    <t>概率出免费|概率出黄金图标</t>
  </si>
  <si>
    <t>免费旋转-触发局</t>
  </si>
  <si>
    <t>10070021|10070022|10070023|10070024</t>
  </si>
  <si>
    <t>财神</t>
  </si>
  <si>
    <t>概率出大财神</t>
  </si>
  <si>
    <t>大财神5个-jackpot</t>
  </si>
  <si>
    <t>必出5个大财神</t>
  </si>
  <si>
    <t>财神到-变wild</t>
  </si>
  <si>
    <t>10120031_1|10120032_1|10120033_1|10120034_1|10120035_1|10120036_1</t>
  </si>
  <si>
    <t>多个财神中抽一个修改</t>
  </si>
  <si>
    <t>该处正财神&amp;横财神</t>
  </si>
  <si>
    <t>埃及艳后</t>
  </si>
  <si>
    <t>10140001|10140022|10140023</t>
  </si>
  <si>
    <t>百搭</t>
  </si>
  <si>
    <t>10140011|10140022|10140023</t>
  </si>
  <si>
    <t>高概率百搭</t>
  </si>
  <si>
    <t>5个-jackpot</t>
  </si>
  <si>
    <t>jackpot</t>
  </si>
  <si>
    <t>财富银行</t>
  </si>
  <si>
    <t>10240011|10240012</t>
  </si>
  <si>
    <t>10240021|10240022|10240023|10240024|10240025|10240026</t>
  </si>
  <si>
    <t>10240031|10240032</t>
  </si>
  <si>
    <t>10240051|10240052</t>
  </si>
  <si>
    <t>10240071|10240072|10240073|10240074|10240075|10240076</t>
  </si>
  <si>
    <t>圣诞狂欢夜</t>
  </si>
  <si>
    <t>10170011|10170012|10170031|10170032|10170033|10170034|10170035|10170036|10170037|10170038</t>
  </si>
  <si>
    <t>10170021|10170022|10170023|10170024</t>
  </si>
  <si>
    <t>JACKPOT大奖</t>
  </si>
  <si>
    <t>10170039|10170040</t>
  </si>
  <si>
    <t>改出2个SCATTER+JACKPOT</t>
  </si>
  <si>
    <t>雷神</t>
  </si>
  <si>
    <t>10220030|10220001</t>
  </si>
  <si>
    <t>概率改出2个SCATTER、概率改出wild</t>
  </si>
  <si>
    <t>免费</t>
  </si>
  <si>
    <t>改出3个SCATTER</t>
  </si>
  <si>
    <t>10220031|10220032</t>
  </si>
  <si>
    <t>火焰免费</t>
  </si>
  <si>
    <t>冰冻免费</t>
  </si>
  <si>
    <t>杰克船长</t>
  </si>
  <si>
    <t>10210051|10210021</t>
  </si>
  <si>
    <t>小游戏</t>
  </si>
  <si>
    <t>改出3个bonus</t>
  </si>
  <si>
    <t>10210001|10210011</t>
  </si>
  <si>
    <t>篮球巨星</t>
  </si>
  <si>
    <t>10180002|10180021</t>
  </si>
  <si>
    <t>10180001|10180011</t>
  </si>
  <si>
    <t>寒冰王座</t>
  </si>
  <si>
    <t>10250001|10250021</t>
  </si>
  <si>
    <t>改出3个以上SCATTER</t>
  </si>
  <si>
    <t>10250002|10250011</t>
  </si>
  <si>
    <t>蒸汽时代</t>
  </si>
  <si>
    <t>10230001|10230021</t>
  </si>
  <si>
    <t>10230002|10230011</t>
  </si>
  <si>
    <t>神马飞扬</t>
  </si>
  <si>
    <t>概率改出wild</t>
  </si>
  <si>
    <t>福马模式</t>
  </si>
  <si>
    <t>金蛇招财</t>
  </si>
  <si>
    <t>常规模式</t>
  </si>
  <si>
    <t>10350003|10350014|10350001</t>
  </si>
  <si>
    <t>改出奖金符号</t>
  </si>
  <si>
    <t>金钱兔模式-触发</t>
  </si>
  <si>
    <t>10350014|10350013</t>
  </si>
  <si>
    <t>改出隐藏符号</t>
  </si>
  <si>
    <t>10350014|10350012</t>
  </si>
  <si>
    <t>改出奖池符号</t>
  </si>
  <si>
    <t>金钱兔</t>
  </si>
  <si>
    <t>10350103|10350114|10350101</t>
  </si>
  <si>
    <t>10350114|10350113</t>
  </si>
  <si>
    <t>10350114|10350112</t>
  </si>
  <si>
    <t>鼠鼠福福</t>
  </si>
  <si>
    <t>10360001|10360003</t>
  </si>
  <si>
    <t>概率改出wild符号+概率出现Jackpot符号</t>
  </si>
  <si>
    <t>福鼠模式-触发</t>
  </si>
  <si>
    <t>第二轴改出三个9符号</t>
  </si>
  <si>
    <t>必出现3个Jackpot符号</t>
  </si>
  <si>
    <t>王牌dj</t>
  </si>
  <si>
    <t>10280001|10280003|10280006|10280007|10280008</t>
  </si>
  <si>
    <t>概率出现wild+概率改出2个SCATTER+概率改出占据2、3、4个格子符号</t>
  </si>
  <si>
    <t>免费游戏-触发局</t>
  </si>
  <si>
    <t>10280004|10280009</t>
  </si>
  <si>
    <t>虎虎生财</t>
  </si>
  <si>
    <t>福虎模式</t>
  </si>
  <si>
    <t>l宙斯vs哈迪斯</t>
  </si>
  <si>
    <t>10200001|10200002|10200003|10200004|10200005|10200006|10200007</t>
  </si>
  <si>
    <t>概率出现wild+概率在1234轴上改出v1234+概率第1轴改出1个scatter+概率第3轴改出1个scatter</t>
  </si>
  <si>
    <t>10200008|10200009|10200010</t>
  </si>
  <si>
    <t>第1轴改出1个scatter+第3轴改出1个scatter+第1轴改出5个scatter</t>
  </si>
  <si>
    <t>10200006|10200007|10200011</t>
  </si>
  <si>
    <t>第1轴改出1个scatter+第3轴改出1个scatter+第5轴改出奖池符号</t>
  </si>
  <si>
    <t>宙斯模式</t>
  </si>
  <si>
    <t>改出39符号，用于触发免费游戏宙斯</t>
  </si>
  <si>
    <t>哈迪斯模式</t>
  </si>
  <si>
    <t>改出40符号，用于触发免费游戏哈迪斯</t>
  </si>
  <si>
    <t>恶魔之子</t>
  </si>
  <si>
    <t>10380001_10|10380004_1|10380005_1</t>
  </si>
  <si>
    <t>概率改出wild+概率改出奖金符号+改出奖池符号</t>
  </si>
  <si>
    <t>改出wild</t>
  </si>
  <si>
    <t>收集金币</t>
  </si>
  <si>
    <t>10380003|10380006</t>
  </si>
  <si>
    <t>改出18图标+改出金币符号</t>
  </si>
  <si>
    <t>10380003|10380005</t>
  </si>
  <si>
    <t>改出18图标+改出奖池符号</t>
  </si>
  <si>
    <t>象财神</t>
  </si>
  <si>
    <t>10270001|10270002</t>
  </si>
  <si>
    <t>概率改出百搭符号+概率改出scatter符号</t>
  </si>
  <si>
    <t>改出3个以上scatter符号</t>
  </si>
  <si>
    <t>10270006|10270005</t>
  </si>
  <si>
    <t>改出两个scatter+奖池符号</t>
  </si>
  <si>
    <t>10倍金牛</t>
  </si>
  <si>
    <t>10370001|10370003</t>
  </si>
  <si>
    <t>概率改出百搭符号+异形位置改为不中奖图案</t>
  </si>
  <si>
    <t>金牛赐福-触发局</t>
  </si>
  <si>
    <t>10370002|10370003</t>
  </si>
  <si>
    <t>异形位置改为不中奖图案</t>
  </si>
  <si>
    <t>绿巨人</t>
  </si>
  <si>
    <t>10310001|10310007|10310011</t>
  </si>
  <si>
    <t>概率在第二轴或第四轴改出百搭wild+概率改出2个SCATTER+概率在第一轴上改出bonus</t>
  </si>
  <si>
    <t>概率改出3个以上SCATTER</t>
  </si>
  <si>
    <t>10310012|10310013</t>
  </si>
  <si>
    <t>在第一轴改出1个bonus+在第五轴改出1个bonus</t>
  </si>
  <si>
    <t>10310010|10310014</t>
  </si>
  <si>
    <t>前四轴改出2个SCATTER+10310015</t>
  </si>
  <si>
    <t>第三轴出现wild</t>
  </si>
  <si>
    <t>在第三轴改出18符号</t>
  </si>
  <si>
    <t>第二三四轴出现wild</t>
  </si>
  <si>
    <t>10310002|10310003|10310004</t>
  </si>
  <si>
    <t>在第二轴改出18符号+在第三轴改出18符号+在第四轴改出18符号</t>
  </si>
  <si>
    <t>潘金莲</t>
  </si>
  <si>
    <t>10400001|10400006|10400007</t>
  </si>
  <si>
    <t>概率改出百搭符号+概率在第二轴改出1个scatter+概率第三轴改出1个scatter</t>
  </si>
  <si>
    <t>10400003|10400004|10400005</t>
  </si>
  <si>
    <t>在第二轴改出1个scatter+在第三轴改出1个scatter+在第四轴改出1个scatter</t>
  </si>
  <si>
    <t>10400003|10400005|10400009</t>
  </si>
  <si>
    <t>在第二轴改出1个scatter+在第四轴改出1个scatter+第五轴改出奖池符号</t>
  </si>
  <si>
    <t>愤怒的小鸡</t>
  </si>
  <si>
    <t>10390001|10390004</t>
  </si>
  <si>
    <t>10390005|10390006</t>
  </si>
  <si>
    <t>热血足球</t>
  </si>
  <si>
    <t>10160001|10160003|10160005|10160006</t>
  </si>
  <si>
    <t>概率出现wild+概率改出3个SCATTER+概率改出占据2、3、4个格子符号</t>
  </si>
  <si>
    <t>改出4个以上SCATTER</t>
  </si>
  <si>
    <t>10160004|10160009</t>
  </si>
  <si>
    <t>改出3个SCATTER+奖池符号</t>
  </si>
  <si>
    <t>狼月</t>
  </si>
  <si>
    <t>10150001|10150004</t>
  </si>
  <si>
    <t>概率改出百搭wild符号+概率改出scatter符号</t>
  </si>
  <si>
    <t>许愿百搭模式</t>
  </si>
  <si>
    <t>10150009_10|10150010_10|10150011_10|10150012_10|10150013_10|10150014_5|10150015_5|10150016_5|10150017_5|10150018_5|10150019_5|10150020_5|10150021_5|10150022_5|10150023_5|10150024_1|10150025_1|10150026_1|10150027_1|10150028_1|10150029_1</t>
  </si>
  <si>
    <t>10150003|10150008</t>
  </si>
  <si>
    <t>改出2个SCATTER+奖池符号</t>
  </si>
  <si>
    <t>高赔付免费</t>
  </si>
  <si>
    <t>改出20符号</t>
  </si>
  <si>
    <t>固定堆叠免费</t>
  </si>
  <si>
    <t>改出21符号</t>
  </si>
  <si>
    <t>递增奖励免费</t>
  </si>
  <si>
    <t>改出22符号</t>
  </si>
  <si>
    <t>寻宝黄金城</t>
  </si>
  <si>
    <t>10260001|10260004|10260005|10260006|10260007|10260010</t>
  </si>
  <si>
    <t>概率改出百搭wild符号+概率改出scatter符号+概率改出占据2、3、4个格子符号+异形位置不中奖</t>
  </si>
  <si>
    <t>10260002|10260010</t>
  </si>
  <si>
    <t>10260003|10260008|10260010</t>
  </si>
  <si>
    <t>澳门壕梦</t>
  </si>
  <si>
    <t>10500001|10500004|10500005|10500006|10500007|10500010</t>
  </si>
  <si>
    <t>概率改出wild+概率改出scatter符号+概率改出占据2、3、4格子的普通符号+异形位置改为不中奖图案</t>
  </si>
  <si>
    <t>10500002|10500010</t>
  </si>
  <si>
    <t>改出4个或以上个数SCATTER+异形位置改为不中奖图案</t>
  </si>
  <si>
    <t>10500003|10500008|10500010</t>
  </si>
  <si>
    <t>改出3个scatter符号+改出奖池符号+异形位置改为不中奖图案</t>
  </si>
  <si>
    <t>免费模式</t>
  </si>
  <si>
    <t>10500009|10500010</t>
  </si>
  <si>
    <t>概率改出SCATTER符号+异形位置改为不中奖图案</t>
  </si>
  <si>
    <t>糖果派对</t>
  </si>
  <si>
    <t>第1层，普通模式</t>
  </si>
  <si>
    <t>概率改出过关图标1图标</t>
  </si>
  <si>
    <t>第2层，普通模式</t>
  </si>
  <si>
    <t>概率改出过关图标2图标</t>
  </si>
  <si>
    <t>第3层，普通模式</t>
  </si>
  <si>
    <t>概率改出过关图标3图标</t>
  </si>
  <si>
    <t>第1层，免费游戏-触发局</t>
  </si>
  <si>
    <t>第1层，概率改出免费游戏图标</t>
  </si>
  <si>
    <t>第2层，免费游戏-触发局</t>
  </si>
  <si>
    <t>第2层，概率改出免费游戏图标</t>
  </si>
  <si>
    <t>第3层，免费游戏-触发局</t>
  </si>
  <si>
    <t>第3层，概率改出免费游戏图标</t>
  </si>
  <si>
    <t>第1层，JACKPOT大奖</t>
  </si>
  <si>
    <t>第1层，概率改出彩池图标</t>
  </si>
  <si>
    <t>第2层，JACKPOT大奖</t>
  </si>
  <si>
    <t>第2层，概率改出彩池图标</t>
  </si>
  <si>
    <t>第3层，JACKPOT大奖</t>
  </si>
  <si>
    <t>第3层，概率改出彩池图标</t>
  </si>
  <si>
    <t>黄金帝国</t>
  </si>
  <si>
    <t>10540003|10540004|10540005|10540006|10540007|10540010</t>
  </si>
  <si>
    <t>概率改出3个SCATTER+概率改出占据1个格子的金框符号+概率改出占据2、3、4个格子符号+异形位置改为不中奖图案</t>
  </si>
  <si>
    <t>10540001|10540010</t>
  </si>
  <si>
    <t>改出4个以上SCATTER+异形位置改为不中奖图案</t>
  </si>
  <si>
    <t>10540002|10540008|10540010</t>
  </si>
  <si>
    <t>改出3个SCATTER+奖池符号+异形位置改为不中奖图案</t>
  </si>
  <si>
    <t>10540009|10540010</t>
  </si>
  <si>
    <t>招财猫</t>
  </si>
  <si>
    <t>10260001|10260004|10260005|10260006|10260007|10080010</t>
  </si>
  <si>
    <t>概率改出百搭wild符号+概率改出scatter符号+概率改出占据2、3、4个格子符号+异形位置改为不中奖图案</t>
  </si>
  <si>
    <t>10260002|10080010</t>
  </si>
  <si>
    <t>10500003|10500008|10080010</t>
  </si>
  <si>
    <t>麻将胡了2</t>
  </si>
  <si>
    <t>10530001|10530004</t>
  </si>
  <si>
    <t>概率出现3个以下SCATTER+概率出金色图标+异形位置改为不中奖图案</t>
  </si>
  <si>
    <t>概率改出3个scatter+异形位置改为不中奖图案</t>
  </si>
  <si>
    <t>赏金大对决</t>
  </si>
  <si>
    <t>10570001|10570004</t>
  </si>
  <si>
    <t>概率改出scatter符号+概率改出金框符号</t>
  </si>
  <si>
    <t>10570001|10570005</t>
  </si>
  <si>
    <t>极速糖果1000</t>
  </si>
  <si>
    <t>概率改出3个以下scatter</t>
  </si>
  <si>
    <t>10580004|10580001</t>
  </si>
  <si>
    <t>改出奖池符号=概率改出SCATTER符号</t>
  </si>
  <si>
    <t>伽罗宝石</t>
  </si>
  <si>
    <t>超级高尔夫</t>
  </si>
  <si>
    <t>10480005|10480001|10480006|10480007</t>
  </si>
  <si>
    <t>概率改出百搭wild符号+概率改出scatter符号+概率改出占据2、3个格子符号</t>
  </si>
  <si>
    <t>10480004|10480008</t>
  </si>
  <si>
    <t>伽罗宝石2</t>
  </si>
  <si>
    <t>小游戏—触发</t>
  </si>
  <si>
    <t>改出小游戏图标</t>
  </si>
  <si>
    <t>伽罗宝石3</t>
  </si>
  <si>
    <t>多格图标模式触发</t>
  </si>
  <si>
    <t>改出多格图标</t>
  </si>
  <si>
    <t>嗨到底</t>
  </si>
  <si>
    <t>10410001|10410003</t>
  </si>
  <si>
    <t>概率改出wild符号+概率改出scatter符号</t>
  </si>
  <si>
    <t>改出3个scatter符号</t>
  </si>
  <si>
    <t>10410005|10410004</t>
  </si>
  <si>
    <t>概率改出2个SCATTER+改出奖池符号</t>
  </si>
  <si>
    <t>狂野沙滩</t>
  </si>
  <si>
    <t>10420001|10420003</t>
  </si>
  <si>
    <t>10420005|10420004</t>
  </si>
  <si>
    <t>德古拉黑暗财富</t>
  </si>
  <si>
    <t>10190001|10190003|10190006|10190007</t>
  </si>
  <si>
    <t>概率改出wild符号+概率改出3个及以下scatter符号+概率改出占据2个格子符号+概率改出占据3个格子符号</t>
  </si>
  <si>
    <t>免费模式 - 触发局</t>
  </si>
  <si>
    <t>改出4个以上scatter符号</t>
  </si>
  <si>
    <t>百搭赐福</t>
  </si>
  <si>
    <t>10190008|10190009</t>
  </si>
  <si>
    <t>改出占据2个格子白银符号+改出占据3个格子白银符号</t>
  </si>
  <si>
    <t>10190004|10190010</t>
  </si>
  <si>
    <t>改出3个scatter符号+改出奖池符号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</si>
</sst>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right" vertical="center"/>
    </xf>
    <xf numFmtId="49" fontId="0" fillId="0" borderId="0" xfId="0" applyNumberFormat="1"/>
    <xf numFmtId="0" fontId="1" fillId="7" borderId="0" xfId="0" applyFont="1" applyFill="1"/>
    <xf numFmtId="0" fontId="1" fillId="8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2" fillId="9" borderId="1" xfId="0" applyFont="1" applyFill="1" applyBorder="1" applyAlignment="1">
      <alignment horizontal="right" vertical="center" wrapText="1"/>
    </xf>
    <xf numFmtId="0" fontId="1" fillId="0" borderId="0" xfId="49" applyFont="1" applyAlignment="1">
      <alignment horizontal="left" vertical="center"/>
    </xf>
    <xf numFmtId="176" fontId="1" fillId="7" borderId="0" xfId="0" applyNumberFormat="1" applyFont="1" applyFill="1" applyAlignment="1">
      <alignment horizontal="left"/>
    </xf>
    <xf numFmtId="0" fontId="1" fillId="0" borderId="0" xfId="0" applyFont="1" applyAlignment="1">
      <alignment horizontal="right" vertical="top"/>
    </xf>
    <xf numFmtId="49" fontId="1" fillId="0" borderId="0" xfId="0" applyNumberFormat="1" applyFont="1"/>
    <xf numFmtId="49" fontId="1" fillId="7" borderId="0" xfId="0" applyNumberFormat="1" applyFont="1" applyFill="1"/>
    <xf numFmtId="0" fontId="0" fillId="7" borderId="0" xfId="0" applyFill="1" applyAlignment="1">
      <alignment vertical="center"/>
    </xf>
    <xf numFmtId="49" fontId="1" fillId="8" borderId="0" xfId="0" applyNumberFormat="1" applyFont="1" applyFill="1" applyAlignment="1">
      <alignment horizontal="left"/>
    </xf>
    <xf numFmtId="49" fontId="1" fillId="7" borderId="0" xfId="0" applyNumberFormat="1" applyFont="1" applyFill="1" applyAlignment="1">
      <alignment horizontal="left"/>
    </xf>
    <xf numFmtId="0" fontId="1" fillId="8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/>
    </xf>
    <xf numFmtId="0" fontId="1" fillId="10" borderId="0" xfId="0" applyFont="1" applyFill="1" applyAlignment="1">
      <alignment horizontal="right" vertical="top"/>
    </xf>
    <xf numFmtId="0" fontId="1" fillId="2" borderId="0" xfId="49" applyFont="1" applyFill="1" applyAlignment="1">
      <alignment horizontal="left" vertical="center"/>
    </xf>
    <xf numFmtId="0" fontId="1" fillId="11" borderId="0" xfId="0" applyFont="1" applyFill="1" applyAlignment="1">
      <alignment horizontal="right" vertical="top"/>
    </xf>
    <xf numFmtId="0" fontId="1" fillId="6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right" vertical="top" wrapText="1"/>
    </xf>
    <xf numFmtId="0" fontId="1" fillId="12" borderId="0" xfId="0" applyFont="1" applyFill="1" applyAlignment="1">
      <alignment horizontal="right" vertical="top" wrapText="1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49" fontId="0" fillId="3" borderId="0" xfId="0" applyNumberFormat="1" applyFill="1"/>
    <xf numFmtId="0" fontId="1" fillId="13" borderId="0" xfId="0" applyFont="1" applyFill="1"/>
    <xf numFmtId="0" fontId="1" fillId="13" borderId="0" xfId="0" applyFont="1" applyFill="1" applyAlignment="1">
      <alignment horizontal="right" vertical="top"/>
    </xf>
    <xf numFmtId="0" fontId="1" fillId="13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right" vertical="top"/>
    </xf>
    <xf numFmtId="0" fontId="1" fillId="4" borderId="0" xfId="0" applyFont="1" applyFill="1" applyAlignment="1">
      <alignment horizontal="left"/>
    </xf>
    <xf numFmtId="49" fontId="0" fillId="4" borderId="0" xfId="0" applyNumberFormat="1" applyFill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49" fontId="0" fillId="5" borderId="0" xfId="0" applyNumberFormat="1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right" vertical="center"/>
    </xf>
    <xf numFmtId="49" fontId="0" fillId="6" borderId="0" xfId="0" applyNumberForma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Alignment="1" quotePrefix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dxfs count="18">
    <dxf>
      <fill>
        <patternFill patternType="solid">
          <bgColor theme="8" tint="0.79934080019531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8"/>
  <sheetViews>
    <sheetView tabSelected="1" zoomScale="85" zoomScaleNormal="85" topLeftCell="A120" workbookViewId="0">
      <selection activeCell="J161" sqref="J161"/>
    </sheetView>
  </sheetViews>
  <sheetFormatPr defaultColWidth="9" defaultRowHeight="13.5"/>
  <cols>
    <col min="1" max="1" width="14.125" customWidth="1"/>
    <col min="5" max="5" width="36.375" customWidth="1"/>
    <col min="6" max="6" width="8.25" customWidth="1"/>
    <col min="7" max="7" width="9.375" customWidth="1"/>
    <col min="8" max="8" width="8.25" customWidth="1"/>
    <col min="9" max="9" width="11.25" customWidth="1"/>
    <col min="10" max="10" width="30.125" customWidth="1"/>
    <col min="11" max="11" width="16.75" customWidth="1"/>
    <col min="12" max="12" width="53.25" customWidth="1"/>
    <col min="13" max="13" width="21.625" customWidth="1"/>
    <col min="14" max="15" width="9" style="7"/>
    <col min="16" max="16" width="15" customWidth="1"/>
    <col min="17" max="17" width="23.75" style="8" customWidth="1"/>
    <col min="18" max="18" width="60.875" customWidth="1"/>
  </cols>
  <sheetData>
    <row r="1" ht="16.5" spans="1:17">
      <c r="A1" t="s">
        <v>0</v>
      </c>
      <c r="B1" s="4" t="s">
        <v>1</v>
      </c>
      <c r="C1" s="4" t="s">
        <v>2</v>
      </c>
      <c r="D1" s="4"/>
      <c r="E1" s="4"/>
      <c r="F1" s="9" t="s">
        <v>3</v>
      </c>
      <c r="G1" s="4"/>
      <c r="H1" s="9" t="s">
        <v>4</v>
      </c>
      <c r="I1" s="4"/>
      <c r="J1" s="10" t="s">
        <v>5</v>
      </c>
      <c r="K1" s="10"/>
      <c r="L1" s="11" t="s">
        <v>6</v>
      </c>
      <c r="M1" s="4" t="s">
        <v>7</v>
      </c>
      <c r="N1" s="12" t="s">
        <v>8</v>
      </c>
      <c r="O1" s="12" t="s">
        <v>9</v>
      </c>
      <c r="Q1"/>
    </row>
    <row r="2" ht="16.5" spans="1:17">
      <c r="A2" t="s">
        <v>10</v>
      </c>
      <c r="B2" s="4" t="s">
        <v>10</v>
      </c>
      <c r="C2" s="4" t="s">
        <v>10</v>
      </c>
      <c r="D2" s="4"/>
      <c r="E2" s="4"/>
      <c r="F2" s="9" t="s">
        <v>10</v>
      </c>
      <c r="G2" s="4"/>
      <c r="H2" s="9" t="s">
        <v>10</v>
      </c>
      <c r="I2" s="4"/>
      <c r="J2" s="13" t="s">
        <v>11</v>
      </c>
      <c r="K2" s="13"/>
      <c r="L2" s="14" t="s">
        <v>12</v>
      </c>
      <c r="M2" s="4"/>
      <c r="N2" s="15" t="s">
        <v>10</v>
      </c>
      <c r="O2" s="15" t="s">
        <v>10</v>
      </c>
      <c r="Q2"/>
    </row>
    <row r="3" ht="16.5" spans="1:17">
      <c r="A3" t="s">
        <v>0</v>
      </c>
      <c r="B3" s="16" t="s">
        <v>13</v>
      </c>
      <c r="C3" s="16" t="s">
        <v>14</v>
      </c>
      <c r="D3" s="16"/>
      <c r="E3" s="16"/>
      <c r="F3" s="17" t="s">
        <v>15</v>
      </c>
      <c r="G3" s="16"/>
      <c r="H3" s="18" t="s">
        <v>16</v>
      </c>
      <c r="I3" s="16"/>
      <c r="J3" s="19" t="s">
        <v>17</v>
      </c>
      <c r="K3" s="19"/>
      <c r="L3" s="20" t="s">
        <v>18</v>
      </c>
      <c r="M3" s="16"/>
      <c r="N3" s="15" t="s">
        <v>19</v>
      </c>
      <c r="O3" s="15" t="s">
        <v>20</v>
      </c>
      <c r="Q3"/>
    </row>
    <row r="4" ht="16.5" spans="1:17">
      <c r="B4" s="4"/>
      <c r="C4" s="4"/>
      <c r="D4" s="4"/>
      <c r="E4" s="4"/>
      <c r="F4" s="9"/>
      <c r="G4" s="4"/>
      <c r="H4" s="9"/>
      <c r="I4" s="4"/>
      <c r="J4" s="21"/>
      <c r="K4" s="21"/>
      <c r="L4" s="11"/>
      <c r="M4" s="4"/>
      <c r="N4" s="15"/>
      <c r="O4" s="15"/>
      <c r="Q4"/>
    </row>
    <row r="5" s="1" customFormat="1" ht="16.5" spans="1:17">
      <c r="A5" s="22" t="str">
        <f t="shared" ref="A5:A19" si="0">B5&amp;C5</f>
        <v>1001001</v>
      </c>
      <c r="B5" s="23">
        <v>100100</v>
      </c>
      <c r="C5" s="23">
        <v>1</v>
      </c>
      <c r="D5" s="23" t="s">
        <v>21</v>
      </c>
      <c r="E5" s="24" t="s">
        <v>22</v>
      </c>
      <c r="F5" s="23">
        <v>1</v>
      </c>
      <c r="G5" s="22" t="s">
        <v>23</v>
      </c>
      <c r="H5" s="22">
        <v>2001001</v>
      </c>
      <c r="I5" s="22" t="s">
        <v>24</v>
      </c>
      <c r="J5" s="22"/>
      <c r="K5" s="22"/>
      <c r="L5" s="25" t="s">
        <v>25</v>
      </c>
      <c r="M5" s="22" t="s">
        <v>26</v>
      </c>
      <c r="N5" s="15">
        <v>4</v>
      </c>
      <c r="O5" s="15">
        <v>5</v>
      </c>
    </row>
    <row r="6" s="1" customFormat="1" ht="16.5" spans="1:17">
      <c r="A6" s="22" t="str">
        <f t="shared" si="0"/>
        <v>1001002</v>
      </c>
      <c r="B6" s="23">
        <v>100100</v>
      </c>
      <c r="C6" s="23">
        <v>2</v>
      </c>
      <c r="D6" s="23"/>
      <c r="E6" s="26" t="s">
        <v>27</v>
      </c>
      <c r="F6" s="23">
        <v>1</v>
      </c>
      <c r="G6" s="22" t="s">
        <v>23</v>
      </c>
      <c r="H6" s="22">
        <v>2001001</v>
      </c>
      <c r="I6" s="22" t="s">
        <v>24</v>
      </c>
      <c r="J6" s="22"/>
      <c r="K6" s="22"/>
      <c r="L6" s="27" t="s">
        <v>28</v>
      </c>
      <c r="M6" s="22" t="s">
        <v>29</v>
      </c>
      <c r="N6" s="15">
        <v>4</v>
      </c>
      <c r="O6" s="15">
        <v>5</v>
      </c>
    </row>
    <row r="7" s="1" customFormat="1" ht="16.5" spans="1:17">
      <c r="A7" s="22" t="str">
        <f t="shared" si="0"/>
        <v>1001003</v>
      </c>
      <c r="B7" s="23">
        <v>100100</v>
      </c>
      <c r="C7" s="23">
        <v>3</v>
      </c>
      <c r="D7" s="23"/>
      <c r="E7" s="28" t="s">
        <v>30</v>
      </c>
      <c r="F7" s="23">
        <v>1</v>
      </c>
      <c r="G7" s="22" t="s">
        <v>23</v>
      </c>
      <c r="H7" s="22">
        <v>2001001</v>
      </c>
      <c r="I7" s="22" t="s">
        <v>24</v>
      </c>
      <c r="J7" s="22"/>
      <c r="K7" s="22"/>
      <c r="L7" s="25" t="s">
        <v>31</v>
      </c>
      <c r="M7" s="22" t="s">
        <v>32</v>
      </c>
      <c r="N7" s="15">
        <v>4</v>
      </c>
      <c r="O7" s="15">
        <v>5</v>
      </c>
    </row>
    <row r="8" s="1" customFormat="1" ht="16.5" spans="1:17">
      <c r="A8" s="22" t="str">
        <f t="shared" si="0"/>
        <v>1001004</v>
      </c>
      <c r="B8" s="23">
        <v>100100</v>
      </c>
      <c r="C8" s="23">
        <v>4</v>
      </c>
      <c r="D8" s="23"/>
      <c r="E8" s="29" t="s">
        <v>33</v>
      </c>
      <c r="F8" s="30">
        <v>1</v>
      </c>
      <c r="G8" s="22" t="s">
        <v>23</v>
      </c>
      <c r="H8" s="22">
        <v>2001001</v>
      </c>
      <c r="I8" s="22" t="s">
        <v>24</v>
      </c>
      <c r="J8" s="22"/>
      <c r="K8" s="22"/>
      <c r="L8" s="25">
        <v>10010041</v>
      </c>
      <c r="M8" s="22" t="s">
        <v>34</v>
      </c>
      <c r="N8" s="15">
        <v>4</v>
      </c>
      <c r="O8" s="15">
        <v>5</v>
      </c>
    </row>
    <row r="9" s="1" customFormat="1" ht="16.5" spans="1:17">
      <c r="A9" s="22" t="str">
        <f t="shared" si="0"/>
        <v>1001005</v>
      </c>
      <c r="B9" s="23">
        <v>100100</v>
      </c>
      <c r="C9" s="23">
        <v>5</v>
      </c>
      <c r="D9" s="23"/>
      <c r="E9" s="31" t="s">
        <v>35</v>
      </c>
      <c r="F9" s="30">
        <v>1</v>
      </c>
      <c r="G9" s="22" t="s">
        <v>23</v>
      </c>
      <c r="H9" s="22">
        <v>2001001</v>
      </c>
      <c r="I9" s="22" t="s">
        <v>24</v>
      </c>
      <c r="J9" s="22"/>
      <c r="K9" s="22"/>
      <c r="L9" s="25" t="s">
        <v>36</v>
      </c>
      <c r="M9" s="22" t="s">
        <v>37</v>
      </c>
      <c r="N9" s="15">
        <v>4</v>
      </c>
      <c r="O9" s="15">
        <v>5</v>
      </c>
    </row>
    <row r="10" s="1" customFormat="1" ht="16.5" spans="1:17">
      <c r="A10" s="22" t="str">
        <f t="shared" si="0"/>
        <v>1001006</v>
      </c>
      <c r="B10" s="23">
        <v>100100</v>
      </c>
      <c r="C10" s="23">
        <v>6</v>
      </c>
      <c r="D10" s="23"/>
      <c r="E10" s="31" t="s">
        <v>38</v>
      </c>
      <c r="F10" s="30">
        <v>1</v>
      </c>
      <c r="G10" s="22" t="s">
        <v>23</v>
      </c>
      <c r="H10" s="22">
        <v>2001001</v>
      </c>
      <c r="I10" s="22" t="s">
        <v>24</v>
      </c>
      <c r="J10" s="22"/>
      <c r="K10" s="22"/>
      <c r="L10" s="25">
        <v>10010061</v>
      </c>
      <c r="M10" s="22" t="s">
        <v>39</v>
      </c>
      <c r="N10" s="15">
        <v>4</v>
      </c>
      <c r="O10" s="15">
        <v>5</v>
      </c>
    </row>
    <row r="11" s="1" customFormat="1" ht="16.5" spans="1:17">
      <c r="A11" s="22" t="str">
        <f t="shared" si="0"/>
        <v>1001007</v>
      </c>
      <c r="B11" s="23">
        <v>100100</v>
      </c>
      <c r="C11" s="23">
        <v>7</v>
      </c>
      <c r="D11" s="23"/>
      <c r="E11" s="26" t="s">
        <v>40</v>
      </c>
      <c r="F11" s="23">
        <v>1</v>
      </c>
      <c r="G11" s="22" t="s">
        <v>23</v>
      </c>
      <c r="H11" s="22">
        <v>2001001</v>
      </c>
      <c r="I11" s="22" t="s">
        <v>24</v>
      </c>
      <c r="J11" s="22"/>
      <c r="K11" s="22"/>
      <c r="L11" s="27" t="s">
        <v>41</v>
      </c>
      <c r="M11" s="22" t="s">
        <v>29</v>
      </c>
      <c r="N11" s="15">
        <v>4</v>
      </c>
      <c r="O11" s="15">
        <v>5</v>
      </c>
    </row>
    <row r="12" s="2" customFormat="1" ht="16.5" spans="1:17">
      <c r="A12" s="32" t="str">
        <f t="shared" si="0"/>
        <v>1003001</v>
      </c>
      <c r="B12" s="24">
        <v>100300</v>
      </c>
      <c r="C12" s="24">
        <v>1</v>
      </c>
      <c r="D12" s="24" t="s">
        <v>42</v>
      </c>
      <c r="E12" s="24" t="s">
        <v>22</v>
      </c>
      <c r="F12" s="24">
        <v>1</v>
      </c>
      <c r="G12" s="32" t="s">
        <v>23</v>
      </c>
      <c r="H12" s="32">
        <v>2003001</v>
      </c>
      <c r="I12" s="32" t="s">
        <v>24</v>
      </c>
      <c r="J12" s="32"/>
      <c r="K12" s="32"/>
      <c r="L12" s="33">
        <v>10030022</v>
      </c>
      <c r="M12" s="32" t="s">
        <v>43</v>
      </c>
      <c r="N12" s="24">
        <v>3</v>
      </c>
      <c r="O12" s="24">
        <v>3</v>
      </c>
      <c r="Q12" s="34"/>
    </row>
    <row r="13" s="2" customFormat="1" ht="16.5" spans="1:17">
      <c r="A13" s="32" t="str">
        <f t="shared" si="0"/>
        <v>1003002</v>
      </c>
      <c r="B13" s="24">
        <v>100300</v>
      </c>
      <c r="C13" s="24">
        <v>2</v>
      </c>
      <c r="D13" s="24"/>
      <c r="E13" s="24" t="s">
        <v>44</v>
      </c>
      <c r="F13" s="24">
        <v>1</v>
      </c>
      <c r="G13" s="32" t="s">
        <v>23</v>
      </c>
      <c r="H13" s="32">
        <v>2003001</v>
      </c>
      <c r="I13" s="32" t="s">
        <v>24</v>
      </c>
      <c r="J13" s="32"/>
      <c r="K13" s="32"/>
      <c r="L13" s="33" t="s">
        <v>45</v>
      </c>
      <c r="M13" s="32" t="s">
        <v>46</v>
      </c>
      <c r="N13" s="24">
        <v>3</v>
      </c>
      <c r="O13" s="24">
        <v>3</v>
      </c>
      <c r="Q13" s="34"/>
    </row>
    <row r="14" s="2" customFormat="1" ht="16.5" spans="1:17">
      <c r="A14" s="32" t="str">
        <f t="shared" si="0"/>
        <v>1003003</v>
      </c>
      <c r="B14" s="24">
        <v>100300</v>
      </c>
      <c r="C14" s="24">
        <v>3</v>
      </c>
      <c r="D14" s="24"/>
      <c r="E14" s="24" t="s">
        <v>47</v>
      </c>
      <c r="F14" s="24">
        <v>1</v>
      </c>
      <c r="G14" s="32" t="s">
        <v>23</v>
      </c>
      <c r="H14" s="32">
        <v>2003002</v>
      </c>
      <c r="I14" s="32" t="s">
        <v>24</v>
      </c>
      <c r="J14" s="32" t="s">
        <v>48</v>
      </c>
      <c r="K14" s="32" t="s">
        <v>49</v>
      </c>
      <c r="L14" s="33" t="s">
        <v>50</v>
      </c>
      <c r="M14" s="32" t="s">
        <v>51</v>
      </c>
      <c r="N14" s="24">
        <v>3</v>
      </c>
      <c r="O14" s="24">
        <v>3</v>
      </c>
      <c r="Q14" s="34"/>
    </row>
    <row r="15" ht="16.5" spans="1:17">
      <c r="A15" s="35" t="str">
        <f t="shared" si="0"/>
        <v>1007001</v>
      </c>
      <c r="B15" s="36">
        <v>100700</v>
      </c>
      <c r="C15" s="36">
        <v>1</v>
      </c>
      <c r="D15" s="36" t="s">
        <v>52</v>
      </c>
      <c r="E15" s="36" t="s">
        <v>22</v>
      </c>
      <c r="F15" s="36">
        <v>1</v>
      </c>
      <c r="G15" s="35" t="s">
        <v>23</v>
      </c>
      <c r="H15" s="35">
        <v>2007001</v>
      </c>
      <c r="I15" s="35" t="s">
        <v>24</v>
      </c>
      <c r="J15" s="35"/>
      <c r="K15" s="35"/>
      <c r="L15" s="37" t="s">
        <v>53</v>
      </c>
      <c r="M15" s="35" t="s">
        <v>54</v>
      </c>
      <c r="N15" s="15">
        <v>4</v>
      </c>
      <c r="O15" s="15">
        <v>5</v>
      </c>
      <c r="Q15"/>
    </row>
    <row r="16" ht="16.5" spans="1:17">
      <c r="A16" s="35" t="str">
        <f t="shared" si="0"/>
        <v>1007002</v>
      </c>
      <c r="B16" s="36">
        <v>100700</v>
      </c>
      <c r="C16" s="36">
        <v>2</v>
      </c>
      <c r="D16" s="36"/>
      <c r="E16" s="36" t="s">
        <v>55</v>
      </c>
      <c r="F16" s="36">
        <v>1</v>
      </c>
      <c r="G16" s="35" t="s">
        <v>23</v>
      </c>
      <c r="H16" s="35">
        <v>2007001</v>
      </c>
      <c r="I16" s="35" t="s">
        <v>24</v>
      </c>
      <c r="J16" s="35"/>
      <c r="K16" s="35"/>
      <c r="L16" s="37" t="s">
        <v>56</v>
      </c>
      <c r="M16" s="35" t="s">
        <v>34</v>
      </c>
      <c r="N16" s="15">
        <v>4</v>
      </c>
      <c r="O16" s="15">
        <v>5</v>
      </c>
      <c r="Q16"/>
    </row>
    <row r="17" s="3" customFormat="1" ht="16.5" spans="1:17">
      <c r="A17" s="38" t="str">
        <f t="shared" si="0"/>
        <v>1012001</v>
      </c>
      <c r="B17" s="39">
        <v>101200</v>
      </c>
      <c r="C17" s="39">
        <v>1</v>
      </c>
      <c r="D17" s="39" t="s">
        <v>57</v>
      </c>
      <c r="E17" s="39" t="s">
        <v>22</v>
      </c>
      <c r="F17" s="39">
        <v>1</v>
      </c>
      <c r="G17" s="38" t="s">
        <v>23</v>
      </c>
      <c r="H17" s="38">
        <v>2012001</v>
      </c>
      <c r="I17" s="38" t="s">
        <v>24</v>
      </c>
      <c r="J17" s="38"/>
      <c r="K17" s="38"/>
      <c r="L17" s="40">
        <v>10120011</v>
      </c>
      <c r="M17" s="38" t="s">
        <v>58</v>
      </c>
      <c r="N17" s="39">
        <v>3</v>
      </c>
      <c r="O17" s="39">
        <v>5</v>
      </c>
      <c r="Q17" s="41"/>
    </row>
    <row r="18" s="3" customFormat="1" ht="16.5" spans="1:17">
      <c r="A18" s="38" t="str">
        <f t="shared" si="0"/>
        <v>1012002</v>
      </c>
      <c r="B18" s="39">
        <v>101200</v>
      </c>
      <c r="C18" s="39">
        <v>2</v>
      </c>
      <c r="D18" s="39"/>
      <c r="E18" s="39" t="s">
        <v>59</v>
      </c>
      <c r="F18" s="39">
        <v>1</v>
      </c>
      <c r="G18" s="38" t="s">
        <v>23</v>
      </c>
      <c r="H18" s="38">
        <v>2012001</v>
      </c>
      <c r="I18" s="38" t="s">
        <v>24</v>
      </c>
      <c r="J18" s="38"/>
      <c r="K18" s="38"/>
      <c r="L18" s="40">
        <v>10120021</v>
      </c>
      <c r="M18" s="38" t="s">
        <v>60</v>
      </c>
      <c r="N18" s="39">
        <v>3</v>
      </c>
      <c r="O18" s="39">
        <v>5</v>
      </c>
      <c r="Q18" s="41"/>
    </row>
    <row r="19" s="3" customFormat="1" ht="16.5" spans="1:17">
      <c r="A19" s="38" t="str">
        <f t="shared" si="0"/>
        <v>1012003</v>
      </c>
      <c r="B19" s="39">
        <v>101200</v>
      </c>
      <c r="C19" s="39">
        <v>3</v>
      </c>
      <c r="D19" s="39"/>
      <c r="E19" s="39" t="s">
        <v>61</v>
      </c>
      <c r="F19" s="39">
        <v>1</v>
      </c>
      <c r="G19" s="38" t="s">
        <v>23</v>
      </c>
      <c r="H19" s="38">
        <v>2012001</v>
      </c>
      <c r="I19" s="38" t="s">
        <v>24</v>
      </c>
      <c r="J19" s="38" t="s">
        <v>62</v>
      </c>
      <c r="K19" s="38" t="s">
        <v>63</v>
      </c>
      <c r="L19" s="40"/>
      <c r="M19" s="38" t="s">
        <v>64</v>
      </c>
      <c r="N19" s="39">
        <v>3</v>
      </c>
      <c r="O19" s="39">
        <v>5</v>
      </c>
      <c r="Q19" s="41"/>
    </row>
    <row r="20" ht="16.5" spans="1:17">
      <c r="A20" s="32" t="str">
        <f t="shared" ref="A20:A30" si="1">B20&amp;C20</f>
        <v>1014001</v>
      </c>
      <c r="B20" s="24">
        <v>101400</v>
      </c>
      <c r="C20" s="24">
        <v>1</v>
      </c>
      <c r="D20" s="24" t="s">
        <v>65</v>
      </c>
      <c r="E20" s="24" t="s">
        <v>22</v>
      </c>
      <c r="F20" s="24">
        <v>1</v>
      </c>
      <c r="G20" s="32" t="s">
        <v>23</v>
      </c>
      <c r="H20" s="32">
        <v>2014001</v>
      </c>
      <c r="I20" s="32" t="s">
        <v>24</v>
      </c>
      <c r="J20" s="32"/>
      <c r="K20" s="32"/>
      <c r="L20" s="33" t="s">
        <v>66</v>
      </c>
      <c r="M20" s="32" t="s">
        <v>67</v>
      </c>
      <c r="N20" s="15">
        <v>4</v>
      </c>
      <c r="O20" s="15">
        <v>3</v>
      </c>
    </row>
    <row r="21" ht="16.5" spans="1:17">
      <c r="A21" s="32" t="str">
        <f t="shared" si="1"/>
        <v>1014002</v>
      </c>
      <c r="B21" s="24">
        <v>101400</v>
      </c>
      <c r="C21" s="24">
        <v>2</v>
      </c>
      <c r="D21" s="24" t="s">
        <v>65</v>
      </c>
      <c r="E21" s="24" t="s">
        <v>22</v>
      </c>
      <c r="F21" s="24">
        <v>1</v>
      </c>
      <c r="G21" s="32" t="s">
        <v>23</v>
      </c>
      <c r="H21" s="32">
        <v>2014001</v>
      </c>
      <c r="I21" s="32" t="s">
        <v>24</v>
      </c>
      <c r="J21" s="32"/>
      <c r="K21" s="32"/>
      <c r="L21" s="33" t="s">
        <v>68</v>
      </c>
      <c r="M21" s="32" t="s">
        <v>69</v>
      </c>
      <c r="N21" s="15">
        <v>4</v>
      </c>
      <c r="O21" s="15">
        <v>3</v>
      </c>
    </row>
    <row r="22" ht="16.5" spans="1:17">
      <c r="A22" s="32" t="str">
        <f t="shared" si="1"/>
        <v>1014003</v>
      </c>
      <c r="B22" s="24">
        <v>101400</v>
      </c>
      <c r="C22" s="24">
        <v>3</v>
      </c>
      <c r="D22" s="24" t="s">
        <v>65</v>
      </c>
      <c r="E22" s="24" t="s">
        <v>70</v>
      </c>
      <c r="F22" s="24">
        <v>1</v>
      </c>
      <c r="G22" s="32" t="s">
        <v>23</v>
      </c>
      <c r="H22" s="32">
        <v>2014001</v>
      </c>
      <c r="I22" s="32" t="s">
        <v>24</v>
      </c>
      <c r="J22" s="32"/>
      <c r="K22" s="32"/>
      <c r="L22" s="33">
        <v>10140021</v>
      </c>
      <c r="M22" s="32" t="s">
        <v>71</v>
      </c>
      <c r="N22" s="15">
        <v>4</v>
      </c>
      <c r="O22" s="15">
        <v>3</v>
      </c>
    </row>
    <row r="23" s="1" customFormat="1" ht="16.5" spans="1:17">
      <c r="A23" s="22" t="str">
        <f t="shared" si="1"/>
        <v>1024001</v>
      </c>
      <c r="B23" s="23">
        <v>102400</v>
      </c>
      <c r="C23" s="23">
        <v>1</v>
      </c>
      <c r="D23" s="23" t="s">
        <v>72</v>
      </c>
      <c r="E23" s="24" t="s">
        <v>22</v>
      </c>
      <c r="F23" s="23">
        <v>1</v>
      </c>
      <c r="G23" s="22" t="s">
        <v>23</v>
      </c>
      <c r="H23" s="22">
        <v>2024001</v>
      </c>
      <c r="I23" s="22" t="s">
        <v>24</v>
      </c>
      <c r="J23" s="22"/>
      <c r="K23" s="22"/>
      <c r="L23" s="25" t="s">
        <v>73</v>
      </c>
      <c r="M23" s="22" t="s">
        <v>26</v>
      </c>
      <c r="N23" s="15">
        <v>4</v>
      </c>
      <c r="O23" s="15">
        <v>5</v>
      </c>
    </row>
    <row r="24" s="1" customFormat="1" ht="16.5" spans="1:17">
      <c r="A24" s="22" t="str">
        <f t="shared" si="1"/>
        <v>1024002</v>
      </c>
      <c r="B24" s="23">
        <v>102400</v>
      </c>
      <c r="C24" s="23">
        <v>2</v>
      </c>
      <c r="D24" s="23"/>
      <c r="E24" s="26" t="s">
        <v>27</v>
      </c>
      <c r="F24" s="23">
        <v>1</v>
      </c>
      <c r="G24" s="22" t="s">
        <v>23</v>
      </c>
      <c r="H24" s="22">
        <v>2024001</v>
      </c>
      <c r="I24" s="22" t="s">
        <v>24</v>
      </c>
      <c r="J24" s="22"/>
      <c r="K24" s="22"/>
      <c r="L24" s="27" t="s">
        <v>74</v>
      </c>
      <c r="M24" s="22" t="s">
        <v>29</v>
      </c>
      <c r="N24" s="15">
        <v>4</v>
      </c>
      <c r="O24" s="15">
        <v>5</v>
      </c>
    </row>
    <row r="25" s="1" customFormat="1" ht="16.5" spans="1:17">
      <c r="A25" s="22" t="str">
        <f t="shared" si="1"/>
        <v>1024003</v>
      </c>
      <c r="B25" s="23">
        <v>102400</v>
      </c>
      <c r="C25" s="23">
        <v>3</v>
      </c>
      <c r="D25" s="23"/>
      <c r="E25" s="28" t="s">
        <v>30</v>
      </c>
      <c r="F25" s="23">
        <v>1</v>
      </c>
      <c r="G25" s="22" t="s">
        <v>23</v>
      </c>
      <c r="H25" s="22">
        <v>2024001</v>
      </c>
      <c r="I25" s="22" t="s">
        <v>24</v>
      </c>
      <c r="J25" s="22"/>
      <c r="K25" s="22"/>
      <c r="L25" s="25" t="s">
        <v>75</v>
      </c>
      <c r="M25" s="22" t="s">
        <v>32</v>
      </c>
      <c r="N25" s="15">
        <v>4</v>
      </c>
      <c r="O25" s="15">
        <v>5</v>
      </c>
    </row>
    <row r="26" s="1" customFormat="1" ht="16.5" spans="1:17">
      <c r="A26" s="22" t="str">
        <f t="shared" si="1"/>
        <v>1024004</v>
      </c>
      <c r="B26" s="23">
        <v>102400</v>
      </c>
      <c r="C26" s="23">
        <v>4</v>
      </c>
      <c r="D26" s="23"/>
      <c r="E26" s="29" t="s">
        <v>33</v>
      </c>
      <c r="F26" s="30">
        <v>1</v>
      </c>
      <c r="G26" s="22" t="s">
        <v>23</v>
      </c>
      <c r="H26" s="22">
        <v>2024001</v>
      </c>
      <c r="I26" s="22" t="s">
        <v>24</v>
      </c>
      <c r="J26" s="22"/>
      <c r="K26" s="22"/>
      <c r="L26" s="25">
        <v>10240041</v>
      </c>
      <c r="M26" s="22" t="s">
        <v>34</v>
      </c>
      <c r="N26" s="15">
        <v>4</v>
      </c>
      <c r="O26" s="15">
        <v>5</v>
      </c>
    </row>
    <row r="27" s="1" customFormat="1" ht="16.5" spans="1:17">
      <c r="A27" s="22" t="str">
        <f t="shared" si="1"/>
        <v>1024005</v>
      </c>
      <c r="B27" s="23">
        <v>102400</v>
      </c>
      <c r="C27" s="23">
        <v>5</v>
      </c>
      <c r="D27" s="23"/>
      <c r="E27" s="31" t="s">
        <v>35</v>
      </c>
      <c r="F27" s="30">
        <v>1</v>
      </c>
      <c r="G27" s="22" t="s">
        <v>23</v>
      </c>
      <c r="H27" s="22">
        <v>2024001</v>
      </c>
      <c r="I27" s="22" t="s">
        <v>24</v>
      </c>
      <c r="J27" s="22"/>
      <c r="K27" s="22"/>
      <c r="L27" s="25" t="s">
        <v>76</v>
      </c>
      <c r="M27" s="22" t="s">
        <v>37</v>
      </c>
      <c r="N27" s="15">
        <v>4</v>
      </c>
      <c r="O27" s="15">
        <v>5</v>
      </c>
    </row>
    <row r="28" s="1" customFormat="1" ht="16.5" spans="1:17">
      <c r="A28" s="22" t="str">
        <f t="shared" si="1"/>
        <v>1024006</v>
      </c>
      <c r="B28" s="23">
        <v>102400</v>
      </c>
      <c r="C28" s="23">
        <v>6</v>
      </c>
      <c r="D28" s="23"/>
      <c r="E28" s="31" t="s">
        <v>38</v>
      </c>
      <c r="F28" s="30">
        <v>1</v>
      </c>
      <c r="G28" s="22" t="s">
        <v>23</v>
      </c>
      <c r="H28" s="22">
        <v>2024001</v>
      </c>
      <c r="I28" s="22" t="s">
        <v>24</v>
      </c>
      <c r="J28" s="22"/>
      <c r="K28" s="22"/>
      <c r="L28" s="25">
        <v>10240061</v>
      </c>
      <c r="M28" s="22" t="s">
        <v>39</v>
      </c>
      <c r="N28" s="15">
        <v>4</v>
      </c>
      <c r="O28" s="15">
        <v>5</v>
      </c>
    </row>
    <row r="29" s="1" customFormat="1" ht="16.5" spans="1:17">
      <c r="A29" s="22" t="str">
        <f t="shared" si="1"/>
        <v>1024007</v>
      </c>
      <c r="B29" s="23">
        <v>102400</v>
      </c>
      <c r="C29" s="23">
        <v>7</v>
      </c>
      <c r="D29" s="23"/>
      <c r="E29" s="26" t="s">
        <v>40</v>
      </c>
      <c r="F29" s="23">
        <v>1</v>
      </c>
      <c r="G29" s="22" t="s">
        <v>23</v>
      </c>
      <c r="H29" s="22">
        <v>2024001</v>
      </c>
      <c r="I29" s="22" t="s">
        <v>24</v>
      </c>
      <c r="J29" s="22"/>
      <c r="K29" s="22"/>
      <c r="L29" s="27" t="s">
        <v>77</v>
      </c>
      <c r="M29" s="22" t="s">
        <v>29</v>
      </c>
      <c r="N29" s="15">
        <v>4</v>
      </c>
      <c r="O29" s="15">
        <v>5</v>
      </c>
    </row>
    <row r="30" s="4" customFormat="1" ht="16.5" spans="1:17">
      <c r="A30" s="22" t="str">
        <f t="shared" si="1"/>
        <v>1017001</v>
      </c>
      <c r="B30" s="4">
        <v>101700</v>
      </c>
      <c r="C30" s="4">
        <v>1</v>
      </c>
      <c r="D30" s="4" t="s">
        <v>78</v>
      </c>
      <c r="E30" s="4" t="s">
        <v>22</v>
      </c>
      <c r="F30" s="4">
        <v>1</v>
      </c>
      <c r="G30" s="4" t="s">
        <v>23</v>
      </c>
      <c r="H30" s="4">
        <v>2017001</v>
      </c>
      <c r="I30" s="4" t="s">
        <v>24</v>
      </c>
      <c r="L30" s="4" t="s">
        <v>79</v>
      </c>
      <c r="M30" s="4" t="s">
        <v>54</v>
      </c>
      <c r="N30" s="42">
        <v>4</v>
      </c>
      <c r="O30" s="42">
        <v>5</v>
      </c>
      <c r="Q30" s="16"/>
    </row>
    <row r="31" s="4" customFormat="1" ht="16.5" spans="1:17">
      <c r="A31" s="22" t="str">
        <f t="shared" ref="A31:A54" si="2">B31&amp;C31</f>
        <v>1017002</v>
      </c>
      <c r="B31" s="4">
        <v>101700</v>
      </c>
      <c r="C31" s="4">
        <v>2</v>
      </c>
      <c r="D31" s="4" t="s">
        <v>78</v>
      </c>
      <c r="E31" s="4" t="s">
        <v>55</v>
      </c>
      <c r="F31" s="4">
        <v>1</v>
      </c>
      <c r="G31" s="4" t="s">
        <v>23</v>
      </c>
      <c r="H31" s="4">
        <v>2017001</v>
      </c>
      <c r="I31" s="4" t="s">
        <v>24</v>
      </c>
      <c r="L31" s="4" t="s">
        <v>80</v>
      </c>
      <c r="M31" s="4" t="s">
        <v>34</v>
      </c>
      <c r="N31" s="42">
        <v>4</v>
      </c>
      <c r="O31" s="42">
        <v>5</v>
      </c>
      <c r="Q31" s="16"/>
    </row>
    <row r="32" s="4" customFormat="1" ht="16.5" spans="1:17">
      <c r="A32" s="22" t="str">
        <f t="shared" si="2"/>
        <v>1017003</v>
      </c>
      <c r="B32" s="4">
        <v>101700</v>
      </c>
      <c r="C32" s="4">
        <v>3</v>
      </c>
      <c r="D32" s="4" t="s">
        <v>78</v>
      </c>
      <c r="E32" s="4" t="s">
        <v>81</v>
      </c>
      <c r="F32" s="4">
        <v>1</v>
      </c>
      <c r="G32" s="4" t="s">
        <v>23</v>
      </c>
      <c r="H32" s="4">
        <v>2017001</v>
      </c>
      <c r="I32" s="4" t="s">
        <v>24</v>
      </c>
      <c r="L32" s="4" t="s">
        <v>82</v>
      </c>
      <c r="M32" s="4" t="s">
        <v>83</v>
      </c>
      <c r="N32" s="42">
        <v>4</v>
      </c>
      <c r="O32" s="42">
        <v>5</v>
      </c>
      <c r="Q32" s="16"/>
    </row>
    <row r="33" s="4" customFormat="1" ht="16.5" spans="1:19">
      <c r="A33" s="22" t="str">
        <f t="shared" si="2"/>
        <v>1022001</v>
      </c>
      <c r="B33" s="4">
        <v>102200</v>
      </c>
      <c r="C33" s="4">
        <v>1</v>
      </c>
      <c r="D33" s="4" t="s">
        <v>84</v>
      </c>
      <c r="E33" s="4" t="s">
        <v>22</v>
      </c>
      <c r="F33" s="4">
        <v>1</v>
      </c>
      <c r="G33" s="4" t="s">
        <v>23</v>
      </c>
      <c r="H33" s="4">
        <v>2022001</v>
      </c>
      <c r="I33" s="4" t="s">
        <v>24</v>
      </c>
      <c r="L33" s="43" t="s">
        <v>85</v>
      </c>
      <c r="M33" s="4" t="s">
        <v>86</v>
      </c>
      <c r="N33" s="42">
        <v>3</v>
      </c>
      <c r="O33" s="42">
        <v>5</v>
      </c>
      <c r="Q33" s="16"/>
    </row>
    <row r="34" s="4" customFormat="1" ht="16.5" spans="1:19">
      <c r="A34" s="22" t="str">
        <f t="shared" si="2"/>
        <v>1022002</v>
      </c>
      <c r="B34" s="4">
        <v>102200</v>
      </c>
      <c r="C34" s="4">
        <v>2</v>
      </c>
      <c r="D34" s="4" t="s">
        <v>84</v>
      </c>
      <c r="E34" s="4" t="s">
        <v>87</v>
      </c>
      <c r="F34" s="15">
        <v>1</v>
      </c>
      <c r="G34" s="4" t="s">
        <v>23</v>
      </c>
      <c r="H34" s="4">
        <v>2022001</v>
      </c>
      <c r="I34" s="4" t="s">
        <v>24</v>
      </c>
      <c r="L34" s="43">
        <v>10220033</v>
      </c>
      <c r="M34" s="4" t="s">
        <v>88</v>
      </c>
      <c r="N34" s="42">
        <v>3</v>
      </c>
      <c r="O34" s="42">
        <v>5</v>
      </c>
      <c r="Q34" s="16"/>
    </row>
    <row r="35" s="4" customFormat="1" ht="16.5" spans="1:19">
      <c r="A35" s="22" t="str">
        <f t="shared" si="2"/>
        <v>1022003</v>
      </c>
      <c r="B35" s="4">
        <v>102200</v>
      </c>
      <c r="C35" s="4">
        <v>3</v>
      </c>
      <c r="D35" s="4" t="s">
        <v>84</v>
      </c>
      <c r="E35" s="4" t="s">
        <v>81</v>
      </c>
      <c r="F35" s="4">
        <v>1</v>
      </c>
      <c r="G35" s="4" t="s">
        <v>23</v>
      </c>
      <c r="H35" s="4">
        <v>2022001</v>
      </c>
      <c r="I35" s="4" t="s">
        <v>24</v>
      </c>
      <c r="L35" s="43" t="s">
        <v>89</v>
      </c>
      <c r="M35" s="4" t="s">
        <v>83</v>
      </c>
      <c r="N35" s="42">
        <v>3</v>
      </c>
      <c r="O35" s="42">
        <v>5</v>
      </c>
      <c r="Q35" s="16"/>
    </row>
    <row r="36" s="4" customFormat="1" ht="16.5" spans="1:19">
      <c r="A36" s="22" t="str">
        <f t="shared" si="2"/>
        <v>1022004</v>
      </c>
      <c r="B36" s="4">
        <v>102200</v>
      </c>
      <c r="C36" s="4">
        <v>4</v>
      </c>
      <c r="D36" s="4" t="s">
        <v>84</v>
      </c>
      <c r="E36" s="4" t="s">
        <v>90</v>
      </c>
      <c r="F36" s="15">
        <v>1</v>
      </c>
      <c r="G36" s="4" t="s">
        <v>23</v>
      </c>
      <c r="H36" s="4">
        <v>2022001</v>
      </c>
      <c r="I36" s="4" t="s">
        <v>24</v>
      </c>
      <c r="L36" s="43">
        <v>10220020</v>
      </c>
      <c r="N36" s="42">
        <v>3</v>
      </c>
      <c r="O36" s="42">
        <v>5</v>
      </c>
      <c r="Q36" s="16"/>
    </row>
    <row r="37" s="4" customFormat="1" ht="16.5" spans="1:19">
      <c r="A37" s="22" t="str">
        <f t="shared" si="2"/>
        <v>1022005</v>
      </c>
      <c r="B37" s="4">
        <v>102200</v>
      </c>
      <c r="C37" s="4">
        <v>5</v>
      </c>
      <c r="D37" s="4" t="s">
        <v>84</v>
      </c>
      <c r="E37" s="4" t="s">
        <v>91</v>
      </c>
      <c r="F37" s="4">
        <v>1</v>
      </c>
      <c r="G37" s="4" t="s">
        <v>23</v>
      </c>
      <c r="H37" s="4">
        <v>2022001</v>
      </c>
      <c r="I37" s="4" t="s">
        <v>24</v>
      </c>
      <c r="L37" s="43">
        <v>10220019</v>
      </c>
      <c r="N37" s="42">
        <v>3</v>
      </c>
      <c r="O37" s="42">
        <v>5</v>
      </c>
      <c r="Q37" s="16"/>
      <c r="S37" s="44"/>
    </row>
    <row r="38" s="4" customFormat="1" ht="16.5" spans="1:19">
      <c r="A38" s="22" t="str">
        <f t="shared" si="2"/>
        <v>1021001</v>
      </c>
      <c r="B38" s="4">
        <v>102100</v>
      </c>
      <c r="C38" s="4">
        <v>1</v>
      </c>
      <c r="D38" s="4" t="s">
        <v>92</v>
      </c>
      <c r="E38" s="4" t="s">
        <v>22</v>
      </c>
      <c r="F38" s="4">
        <v>1</v>
      </c>
      <c r="G38" s="4" t="s">
        <v>23</v>
      </c>
      <c r="H38" s="4">
        <v>2021001</v>
      </c>
      <c r="I38" s="4" t="s">
        <v>24</v>
      </c>
      <c r="L38" s="43" t="s">
        <v>93</v>
      </c>
      <c r="M38" s="4" t="s">
        <v>86</v>
      </c>
      <c r="N38" s="42">
        <v>3</v>
      </c>
      <c r="O38" s="42">
        <v>5</v>
      </c>
      <c r="Q38" s="16"/>
      <c r="S38" s="44"/>
    </row>
    <row r="39" s="4" customFormat="1" ht="16.5" spans="1:19">
      <c r="A39" s="22" t="str">
        <f t="shared" si="2"/>
        <v>1021002</v>
      </c>
      <c r="B39" s="4">
        <v>102100</v>
      </c>
      <c r="C39" s="4">
        <v>2</v>
      </c>
      <c r="D39" s="4" t="s">
        <v>92</v>
      </c>
      <c r="E39" s="4" t="s">
        <v>87</v>
      </c>
      <c r="F39" s="4">
        <v>1</v>
      </c>
      <c r="G39" s="4" t="s">
        <v>23</v>
      </c>
      <c r="H39" s="4">
        <v>2021001</v>
      </c>
      <c r="I39" s="4" t="s">
        <v>24</v>
      </c>
      <c r="L39" s="43">
        <v>10210031</v>
      </c>
      <c r="M39" s="4" t="s">
        <v>88</v>
      </c>
      <c r="N39" s="42">
        <v>3</v>
      </c>
      <c r="O39" s="42">
        <v>5</v>
      </c>
      <c r="Q39" s="16"/>
      <c r="S39" s="44"/>
    </row>
    <row r="40" s="4" customFormat="1" ht="16.5" spans="1:19">
      <c r="A40" s="22" t="str">
        <f t="shared" si="2"/>
        <v>1021003</v>
      </c>
      <c r="B40" s="4">
        <v>102100</v>
      </c>
      <c r="C40" s="4">
        <v>3</v>
      </c>
      <c r="D40" s="4" t="s">
        <v>92</v>
      </c>
      <c r="E40" s="4" t="s">
        <v>94</v>
      </c>
      <c r="F40" s="4">
        <v>1</v>
      </c>
      <c r="G40" s="4" t="s">
        <v>23</v>
      </c>
      <c r="H40" s="4">
        <v>2021001</v>
      </c>
      <c r="I40" s="4" t="s">
        <v>24</v>
      </c>
      <c r="L40" s="43">
        <v>10210041</v>
      </c>
      <c r="M40" s="4" t="s">
        <v>95</v>
      </c>
      <c r="N40" s="42">
        <v>3</v>
      </c>
      <c r="O40" s="42">
        <v>5</v>
      </c>
      <c r="Q40" s="16"/>
      <c r="S40" s="44"/>
    </row>
    <row r="41" s="4" customFormat="1" ht="16.5" spans="1:19">
      <c r="A41" s="22" t="str">
        <f t="shared" si="2"/>
        <v>1021004</v>
      </c>
      <c r="B41" s="4">
        <v>102100</v>
      </c>
      <c r="C41" s="4">
        <v>4</v>
      </c>
      <c r="D41" s="4" t="s">
        <v>92</v>
      </c>
      <c r="E41" s="4" t="s">
        <v>81</v>
      </c>
      <c r="F41" s="4">
        <v>1</v>
      </c>
      <c r="G41" s="4" t="s">
        <v>23</v>
      </c>
      <c r="H41" s="4">
        <v>2021001</v>
      </c>
      <c r="I41" s="4" t="s">
        <v>24</v>
      </c>
      <c r="L41" s="43" t="s">
        <v>96</v>
      </c>
      <c r="M41" s="4" t="s">
        <v>83</v>
      </c>
      <c r="N41" s="42">
        <v>3</v>
      </c>
      <c r="O41" s="42">
        <v>5</v>
      </c>
      <c r="Q41" s="16"/>
      <c r="S41" s="44"/>
    </row>
    <row r="42" s="4" customFormat="1" ht="16.5" spans="1:19">
      <c r="A42" s="22" t="str">
        <f t="shared" si="2"/>
        <v>1018001</v>
      </c>
      <c r="B42" s="4">
        <v>101800</v>
      </c>
      <c r="C42" s="4">
        <v>1</v>
      </c>
      <c r="D42" s="4" t="s">
        <v>97</v>
      </c>
      <c r="E42" s="4" t="s">
        <v>22</v>
      </c>
      <c r="F42" s="4">
        <v>1</v>
      </c>
      <c r="G42" s="4" t="s">
        <v>23</v>
      </c>
      <c r="H42" s="4">
        <v>2018001</v>
      </c>
      <c r="I42" s="4" t="s">
        <v>24</v>
      </c>
      <c r="L42" s="43" t="s">
        <v>98</v>
      </c>
      <c r="M42" s="4" t="s">
        <v>86</v>
      </c>
      <c r="N42" s="42">
        <v>4</v>
      </c>
      <c r="O42" s="42">
        <v>6</v>
      </c>
      <c r="Q42" s="16"/>
      <c r="S42" s="44"/>
    </row>
    <row r="43" s="4" customFormat="1" ht="16.5" spans="1:19">
      <c r="A43" s="4" t="str">
        <f t="shared" si="2"/>
        <v>1018002</v>
      </c>
      <c r="B43" s="4">
        <v>101800</v>
      </c>
      <c r="C43" s="4">
        <v>2</v>
      </c>
      <c r="D43" s="4" t="s">
        <v>97</v>
      </c>
      <c r="E43" s="4" t="s">
        <v>87</v>
      </c>
      <c r="F43" s="4">
        <v>1</v>
      </c>
      <c r="G43" s="4" t="s">
        <v>23</v>
      </c>
      <c r="H43" s="4">
        <v>2018002</v>
      </c>
      <c r="I43" s="4" t="s">
        <v>24</v>
      </c>
      <c r="L43" s="43">
        <v>10180031</v>
      </c>
      <c r="M43" s="4" t="s">
        <v>88</v>
      </c>
      <c r="N43" s="42">
        <v>4</v>
      </c>
      <c r="O43" s="42">
        <v>6</v>
      </c>
    </row>
    <row r="44" ht="16.5" spans="1:19">
      <c r="A44" s="4" t="str">
        <f t="shared" si="2"/>
        <v>1018003</v>
      </c>
      <c r="B44" s="4">
        <v>101800</v>
      </c>
      <c r="C44" s="4">
        <v>3</v>
      </c>
      <c r="D44" s="4" t="s">
        <v>97</v>
      </c>
      <c r="E44" s="4" t="s">
        <v>81</v>
      </c>
      <c r="F44" s="4">
        <v>1</v>
      </c>
      <c r="G44" s="4" t="s">
        <v>23</v>
      </c>
      <c r="H44" s="4">
        <v>2018001</v>
      </c>
      <c r="I44" s="4" t="s">
        <v>24</v>
      </c>
      <c r="L44" s="43" t="s">
        <v>99</v>
      </c>
      <c r="M44" s="4" t="s">
        <v>83</v>
      </c>
      <c r="N44" s="42">
        <v>4</v>
      </c>
      <c r="O44" s="42">
        <v>6</v>
      </c>
    </row>
    <row r="45" ht="16.5" spans="1:19">
      <c r="A45" s="4" t="str">
        <f t="shared" si="2"/>
        <v>1025001</v>
      </c>
      <c r="B45" s="4">
        <v>102500</v>
      </c>
      <c r="C45" s="4">
        <v>1</v>
      </c>
      <c r="D45" s="4" t="s">
        <v>100</v>
      </c>
      <c r="E45" s="4" t="s">
        <v>22</v>
      </c>
      <c r="F45" s="4">
        <v>1</v>
      </c>
      <c r="G45" s="4" t="s">
        <v>23</v>
      </c>
      <c r="H45" s="4">
        <v>2025001</v>
      </c>
      <c r="I45" s="4" t="s">
        <v>24</v>
      </c>
      <c r="L45" s="43" t="s">
        <v>101</v>
      </c>
      <c r="M45" s="4" t="s">
        <v>86</v>
      </c>
      <c r="N45" s="42">
        <v>3</v>
      </c>
      <c r="O45" s="42">
        <v>5</v>
      </c>
    </row>
    <row r="46" ht="16.5" spans="1:19">
      <c r="A46" s="4" t="str">
        <f t="shared" si="2"/>
        <v>1025002</v>
      </c>
      <c r="B46" s="4">
        <v>102500</v>
      </c>
      <c r="C46" s="4">
        <v>2</v>
      </c>
      <c r="D46" s="4" t="s">
        <v>100</v>
      </c>
      <c r="E46" s="4" t="s">
        <v>55</v>
      </c>
      <c r="F46" s="4">
        <v>1</v>
      </c>
      <c r="G46" s="4" t="s">
        <v>23</v>
      </c>
      <c r="H46" s="4">
        <v>2025001</v>
      </c>
      <c r="I46" s="4" t="s">
        <v>24</v>
      </c>
      <c r="L46" s="43">
        <v>10250031</v>
      </c>
      <c r="M46" s="4" t="s">
        <v>102</v>
      </c>
      <c r="N46" s="42">
        <v>3</v>
      </c>
      <c r="O46" s="42">
        <v>5</v>
      </c>
    </row>
    <row r="47" ht="16.5" spans="1:19">
      <c r="A47" s="4" t="str">
        <f t="shared" si="2"/>
        <v>1025003</v>
      </c>
      <c r="B47" s="4">
        <v>102500</v>
      </c>
      <c r="C47" s="4">
        <v>3</v>
      </c>
      <c r="D47" s="4" t="s">
        <v>100</v>
      </c>
      <c r="E47" s="4" t="s">
        <v>81</v>
      </c>
      <c r="F47" s="4">
        <v>1</v>
      </c>
      <c r="G47" s="4" t="s">
        <v>23</v>
      </c>
      <c r="H47" s="4">
        <v>2025001</v>
      </c>
      <c r="I47" s="4" t="s">
        <v>24</v>
      </c>
      <c r="L47" s="43" t="s">
        <v>103</v>
      </c>
      <c r="M47" s="4" t="s">
        <v>83</v>
      </c>
      <c r="N47" s="42">
        <v>3</v>
      </c>
      <c r="O47" s="42">
        <v>5</v>
      </c>
    </row>
    <row r="48" ht="16.5" spans="1:19">
      <c r="A48" s="4" t="str">
        <f t="shared" si="2"/>
        <v>1023001</v>
      </c>
      <c r="B48" s="4">
        <v>102300</v>
      </c>
      <c r="C48" s="4">
        <v>1</v>
      </c>
      <c r="D48" s="4" t="s">
        <v>104</v>
      </c>
      <c r="E48" s="4" t="s">
        <v>22</v>
      </c>
      <c r="F48" s="4">
        <v>1</v>
      </c>
      <c r="G48" s="4" t="s">
        <v>23</v>
      </c>
      <c r="H48" s="4">
        <v>2023001</v>
      </c>
      <c r="I48" s="4" t="s">
        <v>24</v>
      </c>
      <c r="L48" s="43" t="s">
        <v>105</v>
      </c>
      <c r="M48" s="4" t="s">
        <v>86</v>
      </c>
      <c r="N48" s="42">
        <v>4</v>
      </c>
      <c r="O48" s="42">
        <v>5</v>
      </c>
    </row>
    <row r="49" ht="16.5" spans="1:16">
      <c r="A49" s="4" t="str">
        <f t="shared" si="2"/>
        <v>1023002</v>
      </c>
      <c r="B49" s="4">
        <v>102300</v>
      </c>
      <c r="C49" s="4">
        <v>2</v>
      </c>
      <c r="D49" s="4" t="s">
        <v>104</v>
      </c>
      <c r="E49" s="4" t="s">
        <v>55</v>
      </c>
      <c r="F49" s="4">
        <v>1</v>
      </c>
      <c r="G49" s="4" t="s">
        <v>23</v>
      </c>
      <c r="H49" s="4">
        <v>2023001</v>
      </c>
      <c r="I49" s="4" t="s">
        <v>24</v>
      </c>
      <c r="L49" s="43">
        <v>10230003</v>
      </c>
      <c r="M49" s="4" t="s">
        <v>102</v>
      </c>
      <c r="N49" s="42">
        <v>4</v>
      </c>
      <c r="O49" s="42">
        <v>5</v>
      </c>
    </row>
    <row r="50" ht="16.5" spans="1:16">
      <c r="A50" s="4" t="str">
        <f t="shared" si="2"/>
        <v>1023003</v>
      </c>
      <c r="B50" s="4">
        <v>102300</v>
      </c>
      <c r="C50" s="4">
        <v>3</v>
      </c>
      <c r="D50" s="4" t="s">
        <v>104</v>
      </c>
      <c r="E50" s="4" t="s">
        <v>81</v>
      </c>
      <c r="F50" s="4">
        <v>1</v>
      </c>
      <c r="G50" s="4" t="s">
        <v>23</v>
      </c>
      <c r="H50" s="4">
        <v>2023001</v>
      </c>
      <c r="I50" s="4" t="s">
        <v>24</v>
      </c>
      <c r="L50" s="43" t="s">
        <v>106</v>
      </c>
      <c r="M50" s="4" t="s">
        <v>83</v>
      </c>
      <c r="N50" s="42">
        <v>4</v>
      </c>
      <c r="O50" s="42">
        <v>5</v>
      </c>
    </row>
    <row r="51" ht="16.5" spans="1:16">
      <c r="A51" s="4" t="str">
        <f t="shared" si="2"/>
        <v>1034001</v>
      </c>
      <c r="B51" s="4">
        <v>103400</v>
      </c>
      <c r="C51" s="4">
        <v>1</v>
      </c>
      <c r="D51" s="4" t="s">
        <v>107</v>
      </c>
      <c r="E51" s="4" t="s">
        <v>22</v>
      </c>
      <c r="F51" s="4">
        <v>1</v>
      </c>
      <c r="G51" s="4" t="s">
        <v>23</v>
      </c>
      <c r="H51" s="4">
        <v>2034001</v>
      </c>
      <c r="I51" s="4" t="s">
        <v>24</v>
      </c>
      <c r="L51" s="43">
        <v>10340007</v>
      </c>
      <c r="M51" s="4" t="s">
        <v>108</v>
      </c>
      <c r="N51" s="42">
        <v>3</v>
      </c>
      <c r="O51" s="42">
        <v>3</v>
      </c>
    </row>
    <row r="52" ht="16.5" spans="1:16">
      <c r="A52" s="4" t="str">
        <f t="shared" si="2"/>
        <v>1034002</v>
      </c>
      <c r="B52" s="4">
        <v>103400</v>
      </c>
      <c r="C52" s="4">
        <v>2</v>
      </c>
      <c r="D52" s="4" t="s">
        <v>107</v>
      </c>
      <c r="E52" s="4" t="s">
        <v>109</v>
      </c>
      <c r="F52" s="4">
        <v>1</v>
      </c>
      <c r="G52" s="4" t="s">
        <v>23</v>
      </c>
      <c r="H52" s="4">
        <v>2034001</v>
      </c>
      <c r="I52" s="4" t="s">
        <v>24</v>
      </c>
      <c r="L52" s="43"/>
      <c r="M52" s="4"/>
      <c r="N52" s="42">
        <v>3</v>
      </c>
      <c r="O52" s="42">
        <v>3</v>
      </c>
      <c r="P52" s="45"/>
    </row>
    <row r="53" ht="16.5" spans="1:16">
      <c r="A53" s="4" t="str">
        <f t="shared" si="2"/>
        <v>1034003</v>
      </c>
      <c r="B53" s="4">
        <v>103400</v>
      </c>
      <c r="C53" s="4">
        <v>3</v>
      </c>
      <c r="D53" s="4" t="s">
        <v>107</v>
      </c>
      <c r="E53" s="4" t="s">
        <v>81</v>
      </c>
      <c r="F53" s="4">
        <v>1</v>
      </c>
      <c r="G53" s="4" t="s">
        <v>23</v>
      </c>
      <c r="H53" s="4">
        <v>2034001</v>
      </c>
      <c r="I53" s="4" t="s">
        <v>24</v>
      </c>
      <c r="L53" s="43"/>
      <c r="M53" s="4"/>
      <c r="N53" s="42">
        <v>3</v>
      </c>
      <c r="O53" s="42">
        <v>3</v>
      </c>
    </row>
    <row r="54" ht="16.5" spans="1:16">
      <c r="A54" s="4" t="str">
        <f t="shared" si="2"/>
        <v>1035001</v>
      </c>
      <c r="B54" s="4">
        <v>103500</v>
      </c>
      <c r="C54" s="4">
        <v>1</v>
      </c>
      <c r="D54" s="4" t="s">
        <v>110</v>
      </c>
      <c r="E54" s="4" t="s">
        <v>111</v>
      </c>
      <c r="F54" s="4">
        <v>1</v>
      </c>
      <c r="G54" s="4" t="s">
        <v>23</v>
      </c>
      <c r="H54" s="4">
        <v>2035001</v>
      </c>
      <c r="I54" s="4" t="s">
        <v>24</v>
      </c>
      <c r="L54" s="43" t="s">
        <v>112</v>
      </c>
      <c r="M54" s="4" t="s">
        <v>113</v>
      </c>
      <c r="N54" s="42">
        <v>4</v>
      </c>
      <c r="O54" s="42">
        <v>3</v>
      </c>
    </row>
    <row r="55" ht="16.5" spans="1:16">
      <c r="A55" s="4" t="str">
        <f t="shared" ref="A55:A108" si="3">B55&amp;C55</f>
        <v>1035002</v>
      </c>
      <c r="B55" s="4">
        <v>103500</v>
      </c>
      <c r="C55" s="4">
        <v>2</v>
      </c>
      <c r="D55" s="4" t="s">
        <v>110</v>
      </c>
      <c r="E55" s="4" t="s">
        <v>114</v>
      </c>
      <c r="F55" s="4">
        <v>1</v>
      </c>
      <c r="G55" s="4" t="s">
        <v>23</v>
      </c>
      <c r="H55" s="4">
        <v>2035002</v>
      </c>
      <c r="I55" s="4" t="s">
        <v>24</v>
      </c>
      <c r="L55" s="43" t="s">
        <v>115</v>
      </c>
      <c r="M55" s="4" t="s">
        <v>116</v>
      </c>
      <c r="N55" s="42">
        <v>4</v>
      </c>
      <c r="O55" s="42">
        <v>3</v>
      </c>
    </row>
    <row r="56" ht="16.5" spans="1:16">
      <c r="A56" s="4" t="str">
        <f t="shared" si="3"/>
        <v>1035003</v>
      </c>
      <c r="B56" s="4">
        <v>103500</v>
      </c>
      <c r="C56" s="4">
        <v>3</v>
      </c>
      <c r="D56" s="4" t="s">
        <v>110</v>
      </c>
      <c r="E56" s="4" t="s">
        <v>81</v>
      </c>
      <c r="F56" s="4">
        <v>1</v>
      </c>
      <c r="G56" s="4" t="s">
        <v>23</v>
      </c>
      <c r="H56" s="4">
        <v>2035001</v>
      </c>
      <c r="I56" s="4" t="s">
        <v>24</v>
      </c>
      <c r="L56" s="43" t="s">
        <v>117</v>
      </c>
      <c r="M56" s="4" t="s">
        <v>118</v>
      </c>
      <c r="N56" s="42">
        <v>4</v>
      </c>
      <c r="O56" s="42">
        <v>3</v>
      </c>
    </row>
    <row r="57" ht="16.5" spans="1:16">
      <c r="A57" s="43">
        <v>1035011</v>
      </c>
      <c r="B57" s="4">
        <v>103501</v>
      </c>
      <c r="C57" s="4">
        <v>1</v>
      </c>
      <c r="D57" s="4" t="s">
        <v>119</v>
      </c>
      <c r="E57" s="4" t="s">
        <v>111</v>
      </c>
      <c r="F57" s="4">
        <v>1</v>
      </c>
      <c r="G57" s="4" t="s">
        <v>23</v>
      </c>
      <c r="H57" s="4">
        <v>2035011</v>
      </c>
      <c r="I57" s="4" t="s">
        <v>24</v>
      </c>
      <c r="L57" s="43" t="s">
        <v>120</v>
      </c>
      <c r="M57" s="4" t="s">
        <v>113</v>
      </c>
      <c r="N57" s="42">
        <v>4</v>
      </c>
      <c r="O57" s="42">
        <v>3</v>
      </c>
    </row>
    <row r="58" ht="16.5" spans="1:16">
      <c r="A58" s="4" t="str">
        <f t="shared" si="3"/>
        <v>1035012</v>
      </c>
      <c r="B58" s="4">
        <v>103501</v>
      </c>
      <c r="C58" s="4">
        <v>2</v>
      </c>
      <c r="D58" s="4" t="s">
        <v>119</v>
      </c>
      <c r="E58" s="4" t="s">
        <v>114</v>
      </c>
      <c r="F58" s="4">
        <v>1</v>
      </c>
      <c r="G58" s="4" t="s">
        <v>23</v>
      </c>
      <c r="H58" s="4">
        <v>2035012</v>
      </c>
      <c r="I58" s="4" t="s">
        <v>24</v>
      </c>
      <c r="L58" s="43" t="s">
        <v>121</v>
      </c>
      <c r="M58" s="4" t="s">
        <v>116</v>
      </c>
      <c r="N58" s="42">
        <v>4</v>
      </c>
      <c r="O58" s="42">
        <v>3</v>
      </c>
    </row>
    <row r="59" ht="16.5" spans="1:16">
      <c r="A59" s="4" t="str">
        <f t="shared" si="3"/>
        <v>1035013</v>
      </c>
      <c r="B59" s="4">
        <v>103501</v>
      </c>
      <c r="C59" s="4">
        <v>3</v>
      </c>
      <c r="D59" s="4" t="s">
        <v>119</v>
      </c>
      <c r="E59" s="4" t="s">
        <v>81</v>
      </c>
      <c r="F59" s="4">
        <v>1</v>
      </c>
      <c r="G59" s="4" t="s">
        <v>23</v>
      </c>
      <c r="H59" s="4">
        <v>2035011</v>
      </c>
      <c r="I59" s="4" t="s">
        <v>24</v>
      </c>
      <c r="L59" s="43" t="s">
        <v>122</v>
      </c>
      <c r="M59" s="4" t="s">
        <v>118</v>
      </c>
      <c r="N59" s="42">
        <v>4</v>
      </c>
      <c r="O59" s="42">
        <v>3</v>
      </c>
    </row>
    <row r="60" ht="16.5" spans="1:16">
      <c r="A60" s="4" t="str">
        <f t="shared" si="3"/>
        <v>1036001</v>
      </c>
      <c r="B60" s="4">
        <v>103600</v>
      </c>
      <c r="C60" s="4">
        <v>1</v>
      </c>
      <c r="D60" s="4" t="s">
        <v>123</v>
      </c>
      <c r="E60" s="4" t="s">
        <v>111</v>
      </c>
      <c r="F60" s="4">
        <v>1</v>
      </c>
      <c r="G60" s="4" t="s">
        <v>23</v>
      </c>
      <c r="H60" s="4">
        <v>2036001</v>
      </c>
      <c r="I60" s="4" t="s">
        <v>24</v>
      </c>
      <c r="L60" s="43" t="s">
        <v>124</v>
      </c>
      <c r="M60" s="4" t="s">
        <v>125</v>
      </c>
      <c r="N60" s="42">
        <v>3</v>
      </c>
      <c r="O60" s="42">
        <v>3</v>
      </c>
    </row>
    <row r="61" ht="16.5" spans="1:16">
      <c r="A61" s="4" t="str">
        <f t="shared" si="3"/>
        <v>1036002</v>
      </c>
      <c r="B61" s="4">
        <v>103600</v>
      </c>
      <c r="C61" s="4">
        <v>2</v>
      </c>
      <c r="D61" s="4" t="s">
        <v>123</v>
      </c>
      <c r="E61" s="4" t="s">
        <v>126</v>
      </c>
      <c r="F61" s="4">
        <v>1</v>
      </c>
      <c r="G61" s="4" t="s">
        <v>23</v>
      </c>
      <c r="H61" s="4">
        <v>2036002</v>
      </c>
      <c r="I61" s="4" t="s">
        <v>24</v>
      </c>
      <c r="L61" s="43">
        <v>10360004</v>
      </c>
      <c r="M61" s="4" t="s">
        <v>127</v>
      </c>
      <c r="N61" s="42">
        <v>3</v>
      </c>
      <c r="O61" s="42">
        <v>3</v>
      </c>
    </row>
    <row r="62" ht="16.5" spans="1:16">
      <c r="A62" s="4" t="str">
        <f t="shared" si="3"/>
        <v>1036003</v>
      </c>
      <c r="B62" s="4">
        <v>103600</v>
      </c>
      <c r="C62" s="4">
        <v>3</v>
      </c>
      <c r="D62" s="4" t="s">
        <v>123</v>
      </c>
      <c r="E62" s="4" t="s">
        <v>81</v>
      </c>
      <c r="F62" s="4">
        <v>1</v>
      </c>
      <c r="G62" s="4" t="s">
        <v>23</v>
      </c>
      <c r="H62" s="4">
        <v>2036001</v>
      </c>
      <c r="I62" s="4" t="s">
        <v>24</v>
      </c>
      <c r="L62" s="43">
        <v>10360002</v>
      </c>
      <c r="M62" s="4" t="s">
        <v>128</v>
      </c>
      <c r="N62" s="42">
        <v>3</v>
      </c>
      <c r="O62" s="42">
        <v>3</v>
      </c>
    </row>
    <row r="63" ht="16.5" spans="1:16">
      <c r="A63" s="4" t="str">
        <f t="shared" si="3"/>
        <v>1028001</v>
      </c>
      <c r="B63" s="4">
        <v>102800</v>
      </c>
      <c r="C63" s="4">
        <v>1</v>
      </c>
      <c r="D63" s="4" t="s">
        <v>129</v>
      </c>
      <c r="E63" s="4" t="s">
        <v>111</v>
      </c>
      <c r="F63" s="4">
        <v>1</v>
      </c>
      <c r="G63" s="4" t="s">
        <v>23</v>
      </c>
      <c r="H63" s="4">
        <v>2028001</v>
      </c>
      <c r="I63" s="4" t="s">
        <v>24</v>
      </c>
      <c r="L63" s="43" t="s">
        <v>130</v>
      </c>
      <c r="M63" s="4" t="s">
        <v>131</v>
      </c>
      <c r="N63" s="42">
        <v>5</v>
      </c>
      <c r="O63" s="42">
        <v>6</v>
      </c>
    </row>
    <row r="64" ht="16.5" spans="1:16">
      <c r="A64" s="4" t="str">
        <f t="shared" si="3"/>
        <v>1028002</v>
      </c>
      <c r="B64" s="4">
        <v>102800</v>
      </c>
      <c r="C64" s="4">
        <v>2</v>
      </c>
      <c r="D64" s="4" t="s">
        <v>129</v>
      </c>
      <c r="E64" s="4" t="s">
        <v>132</v>
      </c>
      <c r="F64" s="4">
        <v>1</v>
      </c>
      <c r="G64" s="4" t="s">
        <v>23</v>
      </c>
      <c r="H64" s="4">
        <v>2028001</v>
      </c>
      <c r="I64" s="4" t="s">
        <v>24</v>
      </c>
      <c r="L64" s="43">
        <v>10280002</v>
      </c>
      <c r="M64" s="4" t="s">
        <v>102</v>
      </c>
      <c r="N64" s="42">
        <v>5</v>
      </c>
      <c r="O64" s="42">
        <v>6</v>
      </c>
    </row>
    <row r="65" ht="16.5" spans="1:17">
      <c r="A65" s="4" t="str">
        <f t="shared" si="3"/>
        <v>1028003</v>
      </c>
      <c r="B65" s="4">
        <v>102800</v>
      </c>
      <c r="C65" s="4">
        <v>3</v>
      </c>
      <c r="D65" s="4" t="s">
        <v>129</v>
      </c>
      <c r="E65" s="4" t="s">
        <v>81</v>
      </c>
      <c r="F65" s="4">
        <v>1</v>
      </c>
      <c r="G65" s="4" t="s">
        <v>23</v>
      </c>
      <c r="H65" s="4">
        <v>2028001</v>
      </c>
      <c r="I65" s="4" t="s">
        <v>24</v>
      </c>
      <c r="L65" s="43" t="s">
        <v>133</v>
      </c>
      <c r="M65" s="4" t="s">
        <v>83</v>
      </c>
      <c r="N65" s="42">
        <v>5</v>
      </c>
      <c r="O65" s="42">
        <v>6</v>
      </c>
    </row>
    <row r="66" ht="16.5" spans="1:17">
      <c r="A66" s="4" t="str">
        <f t="shared" si="3"/>
        <v>1034011</v>
      </c>
      <c r="B66" s="4">
        <v>103401</v>
      </c>
      <c r="C66" s="4">
        <v>1</v>
      </c>
      <c r="D66" s="4" t="s">
        <v>134</v>
      </c>
      <c r="E66" s="4" t="s">
        <v>22</v>
      </c>
      <c r="F66" s="4">
        <v>1</v>
      </c>
      <c r="G66" s="4" t="s">
        <v>23</v>
      </c>
      <c r="H66" s="4">
        <v>2034011</v>
      </c>
      <c r="I66" s="4" t="s">
        <v>24</v>
      </c>
      <c r="L66" s="43">
        <v>10340101</v>
      </c>
      <c r="M66" s="4" t="s">
        <v>108</v>
      </c>
      <c r="N66" s="42">
        <v>3</v>
      </c>
      <c r="O66" s="42">
        <v>3</v>
      </c>
    </row>
    <row r="67" ht="16.5" spans="1:17">
      <c r="A67" s="4" t="str">
        <f t="shared" si="3"/>
        <v>1034012</v>
      </c>
      <c r="B67" s="4">
        <v>103401</v>
      </c>
      <c r="C67" s="4">
        <v>2</v>
      </c>
      <c r="D67" s="4" t="s">
        <v>134</v>
      </c>
      <c r="E67" s="4" t="s">
        <v>135</v>
      </c>
      <c r="F67" s="4">
        <v>1</v>
      </c>
      <c r="G67" s="4" t="s">
        <v>23</v>
      </c>
      <c r="H67" s="4">
        <v>2034011</v>
      </c>
      <c r="I67" s="4" t="s">
        <v>24</v>
      </c>
      <c r="L67" s="43"/>
      <c r="M67" s="4"/>
      <c r="N67" s="42">
        <v>3</v>
      </c>
      <c r="O67" s="42">
        <v>3</v>
      </c>
      <c r="P67" s="45"/>
    </row>
    <row r="68" s="5" customFormat="1" ht="16.5" spans="1:17">
      <c r="A68" s="4" t="str">
        <f t="shared" si="3"/>
        <v>1034013</v>
      </c>
      <c r="B68" s="4">
        <v>103401</v>
      </c>
      <c r="C68" s="4">
        <v>3</v>
      </c>
      <c r="D68" s="4" t="s">
        <v>134</v>
      </c>
      <c r="E68" s="4" t="s">
        <v>81</v>
      </c>
      <c r="F68" s="4">
        <v>1</v>
      </c>
      <c r="G68" s="4" t="s">
        <v>23</v>
      </c>
      <c r="H68" s="4">
        <v>2034011</v>
      </c>
      <c r="I68" s="4" t="s">
        <v>24</v>
      </c>
      <c r="J68"/>
      <c r="K68"/>
      <c r="L68" s="43"/>
      <c r="M68" s="4"/>
      <c r="N68" s="42">
        <v>3</v>
      </c>
      <c r="O68" s="42">
        <v>3</v>
      </c>
      <c r="Q68" s="46"/>
    </row>
    <row r="69" s="5" customFormat="1" ht="16.5" spans="1:17">
      <c r="A69" s="47" t="str">
        <f t="shared" si="3"/>
        <v>1020001</v>
      </c>
      <c r="B69" s="47">
        <v>102000</v>
      </c>
      <c r="C69" s="47">
        <v>1</v>
      </c>
      <c r="D69" s="47" t="s">
        <v>136</v>
      </c>
      <c r="E69" s="47" t="s">
        <v>22</v>
      </c>
      <c r="F69" s="47">
        <v>1</v>
      </c>
      <c r="G69" s="47" t="s">
        <v>23</v>
      </c>
      <c r="H69" s="47">
        <v>2020001</v>
      </c>
      <c r="I69" s="47" t="s">
        <v>24</v>
      </c>
      <c r="L69" s="48" t="s">
        <v>137</v>
      </c>
      <c r="M69" s="47" t="s">
        <v>138</v>
      </c>
      <c r="N69" s="49">
        <v>5</v>
      </c>
      <c r="O69" s="49">
        <v>5</v>
      </c>
      <c r="Q69" s="46"/>
    </row>
    <row r="70" ht="16.5" spans="1:17">
      <c r="A70" s="4" t="str">
        <f t="shared" si="3"/>
        <v>1020002</v>
      </c>
      <c r="B70" s="4">
        <v>102000</v>
      </c>
      <c r="C70" s="4">
        <v>2</v>
      </c>
      <c r="D70" s="4" t="s">
        <v>136</v>
      </c>
      <c r="E70" s="4" t="s">
        <v>132</v>
      </c>
      <c r="F70" s="4">
        <v>1</v>
      </c>
      <c r="G70" s="4" t="s">
        <v>23</v>
      </c>
      <c r="H70" s="4">
        <v>2020001</v>
      </c>
      <c r="I70" s="4" t="s">
        <v>24</v>
      </c>
      <c r="L70" s="43" t="s">
        <v>139</v>
      </c>
      <c r="M70" s="4" t="s">
        <v>140</v>
      </c>
      <c r="N70" s="42">
        <v>5</v>
      </c>
      <c r="O70" s="42">
        <v>5</v>
      </c>
    </row>
    <row r="71" ht="16.5" spans="1:17">
      <c r="A71" s="43">
        <v>1020003</v>
      </c>
      <c r="B71" s="4">
        <v>102000</v>
      </c>
      <c r="C71" s="4">
        <v>3</v>
      </c>
      <c r="D71" s="4" t="s">
        <v>136</v>
      </c>
      <c r="E71" s="4" t="s">
        <v>81</v>
      </c>
      <c r="F71" s="4">
        <v>1</v>
      </c>
      <c r="G71" s="4" t="s">
        <v>23</v>
      </c>
      <c r="H71" s="4">
        <v>2020001</v>
      </c>
      <c r="I71" s="4" t="s">
        <v>24</v>
      </c>
      <c r="L71" s="43" t="s">
        <v>141</v>
      </c>
      <c r="M71" s="4" t="s">
        <v>142</v>
      </c>
      <c r="N71" s="42">
        <v>5</v>
      </c>
      <c r="O71" s="42">
        <v>5</v>
      </c>
    </row>
    <row r="72" s="6" customFormat="1" ht="16.5" spans="1:17">
      <c r="A72" s="50">
        <v>1020004</v>
      </c>
      <c r="B72" s="51">
        <v>102000</v>
      </c>
      <c r="C72" s="51">
        <v>4</v>
      </c>
      <c r="D72" s="51" t="s">
        <v>136</v>
      </c>
      <c r="E72" s="51" t="s">
        <v>143</v>
      </c>
      <c r="F72" s="51">
        <v>1</v>
      </c>
      <c r="G72" s="51" t="s">
        <v>23</v>
      </c>
      <c r="H72" s="51">
        <v>2020002</v>
      </c>
      <c r="I72" s="51" t="s">
        <v>24</v>
      </c>
      <c r="L72" s="50">
        <v>10200016</v>
      </c>
      <c r="M72" s="51" t="s">
        <v>144</v>
      </c>
      <c r="N72" s="52">
        <v>5</v>
      </c>
      <c r="O72" s="52">
        <v>5</v>
      </c>
      <c r="Q72" s="53"/>
    </row>
    <row r="73" ht="16.5" spans="1:17">
      <c r="A73" s="43">
        <v>1020005</v>
      </c>
      <c r="B73" s="4">
        <v>102000</v>
      </c>
      <c r="C73" s="4">
        <v>5</v>
      </c>
      <c r="D73" s="4" t="s">
        <v>136</v>
      </c>
      <c r="E73" s="4" t="s">
        <v>145</v>
      </c>
      <c r="F73" s="4">
        <v>1</v>
      </c>
      <c r="G73" s="4" t="s">
        <v>23</v>
      </c>
      <c r="H73" s="4">
        <v>2020003</v>
      </c>
      <c r="I73" s="4" t="s">
        <v>24</v>
      </c>
      <c r="L73" s="43">
        <v>10200021</v>
      </c>
      <c r="M73" s="4" t="s">
        <v>146</v>
      </c>
      <c r="N73" s="42">
        <v>5</v>
      </c>
      <c r="O73" s="42">
        <v>5</v>
      </c>
    </row>
    <row r="74" ht="16.5" spans="1:17">
      <c r="A74" s="43">
        <v>1038001</v>
      </c>
      <c r="B74" s="4">
        <v>103800</v>
      </c>
      <c r="C74" s="4">
        <v>1</v>
      </c>
      <c r="D74" s="4" t="s">
        <v>147</v>
      </c>
      <c r="E74" s="4" t="s">
        <v>111</v>
      </c>
      <c r="F74" s="4">
        <v>1</v>
      </c>
      <c r="G74" s="4" t="s">
        <v>23</v>
      </c>
      <c r="H74" s="4">
        <v>2038001</v>
      </c>
      <c r="I74" s="4" t="s">
        <v>24</v>
      </c>
      <c r="J74" s="4" t="s">
        <v>148</v>
      </c>
      <c r="L74" s="43"/>
      <c r="M74" s="4" t="s">
        <v>149</v>
      </c>
      <c r="N74" s="42">
        <v>3</v>
      </c>
      <c r="O74" s="42">
        <v>5</v>
      </c>
    </row>
    <row r="75" ht="16.5" spans="1:17">
      <c r="A75" s="4" t="str">
        <f t="shared" si="3"/>
        <v>1038002</v>
      </c>
      <c r="B75" s="4">
        <v>103800</v>
      </c>
      <c r="C75" s="4">
        <v>2</v>
      </c>
      <c r="D75" s="4" t="s">
        <v>147</v>
      </c>
      <c r="E75" s="4" t="s">
        <v>132</v>
      </c>
      <c r="F75" s="4">
        <v>1</v>
      </c>
      <c r="G75" s="4" t="s">
        <v>23</v>
      </c>
      <c r="H75" s="4">
        <v>2038001</v>
      </c>
      <c r="I75" s="4" t="s">
        <v>24</v>
      </c>
      <c r="L75" s="43">
        <v>10380002</v>
      </c>
      <c r="M75" s="4" t="s">
        <v>150</v>
      </c>
      <c r="N75" s="42">
        <v>3</v>
      </c>
      <c r="O75" s="42">
        <v>5</v>
      </c>
    </row>
    <row r="76" ht="16.5" spans="1:17">
      <c r="A76" s="4" t="str">
        <f t="shared" si="3"/>
        <v>1038004</v>
      </c>
      <c r="B76" s="4">
        <v>103800</v>
      </c>
      <c r="C76" s="4">
        <v>4</v>
      </c>
      <c r="D76" s="4" t="s">
        <v>147</v>
      </c>
      <c r="E76" s="4" t="s">
        <v>151</v>
      </c>
      <c r="F76" s="4">
        <v>1</v>
      </c>
      <c r="G76" s="4" t="s">
        <v>23</v>
      </c>
      <c r="H76" s="4">
        <v>2038001</v>
      </c>
      <c r="I76" s="4" t="s">
        <v>24</v>
      </c>
      <c r="L76" s="43" t="s">
        <v>152</v>
      </c>
      <c r="M76" s="4" t="s">
        <v>153</v>
      </c>
      <c r="N76" s="42">
        <v>3</v>
      </c>
      <c r="O76" s="42">
        <v>5</v>
      </c>
    </row>
    <row r="77" ht="16.5" spans="1:17">
      <c r="A77" s="4" t="str">
        <f t="shared" si="3"/>
        <v>1038003</v>
      </c>
      <c r="B77" s="4">
        <v>103800</v>
      </c>
      <c r="C77" s="4">
        <v>3</v>
      </c>
      <c r="D77" s="4" t="s">
        <v>147</v>
      </c>
      <c r="E77" s="4" t="s">
        <v>81</v>
      </c>
      <c r="F77" s="4">
        <v>1</v>
      </c>
      <c r="G77" s="4" t="s">
        <v>23</v>
      </c>
      <c r="H77" s="4">
        <v>2038001</v>
      </c>
      <c r="I77" s="4" t="s">
        <v>24</v>
      </c>
      <c r="L77" s="43" t="s">
        <v>154</v>
      </c>
      <c r="M77" s="4" t="s">
        <v>155</v>
      </c>
      <c r="N77" s="42">
        <v>3</v>
      </c>
      <c r="O77" s="42">
        <v>5</v>
      </c>
    </row>
    <row r="78" ht="16.5" spans="1:17">
      <c r="A78" s="4" t="str">
        <f t="shared" si="3"/>
        <v>1027001</v>
      </c>
      <c r="B78" s="4">
        <v>102700</v>
      </c>
      <c r="C78" s="4">
        <v>1</v>
      </c>
      <c r="D78" s="4" t="s">
        <v>156</v>
      </c>
      <c r="E78" s="4" t="s">
        <v>111</v>
      </c>
      <c r="F78" s="4">
        <v>1</v>
      </c>
      <c r="G78" s="4" t="s">
        <v>23</v>
      </c>
      <c r="H78" s="4">
        <v>2027001</v>
      </c>
      <c r="I78" s="4" t="s">
        <v>24</v>
      </c>
      <c r="L78" s="43" t="s">
        <v>157</v>
      </c>
      <c r="M78" s="4" t="s">
        <v>158</v>
      </c>
      <c r="N78" s="42">
        <v>3</v>
      </c>
      <c r="O78" s="42">
        <v>5</v>
      </c>
    </row>
    <row r="79" ht="16.5" spans="1:17">
      <c r="A79" s="4" t="str">
        <f t="shared" si="3"/>
        <v>1027002</v>
      </c>
      <c r="B79" s="4">
        <v>102700</v>
      </c>
      <c r="C79" s="4">
        <v>2</v>
      </c>
      <c r="D79" s="4" t="s">
        <v>156</v>
      </c>
      <c r="E79" s="4" t="s">
        <v>132</v>
      </c>
      <c r="F79" s="4">
        <v>1</v>
      </c>
      <c r="G79" s="4" t="s">
        <v>23</v>
      </c>
      <c r="H79" s="4">
        <v>2027001</v>
      </c>
      <c r="I79" s="4" t="s">
        <v>24</v>
      </c>
      <c r="L79" s="43">
        <v>10270003</v>
      </c>
      <c r="M79" s="4" t="s">
        <v>159</v>
      </c>
      <c r="N79" s="42">
        <v>3</v>
      </c>
      <c r="O79" s="42">
        <v>5</v>
      </c>
    </row>
    <row r="80" ht="16.5" spans="1:17">
      <c r="A80" s="4" t="str">
        <f t="shared" si="3"/>
        <v>1027003</v>
      </c>
      <c r="B80" s="4">
        <v>102700</v>
      </c>
      <c r="C80" s="4">
        <v>3</v>
      </c>
      <c r="D80" s="4" t="s">
        <v>156</v>
      </c>
      <c r="E80" s="4" t="s">
        <v>81</v>
      </c>
      <c r="F80" s="4">
        <v>1</v>
      </c>
      <c r="G80" s="4" t="s">
        <v>23</v>
      </c>
      <c r="H80" s="4">
        <v>2027001</v>
      </c>
      <c r="I80" s="4" t="s">
        <v>24</v>
      </c>
      <c r="L80" s="43" t="s">
        <v>160</v>
      </c>
      <c r="M80" s="4" t="s">
        <v>161</v>
      </c>
      <c r="N80" s="42">
        <v>3</v>
      </c>
      <c r="O80" s="42">
        <v>5</v>
      </c>
    </row>
    <row r="81" ht="16.5" spans="1:17">
      <c r="A81" s="4" t="str">
        <f t="shared" si="3"/>
        <v>1037001</v>
      </c>
      <c r="B81" s="4">
        <v>103700</v>
      </c>
      <c r="C81" s="4">
        <v>1</v>
      </c>
      <c r="D81" s="4" t="s">
        <v>162</v>
      </c>
      <c r="E81" s="4" t="s">
        <v>111</v>
      </c>
      <c r="F81" s="4">
        <v>1</v>
      </c>
      <c r="G81" s="4" t="s">
        <v>23</v>
      </c>
      <c r="H81" s="4">
        <v>2037001</v>
      </c>
      <c r="I81" s="4" t="s">
        <v>24</v>
      </c>
      <c r="L81" s="43" t="s">
        <v>163</v>
      </c>
      <c r="M81" s="4" t="s">
        <v>164</v>
      </c>
      <c r="N81" s="42">
        <v>4</v>
      </c>
      <c r="O81" s="42">
        <v>3</v>
      </c>
    </row>
    <row r="82" ht="16.5" spans="1:17">
      <c r="A82" s="4" t="str">
        <f t="shared" si="3"/>
        <v>1037002</v>
      </c>
      <c r="B82" s="4">
        <v>103700</v>
      </c>
      <c r="C82" s="4">
        <v>2</v>
      </c>
      <c r="D82" s="4" t="s">
        <v>162</v>
      </c>
      <c r="E82" s="4" t="s">
        <v>165</v>
      </c>
      <c r="F82" s="4">
        <v>1</v>
      </c>
      <c r="G82" s="4" t="s">
        <v>23</v>
      </c>
      <c r="H82" s="4">
        <v>2037002</v>
      </c>
      <c r="I82" s="4" t="s">
        <v>24</v>
      </c>
      <c r="L82" s="43" t="s">
        <v>166</v>
      </c>
      <c r="M82" s="4" t="s">
        <v>164</v>
      </c>
      <c r="N82" s="42">
        <v>4</v>
      </c>
      <c r="O82" s="42">
        <v>3</v>
      </c>
    </row>
    <row r="83" ht="16.5" spans="1:17">
      <c r="A83" s="4" t="str">
        <f t="shared" si="3"/>
        <v>1037003</v>
      </c>
      <c r="B83" s="4">
        <v>103700</v>
      </c>
      <c r="C83" s="4">
        <v>3</v>
      </c>
      <c r="D83" s="4" t="s">
        <v>162</v>
      </c>
      <c r="E83" s="4" t="s">
        <v>81</v>
      </c>
      <c r="F83" s="4">
        <v>1</v>
      </c>
      <c r="G83" s="4" t="s">
        <v>23</v>
      </c>
      <c r="H83" s="4">
        <v>2037002</v>
      </c>
      <c r="I83" s="4" t="s">
        <v>24</v>
      </c>
      <c r="L83" s="43">
        <v>10370003</v>
      </c>
      <c r="M83" s="4" t="s">
        <v>167</v>
      </c>
      <c r="N83" s="42">
        <v>4</v>
      </c>
      <c r="O83" s="42">
        <v>3</v>
      </c>
    </row>
    <row r="84" ht="16.5" spans="1:17">
      <c r="A84" s="4" t="str">
        <f t="shared" si="3"/>
        <v>1031001</v>
      </c>
      <c r="B84" s="4">
        <v>103100</v>
      </c>
      <c r="C84" s="4">
        <v>1</v>
      </c>
      <c r="D84" s="4" t="s">
        <v>168</v>
      </c>
      <c r="E84" s="4" t="s">
        <v>111</v>
      </c>
      <c r="F84" s="4">
        <v>1</v>
      </c>
      <c r="G84" s="4" t="s">
        <v>23</v>
      </c>
      <c r="H84" s="4">
        <v>2031001</v>
      </c>
      <c r="I84" s="4" t="s">
        <v>24</v>
      </c>
      <c r="L84" s="43" t="s">
        <v>169</v>
      </c>
      <c r="M84" s="4" t="s">
        <v>170</v>
      </c>
      <c r="N84" s="42">
        <v>3</v>
      </c>
      <c r="O84" s="42">
        <v>5</v>
      </c>
    </row>
    <row r="85" ht="16.5" spans="1:17">
      <c r="A85" s="4" t="str">
        <f t="shared" si="3"/>
        <v>1031002</v>
      </c>
      <c r="B85" s="4">
        <v>103100</v>
      </c>
      <c r="C85" s="4">
        <v>2</v>
      </c>
      <c r="D85" s="4" t="s">
        <v>168</v>
      </c>
      <c r="E85" s="4" t="s">
        <v>132</v>
      </c>
      <c r="F85" s="4">
        <v>1</v>
      </c>
      <c r="G85" s="4" t="s">
        <v>23</v>
      </c>
      <c r="H85" s="4">
        <v>2031001</v>
      </c>
      <c r="I85" s="4" t="s">
        <v>24</v>
      </c>
      <c r="L85" s="43">
        <v>10310008</v>
      </c>
      <c r="M85" s="4" t="s">
        <v>171</v>
      </c>
      <c r="N85" s="42">
        <v>3</v>
      </c>
      <c r="O85" s="42">
        <v>5</v>
      </c>
    </row>
    <row r="86" ht="16.5" spans="1:17">
      <c r="A86" s="4" t="str">
        <f t="shared" si="3"/>
        <v>1031003</v>
      </c>
      <c r="B86" s="4">
        <v>103100</v>
      </c>
      <c r="C86" s="4">
        <v>3</v>
      </c>
      <c r="D86" s="4" t="s">
        <v>168</v>
      </c>
      <c r="E86" s="4" t="s">
        <v>94</v>
      </c>
      <c r="F86" s="4">
        <v>1</v>
      </c>
      <c r="G86" s="4" t="s">
        <v>23</v>
      </c>
      <c r="H86" s="4">
        <v>2031001</v>
      </c>
      <c r="I86" s="4" t="s">
        <v>24</v>
      </c>
      <c r="L86" s="43" t="s">
        <v>172</v>
      </c>
      <c r="M86" s="4" t="s">
        <v>173</v>
      </c>
      <c r="N86" s="42">
        <v>3</v>
      </c>
      <c r="O86" s="42">
        <v>5</v>
      </c>
    </row>
    <row r="87" ht="16.5" spans="1:17">
      <c r="A87" s="4" t="str">
        <f t="shared" si="3"/>
        <v>1031004</v>
      </c>
      <c r="B87" s="4">
        <v>103100</v>
      </c>
      <c r="C87" s="4">
        <v>4</v>
      </c>
      <c r="D87" s="4" t="s">
        <v>168</v>
      </c>
      <c r="E87" s="4" t="s">
        <v>81</v>
      </c>
      <c r="F87" s="4">
        <v>1</v>
      </c>
      <c r="G87" s="4" t="s">
        <v>23</v>
      </c>
      <c r="H87" s="4">
        <v>2031001</v>
      </c>
      <c r="I87" s="4" t="s">
        <v>24</v>
      </c>
      <c r="L87" s="43" t="s">
        <v>174</v>
      </c>
      <c r="M87" s="4" t="s">
        <v>175</v>
      </c>
      <c r="N87" s="42">
        <v>3</v>
      </c>
      <c r="O87" s="42">
        <v>5</v>
      </c>
    </row>
    <row r="88" ht="16.5" spans="1:17">
      <c r="A88" s="4" t="str">
        <f t="shared" si="3"/>
        <v>1031005</v>
      </c>
      <c r="B88" s="4">
        <v>103100</v>
      </c>
      <c r="C88" s="4">
        <v>5</v>
      </c>
      <c r="D88" s="4" t="s">
        <v>168</v>
      </c>
      <c r="E88" s="4" t="s">
        <v>176</v>
      </c>
      <c r="F88" s="4">
        <v>1</v>
      </c>
      <c r="G88" s="4" t="s">
        <v>23</v>
      </c>
      <c r="H88" s="4">
        <v>2031001</v>
      </c>
      <c r="I88" s="4" t="s">
        <v>24</v>
      </c>
      <c r="L88" s="43">
        <v>10310003</v>
      </c>
      <c r="M88" s="4" t="s">
        <v>177</v>
      </c>
      <c r="N88" s="42">
        <v>3</v>
      </c>
      <c r="O88" s="42">
        <v>5</v>
      </c>
    </row>
    <row r="89" ht="16.5" spans="1:17">
      <c r="A89" s="4" t="str">
        <f t="shared" si="3"/>
        <v>1031006</v>
      </c>
      <c r="B89" s="4">
        <v>103100</v>
      </c>
      <c r="C89" s="4">
        <v>6</v>
      </c>
      <c r="D89" s="4" t="s">
        <v>168</v>
      </c>
      <c r="E89" s="4" t="s">
        <v>178</v>
      </c>
      <c r="F89" s="4">
        <v>1</v>
      </c>
      <c r="G89" s="4" t="s">
        <v>23</v>
      </c>
      <c r="H89" s="4">
        <v>2031001</v>
      </c>
      <c r="I89" s="4" t="s">
        <v>24</v>
      </c>
      <c r="L89" s="43" t="s">
        <v>179</v>
      </c>
      <c r="M89" s="4" t="s">
        <v>180</v>
      </c>
      <c r="N89" s="42">
        <v>3</v>
      </c>
      <c r="O89" s="42">
        <v>5</v>
      </c>
    </row>
    <row r="90" ht="16.5" spans="1:17">
      <c r="A90" s="4" t="str">
        <f t="shared" si="3"/>
        <v>1040001</v>
      </c>
      <c r="B90" s="4">
        <v>104000</v>
      </c>
      <c r="C90" s="4">
        <v>1</v>
      </c>
      <c r="D90" s="4" t="s">
        <v>181</v>
      </c>
      <c r="E90" s="4" t="s">
        <v>111</v>
      </c>
      <c r="F90" s="4">
        <v>1</v>
      </c>
      <c r="G90" s="4" t="s">
        <v>23</v>
      </c>
      <c r="H90" s="4">
        <v>2040001</v>
      </c>
      <c r="I90" s="4" t="s">
        <v>24</v>
      </c>
      <c r="L90" s="43" t="s">
        <v>182</v>
      </c>
      <c r="M90" s="4" t="s">
        <v>183</v>
      </c>
      <c r="N90" s="42">
        <v>3</v>
      </c>
      <c r="O90" s="42">
        <v>5</v>
      </c>
    </row>
    <row r="91" ht="16.5" spans="1:17">
      <c r="A91" s="4" t="str">
        <f t="shared" si="3"/>
        <v>1040002</v>
      </c>
      <c r="B91" s="4">
        <v>104000</v>
      </c>
      <c r="C91" s="4">
        <v>2</v>
      </c>
      <c r="D91" s="4" t="s">
        <v>181</v>
      </c>
      <c r="E91" s="4" t="s">
        <v>132</v>
      </c>
      <c r="F91" s="4">
        <v>1</v>
      </c>
      <c r="G91" s="4" t="s">
        <v>23</v>
      </c>
      <c r="H91" s="4">
        <v>2040001</v>
      </c>
      <c r="I91" s="4" t="s">
        <v>24</v>
      </c>
      <c r="L91" s="43" t="s">
        <v>184</v>
      </c>
      <c r="M91" s="4" t="s">
        <v>185</v>
      </c>
      <c r="N91" s="42">
        <v>3</v>
      </c>
      <c r="O91" s="42">
        <v>5</v>
      </c>
    </row>
    <row r="92" ht="16.5" spans="1:17">
      <c r="A92" s="4" t="str">
        <f t="shared" si="3"/>
        <v>1040003</v>
      </c>
      <c r="B92" s="4">
        <v>104000</v>
      </c>
      <c r="C92" s="4">
        <v>3</v>
      </c>
      <c r="D92" s="4" t="s">
        <v>181</v>
      </c>
      <c r="E92" s="4" t="s">
        <v>81</v>
      </c>
      <c r="F92" s="4">
        <v>1</v>
      </c>
      <c r="G92" s="4" t="s">
        <v>23</v>
      </c>
      <c r="H92" s="4">
        <v>2040001</v>
      </c>
      <c r="I92" s="4" t="s">
        <v>24</v>
      </c>
      <c r="L92" s="43" t="s">
        <v>186</v>
      </c>
      <c r="M92" s="4" t="s">
        <v>187</v>
      </c>
      <c r="N92" s="42">
        <v>3</v>
      </c>
      <c r="O92" s="42">
        <v>5</v>
      </c>
    </row>
    <row r="93" s="4" customFormat="1" ht="16.5" spans="1:17">
      <c r="A93" s="4" t="str">
        <f t="shared" si="3"/>
        <v>1039001</v>
      </c>
      <c r="B93" s="4">
        <v>103900</v>
      </c>
      <c r="C93" s="4">
        <v>1</v>
      </c>
      <c r="D93" s="4" t="s">
        <v>188</v>
      </c>
      <c r="E93" s="4" t="s">
        <v>111</v>
      </c>
      <c r="F93" s="4">
        <v>1</v>
      </c>
      <c r="G93" s="4" t="s">
        <v>23</v>
      </c>
      <c r="H93" s="4">
        <v>2039001</v>
      </c>
      <c r="I93" s="4" t="s">
        <v>24</v>
      </c>
      <c r="L93" s="4" t="s">
        <v>189</v>
      </c>
      <c r="M93" s="4" t="s">
        <v>158</v>
      </c>
      <c r="N93" s="42">
        <v>3</v>
      </c>
      <c r="O93" s="42">
        <v>5</v>
      </c>
      <c r="Q93" s="16"/>
    </row>
    <row r="94" s="4" customFormat="1" ht="16.5" spans="1:17">
      <c r="A94" s="4" t="str">
        <f t="shared" si="3"/>
        <v>1039002</v>
      </c>
      <c r="B94" s="4">
        <v>103900</v>
      </c>
      <c r="C94" s="4">
        <v>2</v>
      </c>
      <c r="D94" s="4" t="s">
        <v>188</v>
      </c>
      <c r="E94" s="4" t="s">
        <v>132</v>
      </c>
      <c r="F94" s="4">
        <v>1</v>
      </c>
      <c r="G94" s="4" t="s">
        <v>23</v>
      </c>
      <c r="H94" s="4">
        <v>2039001</v>
      </c>
      <c r="I94" s="4" t="s">
        <v>24</v>
      </c>
      <c r="L94" s="43">
        <v>10390003</v>
      </c>
      <c r="M94" s="4" t="s">
        <v>159</v>
      </c>
      <c r="N94" s="42">
        <v>3</v>
      </c>
      <c r="O94" s="42">
        <v>5</v>
      </c>
      <c r="Q94" s="16"/>
    </row>
    <row r="95" s="4" customFormat="1" ht="16.5" spans="1:17">
      <c r="A95" s="4" t="str">
        <f t="shared" si="3"/>
        <v>1039003</v>
      </c>
      <c r="B95" s="4">
        <v>103900</v>
      </c>
      <c r="C95" s="4">
        <v>3</v>
      </c>
      <c r="D95" s="4" t="s">
        <v>188</v>
      </c>
      <c r="E95" s="4" t="s">
        <v>81</v>
      </c>
      <c r="F95" s="4">
        <v>1</v>
      </c>
      <c r="G95" s="4" t="s">
        <v>23</v>
      </c>
      <c r="H95" s="4">
        <v>2039001</v>
      </c>
      <c r="I95" s="4" t="s">
        <v>24</v>
      </c>
      <c r="L95" s="4" t="s">
        <v>190</v>
      </c>
      <c r="M95" s="4" t="s">
        <v>83</v>
      </c>
      <c r="N95" s="42">
        <v>3</v>
      </c>
      <c r="O95" s="42">
        <v>5</v>
      </c>
      <c r="Q95" s="16"/>
    </row>
    <row r="96" s="4" customFormat="1" ht="16.5" spans="1:17">
      <c r="A96" s="4" t="str">
        <f t="shared" si="3"/>
        <v>1016001</v>
      </c>
      <c r="B96" s="4">
        <v>101600</v>
      </c>
      <c r="C96" s="4">
        <v>1</v>
      </c>
      <c r="D96" s="4" t="s">
        <v>191</v>
      </c>
      <c r="E96" s="4" t="s">
        <v>111</v>
      </c>
      <c r="F96" s="4">
        <v>1</v>
      </c>
      <c r="G96" s="4" t="s">
        <v>23</v>
      </c>
      <c r="H96" s="4">
        <v>2016001</v>
      </c>
      <c r="I96" s="4" t="s">
        <v>24</v>
      </c>
      <c r="L96" s="4" t="s">
        <v>192</v>
      </c>
      <c r="M96" s="4" t="s">
        <v>193</v>
      </c>
      <c r="N96" s="42">
        <v>6</v>
      </c>
      <c r="O96" s="42">
        <v>6</v>
      </c>
      <c r="Q96" s="16"/>
    </row>
    <row r="97" s="4" customFormat="1" ht="16.5" spans="1:17">
      <c r="A97" s="4" t="str">
        <f t="shared" si="3"/>
        <v>1016002</v>
      </c>
      <c r="B97" s="4">
        <v>101600</v>
      </c>
      <c r="C97" s="4">
        <v>2</v>
      </c>
      <c r="D97" s="4" t="s">
        <v>191</v>
      </c>
      <c r="E97" s="4" t="s">
        <v>132</v>
      </c>
      <c r="F97" s="4">
        <v>1</v>
      </c>
      <c r="G97" s="4" t="s">
        <v>23</v>
      </c>
      <c r="H97" s="4">
        <v>2016001</v>
      </c>
      <c r="I97" s="4" t="s">
        <v>24</v>
      </c>
      <c r="L97" s="43">
        <v>10160002</v>
      </c>
      <c r="M97" s="4" t="s">
        <v>194</v>
      </c>
      <c r="N97" s="42">
        <v>6</v>
      </c>
      <c r="O97" s="42">
        <v>6</v>
      </c>
      <c r="Q97" s="16"/>
    </row>
    <row r="98" s="4" customFormat="1" ht="16.5" spans="1:17">
      <c r="A98" s="4" t="str">
        <f t="shared" si="3"/>
        <v>1016003</v>
      </c>
      <c r="B98" s="4">
        <v>101600</v>
      </c>
      <c r="C98" s="4">
        <v>3</v>
      </c>
      <c r="D98" s="4" t="s">
        <v>191</v>
      </c>
      <c r="E98" s="4" t="s">
        <v>81</v>
      </c>
      <c r="F98" s="4">
        <v>1</v>
      </c>
      <c r="G98" s="4" t="s">
        <v>23</v>
      </c>
      <c r="H98" s="4">
        <v>2016001</v>
      </c>
      <c r="I98" s="4" t="s">
        <v>24</v>
      </c>
      <c r="L98" s="4" t="s">
        <v>195</v>
      </c>
      <c r="M98" s="4" t="s">
        <v>196</v>
      </c>
      <c r="N98" s="42">
        <v>6</v>
      </c>
      <c r="O98" s="42">
        <v>6</v>
      </c>
      <c r="Q98" s="16"/>
    </row>
    <row r="99" s="4" customFormat="1" ht="16.5" spans="1:17">
      <c r="A99" s="4" t="str">
        <f t="shared" si="3"/>
        <v>1015001</v>
      </c>
      <c r="B99" s="4">
        <v>101500</v>
      </c>
      <c r="C99" s="4">
        <v>1</v>
      </c>
      <c r="D99" s="4" t="s">
        <v>197</v>
      </c>
      <c r="E99" s="4" t="s">
        <v>111</v>
      </c>
      <c r="F99" s="4">
        <v>1</v>
      </c>
      <c r="G99" s="4" t="s">
        <v>23</v>
      </c>
      <c r="H99" s="4">
        <v>2015001</v>
      </c>
      <c r="I99" s="4" t="s">
        <v>24</v>
      </c>
      <c r="L99" s="4" t="s">
        <v>198</v>
      </c>
      <c r="M99" s="4" t="s">
        <v>199</v>
      </c>
      <c r="N99" s="42">
        <v>3</v>
      </c>
      <c r="O99" s="42">
        <v>5</v>
      </c>
      <c r="Q99" s="16"/>
    </row>
    <row r="100" s="4" customFormat="1" ht="16.5" spans="1:17">
      <c r="A100" s="4" t="str">
        <f t="shared" si="3"/>
        <v>1015002</v>
      </c>
      <c r="B100" s="4">
        <v>101500</v>
      </c>
      <c r="C100" s="4">
        <v>2</v>
      </c>
      <c r="D100" s="4" t="s">
        <v>197</v>
      </c>
      <c r="E100" s="4" t="s">
        <v>200</v>
      </c>
      <c r="F100" s="4">
        <v>1</v>
      </c>
      <c r="G100" s="4" t="s">
        <v>23</v>
      </c>
      <c r="H100" s="4">
        <v>2015001</v>
      </c>
      <c r="I100" s="4" t="s">
        <v>24</v>
      </c>
      <c r="J100" s="4" t="s">
        <v>201</v>
      </c>
      <c r="M100" s="4" t="s">
        <v>108</v>
      </c>
      <c r="N100" s="42">
        <v>3</v>
      </c>
      <c r="O100" s="42">
        <v>5</v>
      </c>
      <c r="Q100" s="16"/>
    </row>
    <row r="101" s="4" customFormat="1" ht="16.5" spans="1:17">
      <c r="A101" s="4" t="str">
        <f t="shared" si="3"/>
        <v>1015003</v>
      </c>
      <c r="B101" s="4">
        <v>101500</v>
      </c>
      <c r="C101" s="4">
        <v>3</v>
      </c>
      <c r="D101" s="4" t="s">
        <v>197</v>
      </c>
      <c r="E101" s="4" t="s">
        <v>132</v>
      </c>
      <c r="F101" s="4">
        <v>1</v>
      </c>
      <c r="G101" s="4" t="s">
        <v>23</v>
      </c>
      <c r="H101" s="4">
        <v>2015001</v>
      </c>
      <c r="I101" s="4" t="s">
        <v>24</v>
      </c>
      <c r="L101" s="43">
        <v>10150002</v>
      </c>
      <c r="M101" s="4" t="s">
        <v>88</v>
      </c>
      <c r="N101" s="42">
        <v>3</v>
      </c>
      <c r="O101" s="42">
        <v>5</v>
      </c>
      <c r="Q101" s="16"/>
    </row>
    <row r="102" s="4" customFormat="1" ht="16.5" spans="1:17">
      <c r="A102" s="4" t="str">
        <f t="shared" si="3"/>
        <v>1015004</v>
      </c>
      <c r="B102" s="4">
        <v>101500</v>
      </c>
      <c r="C102" s="4">
        <v>4</v>
      </c>
      <c r="D102" s="4" t="s">
        <v>197</v>
      </c>
      <c r="E102" s="4" t="s">
        <v>81</v>
      </c>
      <c r="F102" s="4">
        <v>1</v>
      </c>
      <c r="G102" s="4" t="s">
        <v>23</v>
      </c>
      <c r="H102" s="4">
        <v>2015001</v>
      </c>
      <c r="I102" s="4" t="s">
        <v>24</v>
      </c>
      <c r="L102" s="4" t="s">
        <v>202</v>
      </c>
      <c r="M102" s="4" t="s">
        <v>203</v>
      </c>
      <c r="N102" s="42">
        <v>3</v>
      </c>
      <c r="O102" s="42">
        <v>5</v>
      </c>
      <c r="Q102" s="16"/>
    </row>
    <row r="103" s="4" customFormat="1" ht="16.5" spans="1:17">
      <c r="A103" s="4" t="str">
        <f t="shared" si="3"/>
        <v>1015005</v>
      </c>
      <c r="B103" s="4">
        <v>101500</v>
      </c>
      <c r="C103" s="4">
        <v>5</v>
      </c>
      <c r="D103" s="4" t="s">
        <v>197</v>
      </c>
      <c r="E103" s="4" t="s">
        <v>204</v>
      </c>
      <c r="F103" s="4">
        <v>1</v>
      </c>
      <c r="G103" s="4" t="s">
        <v>23</v>
      </c>
      <c r="H103" s="4">
        <v>2015002</v>
      </c>
      <c r="I103" s="4" t="s">
        <v>24</v>
      </c>
      <c r="L103" s="43">
        <v>10150005</v>
      </c>
      <c r="M103" s="4" t="s">
        <v>205</v>
      </c>
      <c r="N103" s="42">
        <v>3</v>
      </c>
      <c r="O103" s="42">
        <v>5</v>
      </c>
      <c r="Q103" s="16"/>
    </row>
    <row r="104" s="4" customFormat="1" ht="16.5" spans="1:17">
      <c r="A104" s="4" t="str">
        <f t="shared" si="3"/>
        <v>1015006</v>
      </c>
      <c r="B104" s="4">
        <v>101500</v>
      </c>
      <c r="C104" s="4">
        <v>6</v>
      </c>
      <c r="D104" s="4" t="s">
        <v>197</v>
      </c>
      <c r="E104" s="4" t="s">
        <v>206</v>
      </c>
      <c r="F104" s="4">
        <v>1</v>
      </c>
      <c r="G104" s="4" t="s">
        <v>23</v>
      </c>
      <c r="H104" s="4">
        <v>2015001</v>
      </c>
      <c r="I104" s="4" t="s">
        <v>24</v>
      </c>
      <c r="L104" s="43">
        <v>10150006</v>
      </c>
      <c r="M104" s="4" t="s">
        <v>207</v>
      </c>
      <c r="N104" s="42">
        <v>3</v>
      </c>
      <c r="O104" s="42">
        <v>5</v>
      </c>
      <c r="Q104" s="16"/>
    </row>
    <row r="105" s="4" customFormat="1" ht="16.5" spans="1:17">
      <c r="A105" s="4" t="str">
        <f t="shared" si="3"/>
        <v>1015007</v>
      </c>
      <c r="B105" s="4">
        <v>101500</v>
      </c>
      <c r="C105" s="4">
        <v>7</v>
      </c>
      <c r="D105" s="4" t="s">
        <v>197</v>
      </c>
      <c r="E105" s="4" t="s">
        <v>208</v>
      </c>
      <c r="F105" s="4">
        <v>1</v>
      </c>
      <c r="G105" s="4" t="s">
        <v>23</v>
      </c>
      <c r="H105" s="4">
        <v>2015001</v>
      </c>
      <c r="I105" s="4" t="s">
        <v>24</v>
      </c>
      <c r="L105" s="43">
        <v>10150007</v>
      </c>
      <c r="M105" s="4" t="s">
        <v>209</v>
      </c>
      <c r="N105" s="42">
        <v>3</v>
      </c>
      <c r="O105" s="42">
        <v>5</v>
      </c>
      <c r="Q105" s="16"/>
    </row>
    <row r="106" s="4" customFormat="1" ht="16.5" spans="1:17">
      <c r="A106" s="4" t="str">
        <f t="shared" si="3"/>
        <v>1026001</v>
      </c>
      <c r="B106" s="4">
        <v>102600</v>
      </c>
      <c r="C106" s="4">
        <v>1</v>
      </c>
      <c r="D106" s="4" t="s">
        <v>210</v>
      </c>
      <c r="E106" s="4" t="s">
        <v>111</v>
      </c>
      <c r="F106" s="4">
        <v>1</v>
      </c>
      <c r="G106" s="4" t="s">
        <v>23</v>
      </c>
      <c r="H106" s="4">
        <v>2026001</v>
      </c>
      <c r="I106" s="4" t="s">
        <v>24</v>
      </c>
      <c r="L106" s="43" t="s">
        <v>211</v>
      </c>
      <c r="M106" s="4" t="s">
        <v>212</v>
      </c>
      <c r="N106" s="42">
        <v>6</v>
      </c>
      <c r="O106" s="42">
        <v>6</v>
      </c>
      <c r="Q106" s="16"/>
    </row>
    <row r="107" s="4" customFormat="1" ht="16.5" spans="1:17">
      <c r="A107" s="4" t="str">
        <f t="shared" si="3"/>
        <v>1026002</v>
      </c>
      <c r="B107" s="4">
        <v>102600</v>
      </c>
      <c r="C107" s="4">
        <v>2</v>
      </c>
      <c r="D107" s="4" t="s">
        <v>210</v>
      </c>
      <c r="E107" s="4" t="s">
        <v>132</v>
      </c>
      <c r="F107" s="4">
        <v>1</v>
      </c>
      <c r="G107" s="4" t="s">
        <v>23</v>
      </c>
      <c r="H107" s="4">
        <v>2026001</v>
      </c>
      <c r="I107" s="4" t="s">
        <v>24</v>
      </c>
      <c r="L107" s="43" t="s">
        <v>213</v>
      </c>
      <c r="M107" s="4" t="s">
        <v>194</v>
      </c>
      <c r="N107" s="42">
        <v>6</v>
      </c>
      <c r="O107" s="42">
        <v>6</v>
      </c>
      <c r="Q107" s="16"/>
    </row>
    <row r="108" s="4" customFormat="1" ht="16.5" spans="1:17">
      <c r="A108" s="4" t="str">
        <f t="shared" si="3"/>
        <v>1026003</v>
      </c>
      <c r="B108" s="4">
        <v>102600</v>
      </c>
      <c r="C108" s="4">
        <v>3</v>
      </c>
      <c r="D108" s="4" t="s">
        <v>210</v>
      </c>
      <c r="E108" s="4" t="s">
        <v>81</v>
      </c>
      <c r="F108" s="4">
        <v>1</v>
      </c>
      <c r="G108" s="4" t="s">
        <v>23</v>
      </c>
      <c r="H108" s="4">
        <v>2026001</v>
      </c>
      <c r="I108" s="4" t="s">
        <v>24</v>
      </c>
      <c r="L108" s="43" t="s">
        <v>214</v>
      </c>
      <c r="M108" s="4" t="s">
        <v>196</v>
      </c>
      <c r="N108" s="42">
        <v>6</v>
      </c>
      <c r="O108" s="42">
        <v>6</v>
      </c>
      <c r="Q108" s="16"/>
    </row>
    <row r="109" s="4" customFormat="1" ht="16.5" spans="1:17">
      <c r="A109" s="4" t="str">
        <f t="shared" ref="A109:A112" si="4">B109&amp;C109</f>
        <v>1050001</v>
      </c>
      <c r="B109" s="4">
        <v>105000</v>
      </c>
      <c r="C109" s="4">
        <v>1</v>
      </c>
      <c r="D109" s="4" t="s">
        <v>215</v>
      </c>
      <c r="E109" s="4" t="s">
        <v>111</v>
      </c>
      <c r="F109" s="4">
        <v>1</v>
      </c>
      <c r="G109" s="4" t="s">
        <v>23</v>
      </c>
      <c r="H109" s="4">
        <v>2050001</v>
      </c>
      <c r="I109" s="4" t="s">
        <v>24</v>
      </c>
      <c r="L109" s="43" t="s">
        <v>216</v>
      </c>
      <c r="M109" s="4" t="s">
        <v>217</v>
      </c>
      <c r="N109" s="42">
        <v>6</v>
      </c>
      <c r="O109" s="42">
        <v>6</v>
      </c>
      <c r="Q109" s="16"/>
    </row>
    <row r="110" s="4" customFormat="1" ht="16.5" spans="1:17">
      <c r="A110" s="4" t="str">
        <f t="shared" si="4"/>
        <v>1050002</v>
      </c>
      <c r="B110" s="4">
        <v>105000</v>
      </c>
      <c r="C110" s="4">
        <v>2</v>
      </c>
      <c r="D110" s="4" t="s">
        <v>215</v>
      </c>
      <c r="E110" s="4" t="s">
        <v>132</v>
      </c>
      <c r="F110" s="4">
        <v>1</v>
      </c>
      <c r="G110" s="4" t="s">
        <v>23</v>
      </c>
      <c r="H110" s="4">
        <v>2050001</v>
      </c>
      <c r="I110" s="4" t="s">
        <v>24</v>
      </c>
      <c r="L110" s="43" t="s">
        <v>218</v>
      </c>
      <c r="M110" s="4" t="s">
        <v>219</v>
      </c>
      <c r="N110" s="42">
        <v>6</v>
      </c>
      <c r="O110" s="42">
        <v>6</v>
      </c>
      <c r="Q110" s="16"/>
    </row>
    <row r="111" s="4" customFormat="1" ht="16.5" spans="1:17">
      <c r="A111" s="4" t="str">
        <f t="shared" si="4"/>
        <v>1050003</v>
      </c>
      <c r="B111" s="4">
        <v>105000</v>
      </c>
      <c r="C111" s="4">
        <v>3</v>
      </c>
      <c r="D111" s="4" t="s">
        <v>215</v>
      </c>
      <c r="E111" s="4" t="s">
        <v>81</v>
      </c>
      <c r="F111" s="4">
        <v>1</v>
      </c>
      <c r="G111" s="4" t="s">
        <v>23</v>
      </c>
      <c r="H111" s="4">
        <v>2050001</v>
      </c>
      <c r="I111" s="4" t="s">
        <v>24</v>
      </c>
      <c r="L111" s="43" t="s">
        <v>220</v>
      </c>
      <c r="M111" s="4" t="s">
        <v>221</v>
      </c>
      <c r="N111" s="42">
        <v>6</v>
      </c>
      <c r="O111" s="42">
        <v>6</v>
      </c>
      <c r="Q111" s="16"/>
    </row>
    <row r="112" s="4" customFormat="1" ht="16.5" spans="1:17">
      <c r="A112" s="4" t="str">
        <f t="shared" si="4"/>
        <v>1050004</v>
      </c>
      <c r="B112" s="4">
        <v>105000</v>
      </c>
      <c r="C112" s="4">
        <v>4</v>
      </c>
      <c r="D112" s="4" t="s">
        <v>215</v>
      </c>
      <c r="E112" s="4" t="s">
        <v>222</v>
      </c>
      <c r="F112" s="4">
        <v>1</v>
      </c>
      <c r="G112" s="4" t="s">
        <v>23</v>
      </c>
      <c r="H112" s="4">
        <v>2050001</v>
      </c>
      <c r="I112" s="4" t="s">
        <v>24</v>
      </c>
      <c r="L112" s="43" t="s">
        <v>223</v>
      </c>
      <c r="M112" s="4" t="s">
        <v>224</v>
      </c>
      <c r="N112" s="42">
        <v>6</v>
      </c>
      <c r="O112" s="42">
        <v>6</v>
      </c>
      <c r="Q112" s="16"/>
    </row>
    <row r="113" s="4" customFormat="1" ht="16.5" spans="1:17">
      <c r="A113" s="43">
        <v>1051001</v>
      </c>
      <c r="B113" s="4">
        <v>105100</v>
      </c>
      <c r="C113" s="4">
        <v>1</v>
      </c>
      <c r="D113" s="4" t="s">
        <v>225</v>
      </c>
      <c r="E113" s="4" t="s">
        <v>226</v>
      </c>
      <c r="F113" s="4">
        <v>1</v>
      </c>
      <c r="G113" s="4" t="s">
        <v>23</v>
      </c>
      <c r="H113" s="4">
        <v>2051001</v>
      </c>
      <c r="I113" s="4" t="s">
        <v>24</v>
      </c>
      <c r="L113" s="43">
        <v>10510007</v>
      </c>
      <c r="M113" s="43" t="s">
        <v>227</v>
      </c>
      <c r="N113" s="42">
        <v>4</v>
      </c>
      <c r="O113" s="42">
        <v>4</v>
      </c>
      <c r="Q113" s="16"/>
    </row>
    <row r="114" s="4" customFormat="1" ht="16.5" spans="1:17">
      <c r="A114" s="43">
        <v>1051002</v>
      </c>
      <c r="B114" s="4">
        <v>105100</v>
      </c>
      <c r="C114" s="4">
        <v>2</v>
      </c>
      <c r="D114" s="4" t="s">
        <v>225</v>
      </c>
      <c r="E114" s="4" t="s">
        <v>228</v>
      </c>
      <c r="F114" s="4">
        <v>1</v>
      </c>
      <c r="G114" s="4" t="s">
        <v>23</v>
      </c>
      <c r="H114" s="4">
        <v>2051002</v>
      </c>
      <c r="I114" s="4" t="s">
        <v>24</v>
      </c>
      <c r="L114" s="43">
        <v>10510008</v>
      </c>
      <c r="M114" s="43" t="s">
        <v>229</v>
      </c>
      <c r="N114" s="42">
        <v>5</v>
      </c>
      <c r="O114" s="42">
        <v>5</v>
      </c>
      <c r="Q114" s="16"/>
    </row>
    <row r="115" s="4" customFormat="1" ht="16.5" spans="1:17">
      <c r="A115" s="43">
        <v>1051003</v>
      </c>
      <c r="B115" s="4">
        <v>105100</v>
      </c>
      <c r="C115" s="4">
        <v>3</v>
      </c>
      <c r="D115" s="4" t="s">
        <v>225</v>
      </c>
      <c r="E115" s="4" t="s">
        <v>230</v>
      </c>
      <c r="F115" s="4">
        <v>1</v>
      </c>
      <c r="G115" s="4" t="s">
        <v>23</v>
      </c>
      <c r="H115" s="4">
        <v>2051003</v>
      </c>
      <c r="I115" s="4" t="s">
        <v>24</v>
      </c>
      <c r="L115" s="43">
        <v>10510009</v>
      </c>
      <c r="M115" s="43" t="s">
        <v>231</v>
      </c>
      <c r="N115" s="42">
        <v>6</v>
      </c>
      <c r="O115" s="42">
        <v>6</v>
      </c>
      <c r="Q115" s="16"/>
    </row>
    <row r="116" s="4" customFormat="1" ht="16.5" spans="1:17">
      <c r="A116" s="43">
        <v>1051004</v>
      </c>
      <c r="B116" s="4">
        <v>105100</v>
      </c>
      <c r="C116" s="4">
        <v>4</v>
      </c>
      <c r="D116" s="4" t="s">
        <v>225</v>
      </c>
      <c r="E116" s="4" t="s">
        <v>232</v>
      </c>
      <c r="F116" s="4">
        <v>1</v>
      </c>
      <c r="G116" s="4" t="s">
        <v>23</v>
      </c>
      <c r="H116" s="4">
        <v>2051001</v>
      </c>
      <c r="I116" s="4" t="s">
        <v>24</v>
      </c>
      <c r="L116" s="43">
        <v>10510001</v>
      </c>
      <c r="M116" s="4" t="s">
        <v>233</v>
      </c>
      <c r="N116" s="42">
        <v>4</v>
      </c>
      <c r="O116" s="42">
        <v>4</v>
      </c>
      <c r="Q116" s="16"/>
    </row>
    <row r="117" s="4" customFormat="1" ht="16.5" spans="1:17">
      <c r="A117" s="43">
        <v>1051005</v>
      </c>
      <c r="B117" s="4">
        <v>105100</v>
      </c>
      <c r="C117" s="4">
        <v>5</v>
      </c>
      <c r="D117" s="4" t="s">
        <v>225</v>
      </c>
      <c r="E117" s="4" t="s">
        <v>234</v>
      </c>
      <c r="F117" s="4">
        <v>1</v>
      </c>
      <c r="G117" s="4" t="s">
        <v>23</v>
      </c>
      <c r="H117" s="4">
        <v>2051002</v>
      </c>
      <c r="I117" s="4" t="s">
        <v>24</v>
      </c>
      <c r="L117" s="43">
        <v>10510002</v>
      </c>
      <c r="M117" s="4" t="s">
        <v>235</v>
      </c>
      <c r="N117" s="42">
        <v>5</v>
      </c>
      <c r="O117" s="42">
        <v>5</v>
      </c>
      <c r="Q117" s="16"/>
    </row>
    <row r="118" s="4" customFormat="1" ht="16.5" spans="1:17">
      <c r="A118" s="43">
        <v>1051006</v>
      </c>
      <c r="B118" s="4">
        <v>105100</v>
      </c>
      <c r="C118" s="4">
        <v>6</v>
      </c>
      <c r="D118" s="4" t="s">
        <v>225</v>
      </c>
      <c r="E118" s="4" t="s">
        <v>236</v>
      </c>
      <c r="F118" s="4">
        <v>1</v>
      </c>
      <c r="G118" s="4" t="s">
        <v>23</v>
      </c>
      <c r="H118" s="4">
        <v>2051003</v>
      </c>
      <c r="I118" s="4" t="s">
        <v>24</v>
      </c>
      <c r="L118" s="43">
        <v>10510003</v>
      </c>
      <c r="M118" s="4" t="s">
        <v>237</v>
      </c>
      <c r="N118" s="42">
        <v>6</v>
      </c>
      <c r="O118" s="42">
        <v>6</v>
      </c>
      <c r="Q118" s="16"/>
    </row>
    <row r="119" s="4" customFormat="1" ht="16.5" spans="1:17">
      <c r="A119" s="43">
        <v>1051007</v>
      </c>
      <c r="B119" s="4">
        <v>105100</v>
      </c>
      <c r="C119" s="4">
        <v>7</v>
      </c>
      <c r="D119" s="4" t="s">
        <v>225</v>
      </c>
      <c r="E119" s="4" t="s">
        <v>238</v>
      </c>
      <c r="F119" s="4">
        <v>1</v>
      </c>
      <c r="G119" s="4" t="s">
        <v>23</v>
      </c>
      <c r="H119" s="4">
        <v>2051001</v>
      </c>
      <c r="I119" s="4" t="s">
        <v>24</v>
      </c>
      <c r="L119" s="43">
        <v>10510004</v>
      </c>
      <c r="M119" s="4" t="s">
        <v>239</v>
      </c>
      <c r="N119" s="42">
        <v>4</v>
      </c>
      <c r="O119" s="42">
        <v>4</v>
      </c>
      <c r="Q119" s="16"/>
    </row>
    <row r="120" s="4" customFormat="1" ht="16.5" spans="1:17">
      <c r="A120" s="43">
        <v>1051008</v>
      </c>
      <c r="B120" s="4">
        <v>105100</v>
      </c>
      <c r="C120" s="4">
        <v>8</v>
      </c>
      <c r="D120" s="4" t="s">
        <v>225</v>
      </c>
      <c r="E120" s="4" t="s">
        <v>240</v>
      </c>
      <c r="F120" s="4">
        <v>1</v>
      </c>
      <c r="G120" s="4" t="s">
        <v>23</v>
      </c>
      <c r="H120" s="4">
        <v>2051002</v>
      </c>
      <c r="I120" s="4" t="s">
        <v>24</v>
      </c>
      <c r="L120" s="43">
        <v>10510005</v>
      </c>
      <c r="M120" s="4" t="s">
        <v>241</v>
      </c>
      <c r="N120" s="42">
        <v>5</v>
      </c>
      <c r="O120" s="42">
        <v>5</v>
      </c>
      <c r="Q120" s="16"/>
    </row>
    <row r="121" s="4" customFormat="1" ht="16.5" spans="1:17">
      <c r="A121" s="43">
        <v>1051009</v>
      </c>
      <c r="B121" s="4">
        <v>105100</v>
      </c>
      <c r="C121" s="4">
        <v>9</v>
      </c>
      <c r="D121" s="4" t="s">
        <v>225</v>
      </c>
      <c r="E121" s="4" t="s">
        <v>242</v>
      </c>
      <c r="F121" s="4">
        <v>1</v>
      </c>
      <c r="G121" s="4" t="s">
        <v>23</v>
      </c>
      <c r="H121" s="4">
        <v>2051003</v>
      </c>
      <c r="I121" s="4" t="s">
        <v>24</v>
      </c>
      <c r="L121" s="43">
        <v>10510006</v>
      </c>
      <c r="M121" s="4" t="s">
        <v>243</v>
      </c>
      <c r="N121" s="42">
        <v>6</v>
      </c>
      <c r="O121" s="42">
        <v>6</v>
      </c>
      <c r="Q121" s="16"/>
    </row>
    <row r="122" s="4" customFormat="1" ht="16.5" spans="1:17">
      <c r="A122" s="4" t="str">
        <f t="shared" ref="A122:A136" si="5">B122&amp;C122</f>
        <v>1054001</v>
      </c>
      <c r="B122" s="4">
        <v>105400</v>
      </c>
      <c r="C122" s="4">
        <v>1</v>
      </c>
      <c r="D122" s="4" t="s">
        <v>244</v>
      </c>
      <c r="E122" s="4" t="s">
        <v>111</v>
      </c>
      <c r="F122" s="4">
        <v>1</v>
      </c>
      <c r="G122" s="4" t="s">
        <v>23</v>
      </c>
      <c r="H122" s="4">
        <v>2054001</v>
      </c>
      <c r="I122" s="4" t="s">
        <v>24</v>
      </c>
      <c r="L122" s="43" t="s">
        <v>245</v>
      </c>
      <c r="M122" s="4" t="s">
        <v>246</v>
      </c>
      <c r="N122" s="42">
        <v>6</v>
      </c>
      <c r="O122" s="42">
        <v>6</v>
      </c>
      <c r="Q122" s="16"/>
    </row>
    <row r="123" s="4" customFormat="1" ht="16.5" spans="1:17">
      <c r="A123" s="4" t="str">
        <f t="shared" si="5"/>
        <v>1054002</v>
      </c>
      <c r="B123" s="4">
        <v>105400</v>
      </c>
      <c r="C123" s="4">
        <v>2</v>
      </c>
      <c r="D123" s="4" t="s">
        <v>244</v>
      </c>
      <c r="E123" s="4" t="s">
        <v>132</v>
      </c>
      <c r="F123" s="4">
        <v>1</v>
      </c>
      <c r="G123" s="4" t="s">
        <v>23</v>
      </c>
      <c r="H123" s="4">
        <v>2054001</v>
      </c>
      <c r="I123" s="4" t="s">
        <v>24</v>
      </c>
      <c r="L123" s="43" t="s">
        <v>247</v>
      </c>
      <c r="M123" s="4" t="s">
        <v>248</v>
      </c>
      <c r="N123" s="42">
        <v>6</v>
      </c>
      <c r="O123" s="42">
        <v>6</v>
      </c>
      <c r="Q123" s="16"/>
    </row>
    <row r="124" s="4" customFormat="1" ht="16.5" spans="1:17">
      <c r="A124" s="4" t="str">
        <f t="shared" si="5"/>
        <v>1054003</v>
      </c>
      <c r="B124" s="4">
        <v>105400</v>
      </c>
      <c r="C124" s="4">
        <v>3</v>
      </c>
      <c r="D124" s="4" t="s">
        <v>244</v>
      </c>
      <c r="E124" s="4" t="s">
        <v>81</v>
      </c>
      <c r="F124" s="4">
        <v>1</v>
      </c>
      <c r="G124" s="4" t="s">
        <v>23</v>
      </c>
      <c r="H124" s="4">
        <v>2054001</v>
      </c>
      <c r="I124" s="4" t="s">
        <v>24</v>
      </c>
      <c r="L124" s="43" t="s">
        <v>249</v>
      </c>
      <c r="M124" s="4" t="s">
        <v>250</v>
      </c>
      <c r="N124" s="42">
        <v>6</v>
      </c>
      <c r="O124" s="42">
        <v>6</v>
      </c>
      <c r="Q124" s="16"/>
    </row>
    <row r="125" s="4" customFormat="1" ht="16.5" spans="1:17">
      <c r="A125" s="4" t="str">
        <f t="shared" si="5"/>
        <v>1054004</v>
      </c>
      <c r="B125" s="4">
        <v>105400</v>
      </c>
      <c r="C125" s="4">
        <v>4</v>
      </c>
      <c r="D125" s="4" t="s">
        <v>244</v>
      </c>
      <c r="E125" s="4" t="s">
        <v>222</v>
      </c>
      <c r="F125" s="4">
        <v>1</v>
      </c>
      <c r="G125" s="4" t="s">
        <v>23</v>
      </c>
      <c r="H125" s="4">
        <v>2054001</v>
      </c>
      <c r="I125" s="4" t="s">
        <v>24</v>
      </c>
      <c r="L125" s="43" t="s">
        <v>251</v>
      </c>
      <c r="M125" s="4" t="s">
        <v>224</v>
      </c>
      <c r="N125" s="42">
        <v>6</v>
      </c>
      <c r="O125" s="42">
        <v>6</v>
      </c>
      <c r="Q125" s="16"/>
    </row>
    <row r="126" s="4" customFormat="1" ht="16.5" spans="1:17">
      <c r="A126" s="4" t="str">
        <f t="shared" si="5"/>
        <v>1008001</v>
      </c>
      <c r="B126" s="4">
        <v>100800</v>
      </c>
      <c r="C126" s="4">
        <v>1</v>
      </c>
      <c r="D126" s="4" t="s">
        <v>252</v>
      </c>
      <c r="E126" s="4" t="s">
        <v>111</v>
      </c>
      <c r="F126" s="4">
        <v>1</v>
      </c>
      <c r="G126" s="4" t="s">
        <v>23</v>
      </c>
      <c r="H126" s="4">
        <v>2008001</v>
      </c>
      <c r="I126" s="4" t="s">
        <v>24</v>
      </c>
      <c r="L126" s="43" t="s">
        <v>253</v>
      </c>
      <c r="M126" s="4" t="s">
        <v>254</v>
      </c>
      <c r="N126" s="42">
        <v>6</v>
      </c>
      <c r="O126" s="42">
        <v>6</v>
      </c>
      <c r="Q126" s="16"/>
    </row>
    <row r="127" s="4" customFormat="1" ht="16.5" spans="1:17">
      <c r="A127" s="4" t="str">
        <f t="shared" si="5"/>
        <v>1008002</v>
      </c>
      <c r="B127" s="4">
        <v>100800</v>
      </c>
      <c r="C127" s="4">
        <v>2</v>
      </c>
      <c r="D127" s="4" t="s">
        <v>252</v>
      </c>
      <c r="E127" s="4" t="s">
        <v>132</v>
      </c>
      <c r="F127" s="4">
        <v>1</v>
      </c>
      <c r="G127" s="4" t="s">
        <v>23</v>
      </c>
      <c r="H127" s="4">
        <v>2008001</v>
      </c>
      <c r="I127" s="4" t="s">
        <v>24</v>
      </c>
      <c r="L127" s="43" t="s">
        <v>255</v>
      </c>
      <c r="M127" s="4" t="s">
        <v>248</v>
      </c>
      <c r="N127" s="42">
        <v>6</v>
      </c>
      <c r="O127" s="42">
        <v>6</v>
      </c>
      <c r="Q127" s="16"/>
    </row>
    <row r="128" s="4" customFormat="1" ht="16.5" spans="1:17">
      <c r="A128" s="4" t="str">
        <f t="shared" si="5"/>
        <v>1008003</v>
      </c>
      <c r="B128" s="4">
        <v>100800</v>
      </c>
      <c r="C128" s="4">
        <v>3</v>
      </c>
      <c r="D128" s="4" t="s">
        <v>252</v>
      </c>
      <c r="E128" s="4" t="s">
        <v>81</v>
      </c>
      <c r="F128" s="4">
        <v>1</v>
      </c>
      <c r="G128" s="4" t="s">
        <v>23</v>
      </c>
      <c r="H128" s="4">
        <v>2008001</v>
      </c>
      <c r="I128" s="4" t="s">
        <v>24</v>
      </c>
      <c r="L128" s="43" t="s">
        <v>256</v>
      </c>
      <c r="M128" s="4" t="s">
        <v>250</v>
      </c>
      <c r="N128" s="42">
        <v>6</v>
      </c>
      <c r="O128" s="42">
        <v>6</v>
      </c>
      <c r="Q128" s="16"/>
    </row>
    <row r="129" s="4" customFormat="1" ht="16.5" spans="1:17">
      <c r="A129" s="4" t="str">
        <f t="shared" si="5"/>
        <v>1053001</v>
      </c>
      <c r="B129" s="4">
        <v>105300</v>
      </c>
      <c r="C129" s="4">
        <v>1</v>
      </c>
      <c r="D129" s="4" t="s">
        <v>257</v>
      </c>
      <c r="E129" s="4" t="s">
        <v>22</v>
      </c>
      <c r="F129" s="4">
        <v>1</v>
      </c>
      <c r="G129" s="4" t="s">
        <v>23</v>
      </c>
      <c r="H129" s="4">
        <v>2053001</v>
      </c>
      <c r="I129" s="4" t="s">
        <v>24</v>
      </c>
      <c r="L129" s="43" t="s">
        <v>258</v>
      </c>
      <c r="M129" s="4" t="s">
        <v>259</v>
      </c>
      <c r="N129" s="42">
        <v>5</v>
      </c>
      <c r="O129" s="42">
        <v>5</v>
      </c>
      <c r="Q129" s="16"/>
    </row>
    <row r="130" s="4" customFormat="1" ht="16.5" spans="1:17">
      <c r="A130" s="4" t="str">
        <f t="shared" si="5"/>
        <v>1053002</v>
      </c>
      <c r="B130" s="4">
        <v>105300</v>
      </c>
      <c r="C130" s="4">
        <v>2</v>
      </c>
      <c r="D130" s="4" t="s">
        <v>257</v>
      </c>
      <c r="E130" s="4" t="s">
        <v>55</v>
      </c>
      <c r="F130" s="4">
        <v>1</v>
      </c>
      <c r="G130" s="4" t="s">
        <v>23</v>
      </c>
      <c r="H130" s="4">
        <v>2053001</v>
      </c>
      <c r="I130" s="4" t="s">
        <v>24</v>
      </c>
      <c r="L130" s="43">
        <v>10530002</v>
      </c>
      <c r="M130" s="4" t="s">
        <v>260</v>
      </c>
      <c r="N130" s="42">
        <v>5</v>
      </c>
      <c r="O130" s="42">
        <v>5</v>
      </c>
      <c r="Q130" s="16"/>
    </row>
    <row r="131" s="4" customFormat="1" ht="16.5" spans="1:17">
      <c r="A131" s="4" t="str">
        <f t="shared" si="5"/>
        <v>1057001</v>
      </c>
      <c r="B131" s="4">
        <v>105700</v>
      </c>
      <c r="C131" s="4">
        <v>1</v>
      </c>
      <c r="D131" s="4" t="s">
        <v>261</v>
      </c>
      <c r="E131" s="4" t="s">
        <v>22</v>
      </c>
      <c r="F131" s="4">
        <v>1</v>
      </c>
      <c r="G131" s="4" t="s">
        <v>23</v>
      </c>
      <c r="H131" s="4">
        <v>2057001</v>
      </c>
      <c r="I131" s="4" t="s">
        <v>24</v>
      </c>
      <c r="L131" s="43" t="s">
        <v>262</v>
      </c>
      <c r="M131" s="4" t="s">
        <v>263</v>
      </c>
      <c r="N131" s="42">
        <v>6</v>
      </c>
      <c r="O131" s="42">
        <v>5</v>
      </c>
      <c r="Q131" s="16"/>
    </row>
    <row r="132" s="4" customFormat="1" ht="16.5" spans="1:17">
      <c r="A132" s="4" t="str">
        <f t="shared" si="5"/>
        <v>1057002</v>
      </c>
      <c r="B132" s="4">
        <v>105700</v>
      </c>
      <c r="C132" s="4">
        <v>2</v>
      </c>
      <c r="D132" s="4" t="s">
        <v>261</v>
      </c>
      <c r="E132" s="4" t="s">
        <v>55</v>
      </c>
      <c r="F132" s="4">
        <v>1</v>
      </c>
      <c r="G132" s="4" t="s">
        <v>23</v>
      </c>
      <c r="H132" s="4">
        <v>2057001</v>
      </c>
      <c r="I132" s="4" t="s">
        <v>24</v>
      </c>
      <c r="L132" s="43">
        <v>10570002</v>
      </c>
      <c r="M132" s="4" t="s">
        <v>102</v>
      </c>
      <c r="N132" s="42">
        <v>6</v>
      </c>
      <c r="O132" s="42">
        <v>5</v>
      </c>
      <c r="Q132" s="16"/>
    </row>
    <row r="133" s="4" customFormat="1" ht="16.5" spans="1:17">
      <c r="A133" s="4" t="str">
        <f t="shared" si="5"/>
        <v>1057003</v>
      </c>
      <c r="B133" s="4">
        <v>105700</v>
      </c>
      <c r="C133" s="4">
        <v>3</v>
      </c>
      <c r="D133" s="4" t="s">
        <v>261</v>
      </c>
      <c r="E133" s="4" t="s">
        <v>81</v>
      </c>
      <c r="F133" s="4">
        <v>1</v>
      </c>
      <c r="G133" s="4" t="s">
        <v>23</v>
      </c>
      <c r="H133" s="4">
        <v>2057001</v>
      </c>
      <c r="I133" s="4" t="s">
        <v>24</v>
      </c>
      <c r="L133" s="43" t="s">
        <v>264</v>
      </c>
      <c r="M133" s="4" t="s">
        <v>203</v>
      </c>
      <c r="N133" s="42">
        <v>6</v>
      </c>
      <c r="O133" s="42">
        <v>5</v>
      </c>
      <c r="Q133" s="16"/>
    </row>
    <row r="134" s="4" customFormat="1" ht="16.5" spans="1:17">
      <c r="A134" s="4" t="str">
        <f t="shared" si="5"/>
        <v>1058001</v>
      </c>
      <c r="B134" s="4">
        <v>105800</v>
      </c>
      <c r="C134" s="4">
        <v>1</v>
      </c>
      <c r="D134" s="4" t="s">
        <v>265</v>
      </c>
      <c r="E134" s="4" t="s">
        <v>22</v>
      </c>
      <c r="F134" s="4">
        <v>1</v>
      </c>
      <c r="G134" s="4" t="s">
        <v>23</v>
      </c>
      <c r="H134" s="4">
        <v>2058001</v>
      </c>
      <c r="I134" s="4" t="s">
        <v>24</v>
      </c>
      <c r="L134" s="43">
        <v>10580003</v>
      </c>
      <c r="M134" s="4" t="s">
        <v>266</v>
      </c>
      <c r="N134" s="42">
        <v>7</v>
      </c>
      <c r="O134" s="42">
        <v>7</v>
      </c>
      <c r="Q134" s="16"/>
    </row>
    <row r="135" s="4" customFormat="1" ht="16.5" spans="1:17">
      <c r="A135" s="4" t="str">
        <f t="shared" si="5"/>
        <v>1058002</v>
      </c>
      <c r="B135" s="4">
        <v>105800</v>
      </c>
      <c r="C135" s="4">
        <v>2</v>
      </c>
      <c r="D135" s="4" t="s">
        <v>265</v>
      </c>
      <c r="E135" s="4" t="s">
        <v>55</v>
      </c>
      <c r="F135" s="4">
        <v>1</v>
      </c>
      <c r="G135" s="4" t="s">
        <v>23</v>
      </c>
      <c r="H135" s="4">
        <v>2058001</v>
      </c>
      <c r="I135" s="4" t="s">
        <v>24</v>
      </c>
      <c r="L135" s="43">
        <v>10580002</v>
      </c>
      <c r="M135" s="4" t="s">
        <v>88</v>
      </c>
      <c r="N135" s="42">
        <v>7</v>
      </c>
      <c r="O135" s="42">
        <v>7</v>
      </c>
      <c r="Q135" s="16"/>
    </row>
    <row r="136" s="4" customFormat="1" ht="16.5" spans="1:17">
      <c r="A136" s="4" t="str">
        <f t="shared" si="5"/>
        <v>1058003</v>
      </c>
      <c r="B136" s="4">
        <v>105800</v>
      </c>
      <c r="C136" s="4">
        <v>3</v>
      </c>
      <c r="D136" s="4" t="s">
        <v>265</v>
      </c>
      <c r="E136" s="4" t="s">
        <v>81</v>
      </c>
      <c r="F136" s="4">
        <v>1</v>
      </c>
      <c r="G136" s="4" t="s">
        <v>23</v>
      </c>
      <c r="H136" s="4">
        <v>2058001</v>
      </c>
      <c r="I136" s="4" t="s">
        <v>24</v>
      </c>
      <c r="L136" s="43" t="s">
        <v>267</v>
      </c>
      <c r="M136" s="4" t="s">
        <v>268</v>
      </c>
      <c r="N136" s="42">
        <v>7</v>
      </c>
      <c r="O136" s="42">
        <v>7</v>
      </c>
      <c r="Q136" s="16"/>
    </row>
    <row r="137" s="4" customFormat="1" ht="16.5" spans="1:17">
      <c r="A137" s="43">
        <v>1055001</v>
      </c>
      <c r="B137" s="4">
        <v>105500</v>
      </c>
      <c r="C137" s="4">
        <v>1</v>
      </c>
      <c r="D137" s="4" t="s">
        <v>269</v>
      </c>
      <c r="E137" s="4" t="s">
        <v>22</v>
      </c>
      <c r="F137" s="4">
        <v>1</v>
      </c>
      <c r="G137" s="4" t="s">
        <v>23</v>
      </c>
      <c r="H137" s="4">
        <v>2055001</v>
      </c>
      <c r="I137" s="4" t="s">
        <v>24</v>
      </c>
      <c r="L137" s="43">
        <v>10550002</v>
      </c>
      <c r="M137" s="4" t="s">
        <v>108</v>
      </c>
      <c r="N137" s="42">
        <v>3</v>
      </c>
      <c r="O137" s="42">
        <v>4</v>
      </c>
      <c r="Q137" s="16"/>
    </row>
    <row r="138" s="4" customFormat="1" ht="16.5" spans="1:17">
      <c r="A138" s="43">
        <v>1055002</v>
      </c>
      <c r="B138" s="4">
        <v>105500</v>
      </c>
      <c r="C138" s="4">
        <v>2</v>
      </c>
      <c r="D138" s="4" t="s">
        <v>269</v>
      </c>
      <c r="E138" s="4" t="s">
        <v>81</v>
      </c>
      <c r="F138" s="4">
        <v>1</v>
      </c>
      <c r="G138" s="4" t="s">
        <v>23</v>
      </c>
      <c r="H138" s="4">
        <v>2055001</v>
      </c>
      <c r="I138" s="4" t="s">
        <v>24</v>
      </c>
      <c r="L138" s="43">
        <v>10550001</v>
      </c>
      <c r="M138" s="4" t="s">
        <v>118</v>
      </c>
      <c r="N138" s="42">
        <v>3</v>
      </c>
      <c r="O138" s="42">
        <v>4</v>
      </c>
      <c r="Q138" s="16"/>
    </row>
    <row r="139" s="4" customFormat="1" ht="16.5" spans="1:17">
      <c r="A139" s="43">
        <v>1048001</v>
      </c>
      <c r="B139" s="4">
        <v>104800</v>
      </c>
      <c r="C139" s="4">
        <v>1</v>
      </c>
      <c r="D139" s="4" t="s">
        <v>270</v>
      </c>
      <c r="E139" s="54" t="s">
        <v>22</v>
      </c>
      <c r="F139" s="15">
        <v>1</v>
      </c>
      <c r="G139" s="4" t="s">
        <v>23</v>
      </c>
      <c r="H139" s="55">
        <v>2048001</v>
      </c>
      <c r="I139" s="4" t="s">
        <v>24</v>
      </c>
      <c r="L139" s="4" t="s">
        <v>271</v>
      </c>
      <c r="M139" s="4" t="s">
        <v>272</v>
      </c>
      <c r="N139" s="42">
        <v>6</v>
      </c>
      <c r="O139" s="42">
        <v>6</v>
      </c>
      <c r="Q139" s="16"/>
    </row>
    <row r="140" s="4" customFormat="1" ht="16.5" spans="1:17">
      <c r="A140" s="43">
        <v>1048002</v>
      </c>
      <c r="B140" s="4">
        <v>104800</v>
      </c>
      <c r="C140" s="4">
        <v>2</v>
      </c>
      <c r="D140" s="4" t="s">
        <v>270</v>
      </c>
      <c r="E140" s="54" t="s">
        <v>55</v>
      </c>
      <c r="F140" s="15">
        <v>1</v>
      </c>
      <c r="G140" s="4" t="s">
        <v>23</v>
      </c>
      <c r="H140" s="55">
        <v>2048001</v>
      </c>
      <c r="I140" s="4" t="s">
        <v>24</v>
      </c>
      <c r="L140" s="43">
        <v>10480002</v>
      </c>
      <c r="M140" s="4" t="s">
        <v>194</v>
      </c>
      <c r="N140" s="42">
        <v>6</v>
      </c>
      <c r="O140" s="42">
        <v>6</v>
      </c>
      <c r="Q140" s="16"/>
    </row>
    <row r="141" s="4" customFormat="1" ht="16.5" spans="1:17">
      <c r="A141" s="43">
        <v>1048003</v>
      </c>
      <c r="B141" s="4">
        <v>104800</v>
      </c>
      <c r="C141" s="4">
        <v>3</v>
      </c>
      <c r="D141" s="4" t="s">
        <v>270</v>
      </c>
      <c r="E141" s="4" t="s">
        <v>81</v>
      </c>
      <c r="F141" s="15">
        <v>1</v>
      </c>
      <c r="G141" s="4" t="s">
        <v>23</v>
      </c>
      <c r="H141" s="55">
        <v>2048001</v>
      </c>
      <c r="I141" s="4" t="s">
        <v>24</v>
      </c>
      <c r="L141" s="43" t="s">
        <v>273</v>
      </c>
      <c r="M141" s="4" t="s">
        <v>196</v>
      </c>
      <c r="N141" s="42">
        <v>6</v>
      </c>
      <c r="O141" s="42">
        <v>6</v>
      </c>
      <c r="Q141" s="16"/>
    </row>
    <row r="142" s="4" customFormat="1" ht="16.5" spans="1:17">
      <c r="A142" s="43">
        <v>1055011</v>
      </c>
      <c r="B142" s="4">
        <v>105501</v>
      </c>
      <c r="C142" s="4">
        <v>1</v>
      </c>
      <c r="D142" s="4" t="s">
        <v>274</v>
      </c>
      <c r="E142" s="4" t="s">
        <v>22</v>
      </c>
      <c r="F142" s="4">
        <v>1</v>
      </c>
      <c r="G142" s="4" t="s">
        <v>23</v>
      </c>
      <c r="H142" s="4">
        <v>2055011</v>
      </c>
      <c r="I142" s="4" t="s">
        <v>24</v>
      </c>
      <c r="L142" s="43">
        <v>10550102</v>
      </c>
      <c r="M142" s="4" t="s">
        <v>108</v>
      </c>
      <c r="N142" s="42">
        <v>3</v>
      </c>
      <c r="O142" s="42">
        <v>4</v>
      </c>
      <c r="Q142" s="16"/>
    </row>
    <row r="143" s="4" customFormat="1" ht="16.5" spans="1:17">
      <c r="A143" s="43">
        <v>1055012</v>
      </c>
      <c r="B143" s="4">
        <v>105501</v>
      </c>
      <c r="C143" s="4">
        <v>2</v>
      </c>
      <c r="D143" s="4" t="s">
        <v>274</v>
      </c>
      <c r="E143" s="4" t="s">
        <v>81</v>
      </c>
      <c r="F143" s="4">
        <v>1</v>
      </c>
      <c r="G143" s="4" t="s">
        <v>23</v>
      </c>
      <c r="H143" s="4">
        <v>2055011</v>
      </c>
      <c r="I143" s="4" t="s">
        <v>24</v>
      </c>
      <c r="L143" s="43">
        <v>10550101</v>
      </c>
      <c r="M143" s="4" t="s">
        <v>118</v>
      </c>
      <c r="N143" s="42">
        <v>3</v>
      </c>
      <c r="O143" s="42">
        <v>4</v>
      </c>
      <c r="Q143" s="16"/>
    </row>
    <row r="144" ht="16.5" spans="1:17">
      <c r="A144" s="43">
        <v>1055013</v>
      </c>
      <c r="B144" s="4">
        <v>105501</v>
      </c>
      <c r="C144" s="4">
        <v>3</v>
      </c>
      <c r="D144" s="4" t="s">
        <v>274</v>
      </c>
      <c r="E144" s="45" t="s">
        <v>275</v>
      </c>
      <c r="F144" s="4">
        <v>1</v>
      </c>
      <c r="G144" s="4" t="s">
        <v>23</v>
      </c>
      <c r="H144" s="4">
        <v>2055011</v>
      </c>
      <c r="I144" s="4" t="s">
        <v>24</v>
      </c>
      <c r="J144" s="4"/>
      <c r="K144" s="4"/>
      <c r="L144" s="43">
        <v>10550103</v>
      </c>
      <c r="M144" s="4" t="s">
        <v>276</v>
      </c>
      <c r="N144" s="42">
        <v>3</v>
      </c>
      <c r="O144" s="42">
        <v>4</v>
      </c>
    </row>
    <row r="145" s="4" customFormat="1" ht="16.5" spans="1:17">
      <c r="A145" s="43">
        <v>1055021</v>
      </c>
      <c r="B145" s="4">
        <v>105502</v>
      </c>
      <c r="C145" s="4">
        <v>1</v>
      </c>
      <c r="D145" s="4" t="s">
        <v>277</v>
      </c>
      <c r="E145" s="4" t="s">
        <v>22</v>
      </c>
      <c r="F145" s="4">
        <v>1</v>
      </c>
      <c r="G145" s="4" t="s">
        <v>23</v>
      </c>
      <c r="H145" s="4">
        <v>2055021</v>
      </c>
      <c r="I145" s="4" t="s">
        <v>24</v>
      </c>
      <c r="L145" s="43">
        <v>10550202</v>
      </c>
      <c r="M145" s="4" t="s">
        <v>108</v>
      </c>
      <c r="N145" s="42">
        <v>3</v>
      </c>
      <c r="O145" s="42">
        <v>4</v>
      </c>
      <c r="Q145" s="16"/>
    </row>
    <row r="146" s="4" customFormat="1" ht="16.5" spans="1:17">
      <c r="A146" s="43">
        <v>1055022</v>
      </c>
      <c r="B146" s="4">
        <v>105502</v>
      </c>
      <c r="C146" s="4">
        <v>2</v>
      </c>
      <c r="D146" s="4" t="s">
        <v>277</v>
      </c>
      <c r="E146" s="4" t="s">
        <v>81</v>
      </c>
      <c r="F146" s="4">
        <v>1</v>
      </c>
      <c r="G146" s="4" t="s">
        <v>23</v>
      </c>
      <c r="H146" s="4">
        <v>2055021</v>
      </c>
      <c r="I146" s="4" t="s">
        <v>24</v>
      </c>
      <c r="L146" s="43">
        <v>10550201</v>
      </c>
      <c r="M146" s="4" t="s">
        <v>118</v>
      </c>
      <c r="N146" s="42">
        <v>3</v>
      </c>
      <c r="O146" s="42">
        <v>4</v>
      </c>
      <c r="Q146" s="16"/>
    </row>
    <row r="147" ht="16.5" spans="1:17">
      <c r="A147" s="43">
        <v>1055023</v>
      </c>
      <c r="B147" s="4">
        <v>105502</v>
      </c>
      <c r="C147" s="4">
        <v>3</v>
      </c>
      <c r="D147" s="4" t="s">
        <v>277</v>
      </c>
      <c r="E147" s="4" t="s">
        <v>278</v>
      </c>
      <c r="F147" s="4">
        <v>1</v>
      </c>
      <c r="G147" s="4" t="s">
        <v>23</v>
      </c>
      <c r="H147" s="4">
        <v>2055021</v>
      </c>
      <c r="I147" s="4" t="s">
        <v>24</v>
      </c>
      <c r="L147" s="43"/>
      <c r="M147" s="4" t="s">
        <v>279</v>
      </c>
      <c r="N147" s="42">
        <v>3</v>
      </c>
      <c r="O147" s="42">
        <v>4</v>
      </c>
    </row>
    <row r="148" s="4" customFormat="1" ht="15" customHeight="1" spans="1:17">
      <c r="A148" s="43">
        <v>1041001</v>
      </c>
      <c r="B148" s="4">
        <v>104100</v>
      </c>
      <c r="C148" s="4">
        <v>1</v>
      </c>
      <c r="D148" s="4" t="s">
        <v>280</v>
      </c>
      <c r="E148" s="4" t="s">
        <v>22</v>
      </c>
      <c r="F148" s="4">
        <v>1</v>
      </c>
      <c r="G148" s="56" t="s">
        <v>23</v>
      </c>
      <c r="H148" s="55">
        <v>2041001</v>
      </c>
      <c r="I148" s="4" t="s">
        <v>24</v>
      </c>
      <c r="L148" s="43" t="s">
        <v>281</v>
      </c>
      <c r="M148" s="4" t="s">
        <v>282</v>
      </c>
      <c r="N148" s="57">
        <v>3</v>
      </c>
      <c r="O148" s="57">
        <v>5</v>
      </c>
      <c r="Q148" s="16"/>
    </row>
    <row r="149" s="4" customFormat="1" ht="16.5" spans="1:17">
      <c r="A149" s="43">
        <v>1041002</v>
      </c>
      <c r="B149" s="4">
        <v>104100</v>
      </c>
      <c r="C149" s="4">
        <v>2</v>
      </c>
      <c r="D149" s="4" t="s">
        <v>280</v>
      </c>
      <c r="E149" s="58" t="s">
        <v>55</v>
      </c>
      <c r="F149" s="59">
        <v>1</v>
      </c>
      <c r="G149" s="56" t="s">
        <v>23</v>
      </c>
      <c r="H149" s="55">
        <v>2041001</v>
      </c>
      <c r="I149" s="4" t="s">
        <v>24</v>
      </c>
      <c r="L149" s="43">
        <v>10410002</v>
      </c>
      <c r="M149" s="4" t="s">
        <v>283</v>
      </c>
      <c r="N149" s="57">
        <v>3</v>
      </c>
      <c r="O149" s="57">
        <v>5</v>
      </c>
      <c r="Q149" s="16"/>
    </row>
    <row r="150" s="4" customFormat="1" ht="16.5" spans="1:17">
      <c r="A150" s="43">
        <v>1041003</v>
      </c>
      <c r="B150" s="4">
        <v>104100</v>
      </c>
      <c r="C150" s="4">
        <v>3</v>
      </c>
      <c r="D150" s="4" t="s">
        <v>280</v>
      </c>
      <c r="E150" s="58" t="s">
        <v>81</v>
      </c>
      <c r="F150" s="59">
        <v>1</v>
      </c>
      <c r="G150" s="56" t="s">
        <v>23</v>
      </c>
      <c r="H150" s="55">
        <v>2041001</v>
      </c>
      <c r="I150" s="56" t="s">
        <v>24</v>
      </c>
      <c r="L150" s="43" t="s">
        <v>284</v>
      </c>
      <c r="M150" s="4" t="s">
        <v>285</v>
      </c>
      <c r="N150" s="57">
        <v>3</v>
      </c>
      <c r="O150" s="57">
        <v>5</v>
      </c>
      <c r="Q150" s="16"/>
    </row>
    <row r="151" s="4" customFormat="1" ht="15" customHeight="1" spans="1:17">
      <c r="A151" s="43">
        <v>1042001</v>
      </c>
      <c r="B151" s="4">
        <v>104200</v>
      </c>
      <c r="C151" s="4">
        <v>1</v>
      </c>
      <c r="D151" s="4" t="s">
        <v>286</v>
      </c>
      <c r="E151" s="4" t="s">
        <v>22</v>
      </c>
      <c r="F151" s="4">
        <v>1</v>
      </c>
      <c r="G151" s="56" t="s">
        <v>23</v>
      </c>
      <c r="H151" s="55">
        <v>2042001</v>
      </c>
      <c r="I151" s="4" t="s">
        <v>24</v>
      </c>
      <c r="L151" s="43" t="s">
        <v>287</v>
      </c>
      <c r="M151" s="4" t="s">
        <v>282</v>
      </c>
      <c r="N151" s="57">
        <v>3</v>
      </c>
      <c r="O151" s="57">
        <v>5</v>
      </c>
      <c r="Q151" s="16"/>
    </row>
    <row r="152" customFormat="1" ht="16.5" spans="1:17">
      <c r="A152" s="43">
        <v>1042002</v>
      </c>
      <c r="B152" s="4">
        <v>104200</v>
      </c>
      <c r="C152" s="4">
        <v>2</v>
      </c>
      <c r="D152" s="4" t="s">
        <v>286</v>
      </c>
      <c r="E152" s="58" t="s">
        <v>55</v>
      </c>
      <c r="F152" s="59">
        <v>1</v>
      </c>
      <c r="G152" s="56" t="s">
        <v>23</v>
      </c>
      <c r="H152" s="55">
        <v>2042001</v>
      </c>
      <c r="I152" s="4" t="s">
        <v>24</v>
      </c>
      <c r="L152" s="43">
        <v>10420002</v>
      </c>
      <c r="M152" s="4" t="s">
        <v>283</v>
      </c>
      <c r="N152" s="57">
        <v>3</v>
      </c>
      <c r="O152" s="57">
        <v>5</v>
      </c>
      <c r="Q152" s="8"/>
    </row>
    <row r="153" customFormat="1" ht="16.5" spans="1:17">
      <c r="A153" s="43">
        <v>1042003</v>
      </c>
      <c r="B153" s="4">
        <v>104200</v>
      </c>
      <c r="C153" s="4">
        <v>3</v>
      </c>
      <c r="D153" s="4" t="s">
        <v>286</v>
      </c>
      <c r="E153" s="58" t="s">
        <v>81</v>
      </c>
      <c r="F153" s="59">
        <v>1</v>
      </c>
      <c r="G153" s="56" t="s">
        <v>23</v>
      </c>
      <c r="H153" s="55">
        <v>2042001</v>
      </c>
      <c r="I153" s="56" t="s">
        <v>24</v>
      </c>
      <c r="L153" s="43" t="s">
        <v>288</v>
      </c>
      <c r="M153" s="4" t="s">
        <v>285</v>
      </c>
      <c r="N153" s="57">
        <v>3</v>
      </c>
      <c r="O153" s="57">
        <v>5</v>
      </c>
      <c r="Q153" s="8"/>
    </row>
    <row r="154" customFormat="1" ht="16.5" spans="1:17">
      <c r="A154" s="43">
        <v>1019001</v>
      </c>
      <c r="B154" s="4">
        <v>101900</v>
      </c>
      <c r="C154" s="4">
        <v>1</v>
      </c>
      <c r="D154" s="4" t="s">
        <v>289</v>
      </c>
      <c r="E154" s="58" t="s">
        <v>111</v>
      </c>
      <c r="F154" s="59">
        <v>1</v>
      </c>
      <c r="G154" s="56" t="s">
        <v>23</v>
      </c>
      <c r="H154" s="55">
        <v>2019001</v>
      </c>
      <c r="I154" s="56" t="s">
        <v>24</v>
      </c>
      <c r="L154" s="43" t="s">
        <v>290</v>
      </c>
      <c r="M154" s="4" t="s">
        <v>291</v>
      </c>
      <c r="N154" s="57">
        <v>6</v>
      </c>
      <c r="O154" s="57">
        <v>6</v>
      </c>
      <c r="Q154" s="8"/>
    </row>
    <row r="155" customFormat="1" ht="16.5" spans="1:17">
      <c r="A155" s="43">
        <v>1019002</v>
      </c>
      <c r="B155" s="4">
        <v>101900</v>
      </c>
      <c r="C155" s="4">
        <v>2</v>
      </c>
      <c r="D155" s="4" t="s">
        <v>289</v>
      </c>
      <c r="E155" s="58" t="s">
        <v>292</v>
      </c>
      <c r="F155" s="59">
        <v>1</v>
      </c>
      <c r="G155" s="56" t="s">
        <v>23</v>
      </c>
      <c r="H155" s="55">
        <v>2019001</v>
      </c>
      <c r="I155" s="56" t="s">
        <v>24</v>
      </c>
      <c r="L155" s="43">
        <v>10190002</v>
      </c>
      <c r="M155" s="4" t="s">
        <v>293</v>
      </c>
      <c r="N155" s="57">
        <v>6</v>
      </c>
      <c r="O155" s="57">
        <v>6</v>
      </c>
      <c r="Q155" s="8"/>
    </row>
    <row r="156" customFormat="1" ht="16.5" spans="1:17">
      <c r="A156" s="43">
        <v>1019003</v>
      </c>
      <c r="B156" s="4">
        <v>101900</v>
      </c>
      <c r="C156" s="4">
        <v>3</v>
      </c>
      <c r="D156" s="4" t="s">
        <v>289</v>
      </c>
      <c r="E156" s="58" t="s">
        <v>294</v>
      </c>
      <c r="F156" s="59">
        <v>1</v>
      </c>
      <c r="G156" s="56" t="s">
        <v>23</v>
      </c>
      <c r="H156" s="55">
        <v>2019001</v>
      </c>
      <c r="I156" s="56" t="s">
        <v>24</v>
      </c>
      <c r="L156" s="60" t="s">
        <v>295</v>
      </c>
      <c r="M156" s="4" t="s">
        <v>296</v>
      </c>
      <c r="N156" s="57">
        <v>6</v>
      </c>
      <c r="O156" s="57">
        <v>6</v>
      </c>
      <c r="Q156" s="8"/>
    </row>
    <row r="157" customFormat="1" ht="16.5" spans="1:17">
      <c r="A157" s="43">
        <v>1019004</v>
      </c>
      <c r="B157" s="4">
        <v>101900</v>
      </c>
      <c r="C157" s="4">
        <v>4</v>
      </c>
      <c r="D157" s="4" t="s">
        <v>289</v>
      </c>
      <c r="E157" s="58" t="s">
        <v>81</v>
      </c>
      <c r="F157" s="59">
        <v>1</v>
      </c>
      <c r="G157" s="56" t="s">
        <v>23</v>
      </c>
      <c r="H157" s="55">
        <v>2019001</v>
      </c>
      <c r="I157" s="56" t="s">
        <v>24</v>
      </c>
      <c r="L157" s="43" t="s">
        <v>297</v>
      </c>
      <c r="M157" s="4" t="s">
        <v>298</v>
      </c>
      <c r="N157" s="57">
        <v>6</v>
      </c>
      <c r="O157" s="57">
        <v>6</v>
      </c>
      <c r="Q157" s="8"/>
    </row>
    <row r="158" customFormat="1" ht="16.5" spans="1:17">
      <c r="A158" s="43"/>
      <c r="B158" s="4"/>
      <c r="C158" s="4"/>
      <c r="D158" s="4"/>
      <c r="E158" s="58"/>
      <c r="F158" s="59"/>
      <c r="G158" s="56"/>
      <c r="H158" s="55"/>
      <c r="I158" s="56"/>
      <c r="L158" s="43"/>
      <c r="M158" s="4"/>
      <c r="N158" s="57"/>
      <c r="O158" s="57"/>
      <c r="Q158" s="8"/>
    </row>
  </sheetData>
  <conditionalFormatting sqref="J2:L2">
    <cfRule type="expression" dxfId="0" priority="1">
      <formula>MOD(MID($A2,1,4),2)=1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2025-08-21T08:17:00Z</dcterms:created>
  <dcterms:modified xsi:type="dcterms:W3CDTF">2026-06-12T08:03:30Z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D3C68F79F1184570B502BBAC3BC75E43_11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