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/>
  </bookViews>
  <sheets>
    <sheet name="SpecialMod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/>
  </authors>
  <commentList>
    <comment ref="J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修改ID_抽取权重|修改ID_抽取权重|……</t>
        </r>
      </text>
    </comment>
    <comment ref="N1" authorId="1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游戏由多少行组成</t>
        </r>
      </text>
    </comment>
    <comment ref="O1" authorId="1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游戏由多少列组成</t>
        </r>
      </text>
    </comment>
    <comment ref="J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权重类的格式相同用此格式</t>
        </r>
      </text>
    </comment>
  </commentList>
</comments>
</file>

<file path=xl/sharedStrings.xml><?xml version="1.0" encoding="utf-8"?>
<sst xmlns="http://schemas.openxmlformats.org/spreadsheetml/2006/main" count="333" uniqueCount="128">
  <si>
    <t>id</t>
  </si>
  <si>
    <t>游戏ID</t>
  </si>
  <si>
    <t>游戏模式</t>
  </si>
  <si>
    <t>执行次数</t>
  </si>
  <si>
    <t>此次玩法使用得滚轴组ID</t>
  </si>
  <si>
    <t>修改图案策略组，多个修改中按概率抽取1个修改</t>
  </si>
  <si>
    <t>修改图案策略</t>
  </si>
  <si>
    <t>描述</t>
  </si>
  <si>
    <t>初始行数</t>
  </si>
  <si>
    <t>初始列数</t>
  </si>
  <si>
    <t>int</t>
  </si>
  <si>
    <t>Map&lt;int{_}int&gt;{|}</t>
  </si>
  <si>
    <t>List&lt;int&gt;{|}</t>
  </si>
  <si>
    <t>gameType</t>
  </si>
  <si>
    <t>type</t>
  </si>
  <si>
    <t>triggerCount</t>
  </si>
  <si>
    <t>rollerMode</t>
  </si>
  <si>
    <t>specialGroupGirdID</t>
  </si>
  <si>
    <t>specialGirdID</t>
  </si>
  <si>
    <t>rows</t>
  </si>
  <si>
    <t>cols</t>
  </si>
  <si>
    <t>金矿大亨</t>
  </si>
  <si>
    <t>常规旋转</t>
  </si>
  <si>
    <t>抽奖</t>
  </si>
  <si>
    <t>使用基础滚轴</t>
  </si>
  <si>
    <t>10010011|10010012</t>
  </si>
  <si>
    <t>需要改出美金</t>
  </si>
  <si>
    <t>拉火车模式-触发局</t>
  </si>
  <si>
    <t>10010021|10010022|10010023|10010024|10010025|10010026</t>
  </si>
  <si>
    <t>需要改出美元、火车和保险箱</t>
  </si>
  <si>
    <t>黄金列车模式-触发局</t>
  </si>
  <si>
    <t>10010031|10010032</t>
  </si>
  <si>
    <t>需要改出特殊美金和金火车</t>
  </si>
  <si>
    <t>all board(二选一触发局)</t>
  </si>
  <si>
    <t>需要改出免费图标</t>
  </si>
  <si>
    <t>保险箱-触发局</t>
  </si>
  <si>
    <t>10010051|10010052</t>
  </si>
  <si>
    <t>需要改出特殊美金和保险箱</t>
  </si>
  <si>
    <t>免费模式-触发局|结果库用，实际不会出现</t>
  </si>
  <si>
    <t>改出隐藏免费图案</t>
  </si>
  <si>
    <t>免费模式 - 拉火车模式-触发局</t>
  </si>
  <si>
    <t>10010071|10010072|10010073|10010074|10010075|10010076</t>
  </si>
  <si>
    <t>超级明星</t>
  </si>
  <si>
    <t>改出不在中奖线的樱桃</t>
  </si>
  <si>
    <t>樱桃出现</t>
  </si>
  <si>
    <t>10030021|10030022</t>
  </si>
  <si>
    <t>改出樱桃，必中奖</t>
  </si>
  <si>
    <t>幸运星模式_出倍率&amp;jackpot</t>
  </si>
  <si>
    <t>10030041_20|10030042_10|10030043_5|10030044_2|10030045_1</t>
  </si>
  <si>
    <t>前两列必然中奖</t>
  </si>
  <si>
    <t>10030031|10030050</t>
  </si>
  <si>
    <t>最后一列改出百搭和jackpot</t>
  </si>
  <si>
    <t>麻将胡了</t>
  </si>
  <si>
    <t>10070011|10070012|10070031|10070032|10070033|10070034|10070035|10070036|10070037|10070038</t>
  </si>
  <si>
    <t>概率出免费|概率出黄金图标</t>
  </si>
  <si>
    <t>免费旋转-触发局</t>
  </si>
  <si>
    <t>10070021|10070022|10070023|10070024</t>
  </si>
  <si>
    <t>财神</t>
  </si>
  <si>
    <t>概率出大财神</t>
  </si>
  <si>
    <t>大财神5个-jackpot</t>
  </si>
  <si>
    <t>必出5个大财神</t>
  </si>
  <si>
    <t>财神到-变wild</t>
  </si>
  <si>
    <t>10120031_1|10120032_1|10120033_1|10120034_1|10120035_1|10120036_1</t>
  </si>
  <si>
    <t>多个财神中抽一个修改</t>
  </si>
  <si>
    <t>该处正财神&amp;横财神</t>
  </si>
  <si>
    <t>埃及艳后</t>
  </si>
  <si>
    <t>10140001|10140022|10140023</t>
  </si>
  <si>
    <t>百搭</t>
  </si>
  <si>
    <t>10140011|10140022|10140023</t>
  </si>
  <si>
    <t>高概率百搭</t>
  </si>
  <si>
    <t>5个-jackpot</t>
  </si>
  <si>
    <t>jackpot</t>
  </si>
  <si>
    <t>财富银行</t>
  </si>
  <si>
    <t>10240011|10240012</t>
  </si>
  <si>
    <t>10240021|10240022|10240023|10240024|10240025|10240026</t>
  </si>
  <si>
    <t>10240031|10240032</t>
  </si>
  <si>
    <t>10240051|10240052</t>
  </si>
  <si>
    <t>10240071|10240072|10240073|10240074|10240075|10240076</t>
  </si>
  <si>
    <t>圣诞狂欢夜</t>
  </si>
  <si>
    <t>10170011|10170012|10170031|10170032|10170033|10170034|10170035|10170036|10170037|10170038</t>
  </si>
  <si>
    <t>10170021|10170022|10170023|10170024</t>
  </si>
  <si>
    <t>JACKPOT大奖</t>
  </si>
  <si>
    <t>10170039|10170040</t>
  </si>
  <si>
    <t>改出2个SCATTER+JACKPOT</t>
  </si>
  <si>
    <t>雷神</t>
  </si>
  <si>
    <t>10220030|10220001</t>
  </si>
  <si>
    <t>概率改出2个SCATTER、概率改出wild</t>
  </si>
  <si>
    <t>免费</t>
  </si>
  <si>
    <t>改出3个SCATTER</t>
  </si>
  <si>
    <t>10220031|10220032</t>
  </si>
  <si>
    <t>火焰免费</t>
  </si>
  <si>
    <t>冰冻免费</t>
  </si>
  <si>
    <t>杰克船长</t>
  </si>
  <si>
    <t>10210051|10210021</t>
  </si>
  <si>
    <t>小游戏</t>
  </si>
  <si>
    <t>改出3个bonus</t>
  </si>
  <si>
    <t>10210001|10210011</t>
  </si>
  <si>
    <t>篮球巨星</t>
  </si>
  <si>
    <t>10180002|10180021</t>
  </si>
  <si>
    <t>10180001|10180011</t>
  </si>
  <si>
    <t>寒冰王座</t>
  </si>
  <si>
    <t>10250001|10250021</t>
  </si>
  <si>
    <t>改出3个以上SCATTER</t>
  </si>
  <si>
    <t>10250002|10250011</t>
  </si>
  <si>
    <t>蒸汽时代</t>
  </si>
  <si>
    <t>10230001|10230021</t>
  </si>
  <si>
    <t>10230002|10230011</t>
  </si>
  <si>
    <t>神马飞扬</t>
  </si>
  <si>
    <t>概率改出wild</t>
  </si>
  <si>
    <t>福马模式</t>
  </si>
  <si>
    <t>金蛇招财</t>
  </si>
  <si>
    <t>常规模式</t>
  </si>
  <si>
    <t>10350014|10350001</t>
  </si>
  <si>
    <t>改出奖金符号</t>
  </si>
  <si>
    <t>金钱兔模式-触发</t>
  </si>
  <si>
    <t>10350014|10350013</t>
  </si>
  <si>
    <t>改出隐藏符号</t>
  </si>
  <si>
    <t>10350014|10350012</t>
  </si>
  <si>
    <t>改出奖池符号</t>
  </si>
  <si>
    <t>金钱兔</t>
  </si>
  <si>
    <t>10350114|10350101</t>
  </si>
  <si>
    <t>10350114|10350113</t>
  </si>
  <si>
    <t>10350114|10350112</t>
  </si>
  <si>
    <t>鼠鼠福福</t>
  </si>
  <si>
    <t>10360001|10360003</t>
  </si>
  <si>
    <t>概率改出wild符号+概率出现Jackpot符号</t>
  </si>
  <si>
    <t>福鼠模式-触发</t>
  </si>
  <si>
    <t>必出现3个Jackpot符号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</si>
</sst>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5">
    <font>
      <sz val="11"/>
      <color theme="1"/>
      <name val="宋体"/>
      <charset val="134"/>
      <scheme val="minor"/>
    </font>
    <font>
      <sz val="10"/>
      <color theme="1"/>
      <name val="微软雅黑"/>
      <charset val="134"/>
    </font>
    <font>
      <sz val="10"/>
      <name val="微软雅黑"/>
      <charset val="134"/>
    </font>
    <font>
      <sz val="11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44">
    <fill>
      <patternFill patternType="none"/>
    </fill>
    <fill>
      <patternFill patternType="gray125"/>
    </fill>
    <fill>
      <patternFill patternType="solid">
        <fgColor theme="7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theme="8" tint="0.4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13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14" borderId="5" applyNumberFormat="0" applyAlignment="0" applyProtection="0">
      <alignment vertical="center"/>
    </xf>
    <xf numFmtId="0" fontId="13" fillId="15" borderId="6" applyNumberFormat="0" applyAlignment="0" applyProtection="0">
      <alignment vertical="center"/>
    </xf>
    <xf numFmtId="0" fontId="14" fillId="15" borderId="5" applyNumberFormat="0" applyAlignment="0" applyProtection="0">
      <alignment vertical="center"/>
    </xf>
    <xf numFmtId="0" fontId="15" fillId="16" borderId="7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1" fillId="36" borderId="0" applyNumberFormat="0" applyBorder="0" applyAlignment="0" applyProtection="0">
      <alignment vertical="center"/>
    </xf>
    <xf numFmtId="0" fontId="22" fillId="37" borderId="0" applyNumberFormat="0" applyBorder="0" applyAlignment="0" applyProtection="0">
      <alignment vertical="center"/>
    </xf>
    <xf numFmtId="0" fontId="22" fillId="38" borderId="0" applyNumberFormat="0" applyBorder="0" applyAlignment="0" applyProtection="0">
      <alignment vertical="center"/>
    </xf>
    <xf numFmtId="0" fontId="21" fillId="39" borderId="0" applyNumberFormat="0" applyBorder="0" applyAlignment="0" applyProtection="0">
      <alignment vertical="center"/>
    </xf>
    <xf numFmtId="0" fontId="21" fillId="40" borderId="0" applyNumberFormat="0" applyBorder="0" applyAlignment="0" applyProtection="0">
      <alignment vertical="center"/>
    </xf>
    <xf numFmtId="0" fontId="22" fillId="41" borderId="0" applyNumberFormat="0" applyBorder="0" applyAlignment="0" applyProtection="0">
      <alignment vertical="center"/>
    </xf>
    <xf numFmtId="0" fontId="22" fillId="42" borderId="0" applyNumberFormat="0" applyBorder="0" applyAlignment="0" applyProtection="0">
      <alignment vertical="center"/>
    </xf>
    <xf numFmtId="0" fontId="21" fillId="43" borderId="0" applyNumberFormat="0" applyBorder="0" applyAlignment="0" applyProtection="0">
      <alignment vertical="center"/>
    </xf>
    <xf numFmtId="0" fontId="0" fillId="0" borderId="0"/>
  </cellStyleXfs>
  <cellXfs count="50">
    <xf numFmtId="0" fontId="0" fillId="0" borderId="0" xfId="0"/>
    <xf numFmtId="0" fontId="0" fillId="2" borderId="0" xfId="0" applyFill="1"/>
    <xf numFmtId="0" fontId="0" fillId="3" borderId="0" xfId="0" applyFill="1"/>
    <xf numFmtId="0" fontId="0" fillId="0" borderId="0" xfId="0" applyFill="1"/>
    <xf numFmtId="0" fontId="0" fillId="4" borderId="0" xfId="0" applyFill="1"/>
    <xf numFmtId="0" fontId="1" fillId="0" borderId="0" xfId="0" applyFont="1"/>
    <xf numFmtId="0" fontId="0" fillId="0" borderId="0" xfId="0" applyFill="1" applyAlignment="1">
      <alignment horizontal="right" vertical="center"/>
    </xf>
    <xf numFmtId="49" fontId="0" fillId="0" borderId="0" xfId="0" applyNumberFormat="1"/>
    <xf numFmtId="0" fontId="0" fillId="0" borderId="0" xfId="0" applyFont="1"/>
    <xf numFmtId="0" fontId="1" fillId="5" borderId="0" xfId="0" applyFont="1" applyFill="1"/>
    <xf numFmtId="0" fontId="1" fillId="6" borderId="0" xfId="0" applyFont="1" applyFill="1" applyAlignment="1">
      <alignment horizontal="left"/>
    </xf>
    <xf numFmtId="0" fontId="1" fillId="5" borderId="0" xfId="0" applyFont="1" applyFill="1" applyAlignment="1">
      <alignment horizontal="left"/>
    </xf>
    <xf numFmtId="0" fontId="2" fillId="7" borderId="1" xfId="0" applyFont="1" applyFill="1" applyBorder="1" applyAlignment="1">
      <alignment horizontal="right" vertical="center" wrapText="1"/>
    </xf>
    <xf numFmtId="0" fontId="1" fillId="0" borderId="0" xfId="49" applyFont="1" applyFill="1" applyAlignment="1">
      <alignment horizontal="left" vertical="center"/>
    </xf>
    <xf numFmtId="0" fontId="1" fillId="0" borderId="0" xfId="49" applyFont="1" applyAlignment="1">
      <alignment horizontal="left" vertical="center"/>
    </xf>
    <xf numFmtId="176" fontId="1" fillId="5" borderId="0" xfId="0" applyNumberFormat="1" applyFont="1" applyFill="1" applyAlignment="1">
      <alignment horizontal="left"/>
    </xf>
    <xf numFmtId="0" fontId="1" fillId="0" borderId="0" xfId="0" applyFont="1" applyFill="1" applyAlignment="1">
      <alignment horizontal="right" vertical="top"/>
    </xf>
    <xf numFmtId="49" fontId="1" fillId="0" borderId="0" xfId="0" applyNumberFormat="1" applyFont="1"/>
    <xf numFmtId="49" fontId="1" fillId="5" borderId="0" xfId="0" applyNumberFormat="1" applyFont="1" applyFill="1"/>
    <xf numFmtId="0" fontId="0" fillId="5" borderId="0" xfId="0" applyFill="1" applyAlignment="1">
      <alignment vertical="center"/>
    </xf>
    <xf numFmtId="49" fontId="1" fillId="6" borderId="0" xfId="0" applyNumberFormat="1" applyFont="1" applyFill="1" applyAlignment="1">
      <alignment horizontal="left"/>
    </xf>
    <xf numFmtId="49" fontId="1" fillId="5" borderId="0" xfId="0" applyNumberFormat="1" applyFont="1" applyFill="1" applyAlignment="1">
      <alignment horizontal="left"/>
    </xf>
    <xf numFmtId="0" fontId="1" fillId="6" borderId="0" xfId="0" applyFont="1" applyFill="1"/>
    <xf numFmtId="0" fontId="1" fillId="2" borderId="0" xfId="0" applyFont="1" applyFill="1"/>
    <xf numFmtId="0" fontId="1" fillId="2" borderId="0" xfId="0" applyFont="1" applyFill="1" applyAlignment="1">
      <alignment horizontal="right" vertical="top"/>
    </xf>
    <xf numFmtId="0" fontId="1" fillId="3" borderId="0" xfId="0" applyFont="1" applyFill="1" applyAlignment="1">
      <alignment horizontal="right" vertical="top"/>
    </xf>
    <xf numFmtId="0" fontId="1" fillId="2" borderId="0" xfId="0" applyFont="1" applyFill="1" applyAlignment="1">
      <alignment horizontal="left"/>
    </xf>
    <xf numFmtId="0" fontId="1" fillId="8" borderId="0" xfId="0" applyFont="1" applyFill="1" applyAlignment="1">
      <alignment horizontal="right" vertical="top"/>
    </xf>
    <xf numFmtId="0" fontId="1" fillId="2" borderId="0" xfId="49" applyFont="1" applyFill="1" applyAlignment="1">
      <alignment horizontal="left" vertical="center"/>
    </xf>
    <xf numFmtId="0" fontId="1" fillId="9" borderId="0" xfId="0" applyFont="1" applyFill="1" applyAlignment="1">
      <alignment horizontal="right" vertical="top"/>
    </xf>
    <xf numFmtId="0" fontId="1" fillId="10" borderId="0" xfId="0" applyFont="1" applyFill="1" applyAlignment="1">
      <alignment horizontal="right" vertical="top" wrapText="1"/>
    </xf>
    <xf numFmtId="0" fontId="1" fillId="2" borderId="0" xfId="0" applyFont="1" applyFill="1" applyAlignment="1">
      <alignment horizontal="right" vertical="top" wrapText="1"/>
    </xf>
    <xf numFmtId="0" fontId="1" fillId="11" borderId="0" xfId="0" applyFont="1" applyFill="1" applyAlignment="1">
      <alignment horizontal="right" vertical="top" wrapText="1"/>
    </xf>
    <xf numFmtId="0" fontId="1" fillId="3" borderId="0" xfId="0" applyFont="1" applyFill="1"/>
    <xf numFmtId="0" fontId="1" fillId="3" borderId="0" xfId="0" applyFont="1" applyFill="1" applyAlignment="1">
      <alignment horizontal="left"/>
    </xf>
    <xf numFmtId="49" fontId="0" fillId="3" borderId="0" xfId="0" applyNumberFormat="1" applyFill="1"/>
    <xf numFmtId="0" fontId="1" fillId="12" borderId="0" xfId="0" applyFont="1" applyFill="1"/>
    <xf numFmtId="0" fontId="1" fillId="12" borderId="0" xfId="0" applyFont="1" applyFill="1" applyAlignment="1">
      <alignment horizontal="right" vertical="top"/>
    </xf>
    <xf numFmtId="0" fontId="1" fillId="12" borderId="0" xfId="0" applyFont="1" applyFill="1" applyAlignment="1">
      <alignment horizontal="left"/>
    </xf>
    <xf numFmtId="0" fontId="1" fillId="4" borderId="0" xfId="0" applyFont="1" applyFill="1"/>
    <xf numFmtId="0" fontId="1" fillId="4" borderId="0" xfId="0" applyFont="1" applyFill="1" applyAlignment="1">
      <alignment horizontal="right" vertical="top"/>
    </xf>
    <xf numFmtId="0" fontId="1" fillId="4" borderId="0" xfId="0" applyFont="1" applyFill="1" applyAlignment="1">
      <alignment horizontal="left"/>
    </xf>
    <xf numFmtId="49" fontId="0" fillId="4" borderId="0" xfId="0" applyNumberFormat="1" applyFill="1"/>
    <xf numFmtId="49" fontId="0" fillId="0" borderId="0" xfId="0" applyNumberFormat="1" applyFill="1"/>
    <xf numFmtId="0" fontId="1" fillId="0" borderId="0" xfId="0" applyFont="1" applyFill="1" applyAlignment="1">
      <alignment horizontal="right" vertical="center"/>
    </xf>
    <xf numFmtId="0" fontId="1" fillId="0" borderId="0" xfId="0" applyFont="1" applyAlignment="1">
      <alignment horizontal="left"/>
    </xf>
    <xf numFmtId="0" fontId="1" fillId="0" borderId="0" xfId="0" applyFont="1" applyFill="1"/>
    <xf numFmtId="0" fontId="1" fillId="0" borderId="0" xfId="0" applyFont="1" applyFill="1" applyAlignment="1">
      <alignment horizontal="left"/>
    </xf>
    <xf numFmtId="0" fontId="1" fillId="0" borderId="0" xfId="0" applyFont="1" applyAlignment="1">
      <alignment horizontal="center" vertical="center"/>
    </xf>
    <xf numFmtId="0" fontId="3" fillId="0" borderId="0" xfId="0" applyFont="1"/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80" xfId="49"/>
  </cellStyles>
  <dxfs count="18">
    <dxf>
      <fill>
        <patternFill patternType="solid">
          <bgColor theme="8" tint="0.799340800195319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73"/>
  <sheetViews>
    <sheetView tabSelected="1" zoomScale="85" zoomScaleNormal="85" topLeftCell="A34" workbookViewId="0">
      <selection activeCell="J43" sqref="J43"/>
    </sheetView>
  </sheetViews>
  <sheetFormatPr defaultColWidth="9" defaultRowHeight="13.5"/>
  <cols>
    <col min="1" max="1" width="14.125" customWidth="1"/>
    <col min="5" max="5" width="36.375" customWidth="1"/>
    <col min="6" max="6" width="8.25" customWidth="1"/>
    <col min="7" max="7" width="9.375" customWidth="1"/>
    <col min="8" max="8" width="8.25" customWidth="1"/>
    <col min="9" max="9" width="11.25" customWidth="1"/>
    <col min="10" max="10" width="30.125" customWidth="1"/>
    <col min="11" max="11" width="16.75" customWidth="1"/>
    <col min="12" max="12" width="53.25" customWidth="1"/>
    <col min="13" max="13" width="21.6083333333333" customWidth="1"/>
    <col min="14" max="15" width="9" style="6"/>
    <col min="16" max="16" width="15" customWidth="1"/>
    <col min="17" max="17" width="23.75" style="7" customWidth="1"/>
    <col min="18" max="18" width="60.875" customWidth="1"/>
  </cols>
  <sheetData>
    <row r="1" ht="16.5" spans="1:17">
      <c r="A1" s="8" t="s">
        <v>0</v>
      </c>
      <c r="B1" s="5" t="s">
        <v>1</v>
      </c>
      <c r="C1" s="5" t="s">
        <v>2</v>
      </c>
      <c r="D1" s="5"/>
      <c r="E1" s="5"/>
      <c r="F1" s="9" t="s">
        <v>3</v>
      </c>
      <c r="G1" s="5"/>
      <c r="H1" s="9" t="s">
        <v>4</v>
      </c>
      <c r="I1" s="5"/>
      <c r="J1" s="10" t="s">
        <v>5</v>
      </c>
      <c r="K1" s="10"/>
      <c r="L1" s="11" t="s">
        <v>6</v>
      </c>
      <c r="M1" s="5" t="s">
        <v>7</v>
      </c>
      <c r="N1" s="12" t="s">
        <v>8</v>
      </c>
      <c r="O1" s="12" t="s">
        <v>9</v>
      </c>
      <c r="Q1"/>
    </row>
    <row r="2" ht="16.5" spans="1:17">
      <c r="A2" s="8" t="s">
        <v>10</v>
      </c>
      <c r="B2" s="5" t="s">
        <v>10</v>
      </c>
      <c r="C2" s="5" t="s">
        <v>10</v>
      </c>
      <c r="D2" s="5"/>
      <c r="E2" s="5"/>
      <c r="F2" s="9" t="s">
        <v>10</v>
      </c>
      <c r="G2" s="5"/>
      <c r="H2" s="9" t="s">
        <v>10</v>
      </c>
      <c r="I2" s="5"/>
      <c r="J2" s="13" t="s">
        <v>11</v>
      </c>
      <c r="K2" s="14"/>
      <c r="L2" s="15" t="s">
        <v>12</v>
      </c>
      <c r="M2" s="5"/>
      <c r="N2" s="16" t="s">
        <v>10</v>
      </c>
      <c r="O2" s="16" t="s">
        <v>10</v>
      </c>
      <c r="Q2"/>
    </row>
    <row r="3" ht="16.5" spans="1:17">
      <c r="A3" s="8" t="s">
        <v>0</v>
      </c>
      <c r="B3" s="17" t="s">
        <v>13</v>
      </c>
      <c r="C3" s="17" t="s">
        <v>14</v>
      </c>
      <c r="D3" s="17"/>
      <c r="E3" s="17"/>
      <c r="F3" s="18" t="s">
        <v>15</v>
      </c>
      <c r="G3" s="17"/>
      <c r="H3" s="19" t="s">
        <v>16</v>
      </c>
      <c r="I3" s="17"/>
      <c r="J3" s="20" t="s">
        <v>17</v>
      </c>
      <c r="K3" s="20"/>
      <c r="L3" s="21" t="s">
        <v>18</v>
      </c>
      <c r="M3" s="17"/>
      <c r="N3" s="16" t="s">
        <v>19</v>
      </c>
      <c r="O3" s="16" t="s">
        <v>20</v>
      </c>
      <c r="Q3"/>
    </row>
    <row r="4" ht="16.5" spans="1:17">
      <c r="B4" s="5"/>
      <c r="C4" s="5"/>
      <c r="D4" s="5"/>
      <c r="E4" s="5"/>
      <c r="F4" s="9"/>
      <c r="G4" s="5"/>
      <c r="H4" s="9"/>
      <c r="I4" s="5"/>
      <c r="J4" s="22"/>
      <c r="K4" s="22"/>
      <c r="L4" s="11"/>
      <c r="M4" s="5"/>
      <c r="N4" s="16"/>
      <c r="O4" s="16"/>
      <c r="Q4"/>
    </row>
    <row r="5" s="1" customFormat="1" ht="16.5" spans="1:17">
      <c r="A5" s="23" t="str">
        <f t="shared" ref="A5:A15" si="0">B5&amp;C5</f>
        <v>1001001</v>
      </c>
      <c r="B5" s="24">
        <v>100100</v>
      </c>
      <c r="C5" s="24">
        <v>1</v>
      </c>
      <c r="D5" s="24" t="s">
        <v>21</v>
      </c>
      <c r="E5" s="25" t="s">
        <v>22</v>
      </c>
      <c r="F5" s="24">
        <v>1</v>
      </c>
      <c r="G5" s="23" t="s">
        <v>23</v>
      </c>
      <c r="H5" s="23">
        <v>2001001</v>
      </c>
      <c r="I5" s="23" t="s">
        <v>24</v>
      </c>
      <c r="J5" s="23"/>
      <c r="K5" s="23"/>
      <c r="L5" s="26" t="s">
        <v>25</v>
      </c>
      <c r="M5" s="23" t="s">
        <v>26</v>
      </c>
      <c r="N5" s="16">
        <v>4</v>
      </c>
      <c r="O5" s="16">
        <v>5</v>
      </c>
    </row>
    <row r="6" s="1" customFormat="1" ht="16.5" spans="1:17">
      <c r="A6" s="23" t="str">
        <f t="shared" si="0"/>
        <v>1001002</v>
      </c>
      <c r="B6" s="24">
        <v>100100</v>
      </c>
      <c r="C6" s="24">
        <v>2</v>
      </c>
      <c r="D6" s="24"/>
      <c r="E6" s="27" t="s">
        <v>27</v>
      </c>
      <c r="F6" s="24">
        <v>1</v>
      </c>
      <c r="G6" s="23" t="s">
        <v>23</v>
      </c>
      <c r="H6" s="23">
        <v>2001001</v>
      </c>
      <c r="I6" s="23" t="s">
        <v>24</v>
      </c>
      <c r="J6" s="23"/>
      <c r="K6" s="23"/>
      <c r="L6" s="28" t="s">
        <v>28</v>
      </c>
      <c r="M6" s="23" t="s">
        <v>29</v>
      </c>
      <c r="N6" s="16">
        <v>4</v>
      </c>
      <c r="O6" s="16">
        <v>5</v>
      </c>
    </row>
    <row r="7" s="1" customFormat="1" ht="16.5" spans="1:17">
      <c r="A7" s="23" t="str">
        <f t="shared" si="0"/>
        <v>1001003</v>
      </c>
      <c r="B7" s="24">
        <v>100100</v>
      </c>
      <c r="C7" s="24">
        <v>3</v>
      </c>
      <c r="D7" s="24"/>
      <c r="E7" s="29" t="s">
        <v>30</v>
      </c>
      <c r="F7" s="24">
        <v>1</v>
      </c>
      <c r="G7" s="23" t="s">
        <v>23</v>
      </c>
      <c r="H7" s="23">
        <v>2001001</v>
      </c>
      <c r="I7" s="23" t="s">
        <v>24</v>
      </c>
      <c r="J7" s="23"/>
      <c r="K7" s="23"/>
      <c r="L7" s="26" t="s">
        <v>31</v>
      </c>
      <c r="M7" s="23" t="s">
        <v>32</v>
      </c>
      <c r="N7" s="16">
        <v>4</v>
      </c>
      <c r="O7" s="16">
        <v>5</v>
      </c>
    </row>
    <row r="8" s="1" customFormat="1" ht="16.5" spans="1:17">
      <c r="A8" s="23" t="str">
        <f t="shared" si="0"/>
        <v>1001004</v>
      </c>
      <c r="B8" s="24">
        <v>100100</v>
      </c>
      <c r="C8" s="24">
        <v>4</v>
      </c>
      <c r="D8" s="24"/>
      <c r="E8" s="30" t="s">
        <v>33</v>
      </c>
      <c r="F8" s="31">
        <v>1</v>
      </c>
      <c r="G8" s="23" t="s">
        <v>23</v>
      </c>
      <c r="H8" s="23">
        <v>2001001</v>
      </c>
      <c r="I8" s="23" t="s">
        <v>24</v>
      </c>
      <c r="J8" s="23"/>
      <c r="K8" s="23"/>
      <c r="L8" s="26">
        <v>10010041</v>
      </c>
      <c r="M8" s="23" t="s">
        <v>34</v>
      </c>
      <c r="N8" s="16">
        <v>4</v>
      </c>
      <c r="O8" s="16">
        <v>5</v>
      </c>
    </row>
    <row r="9" s="1" customFormat="1" ht="16.5" spans="1:17">
      <c r="A9" s="23" t="str">
        <f t="shared" si="0"/>
        <v>1001005</v>
      </c>
      <c r="B9" s="24">
        <v>100100</v>
      </c>
      <c r="C9" s="24">
        <v>5</v>
      </c>
      <c r="D9" s="24"/>
      <c r="E9" s="32" t="s">
        <v>35</v>
      </c>
      <c r="F9" s="31">
        <v>1</v>
      </c>
      <c r="G9" s="23" t="s">
        <v>23</v>
      </c>
      <c r="H9" s="23">
        <v>2001001</v>
      </c>
      <c r="I9" s="23" t="s">
        <v>24</v>
      </c>
      <c r="J9" s="23"/>
      <c r="K9" s="23"/>
      <c r="L9" s="26" t="s">
        <v>36</v>
      </c>
      <c r="M9" s="23" t="s">
        <v>37</v>
      </c>
      <c r="N9" s="16">
        <v>4</v>
      </c>
      <c r="O9" s="16">
        <v>5</v>
      </c>
    </row>
    <row r="10" s="1" customFormat="1" ht="16.5" spans="1:17">
      <c r="A10" s="23" t="str">
        <f t="shared" si="0"/>
        <v>1001006</v>
      </c>
      <c r="B10" s="24">
        <v>100100</v>
      </c>
      <c r="C10" s="24">
        <v>6</v>
      </c>
      <c r="D10" s="24"/>
      <c r="E10" s="32" t="s">
        <v>38</v>
      </c>
      <c r="F10" s="31">
        <v>1</v>
      </c>
      <c r="G10" s="23" t="s">
        <v>23</v>
      </c>
      <c r="H10" s="23">
        <v>2001001</v>
      </c>
      <c r="I10" s="23" t="s">
        <v>24</v>
      </c>
      <c r="J10" s="23"/>
      <c r="K10" s="23"/>
      <c r="L10" s="26">
        <v>10010061</v>
      </c>
      <c r="M10" s="23" t="s">
        <v>39</v>
      </c>
      <c r="N10" s="16">
        <v>4</v>
      </c>
      <c r="O10" s="16">
        <v>5</v>
      </c>
    </row>
    <row r="11" s="1" customFormat="1" ht="16.5" spans="1:17">
      <c r="A11" s="23" t="str">
        <f t="shared" si="0"/>
        <v>1001007</v>
      </c>
      <c r="B11" s="24">
        <v>100100</v>
      </c>
      <c r="C11" s="24">
        <v>7</v>
      </c>
      <c r="D11" s="24"/>
      <c r="E11" s="27" t="s">
        <v>40</v>
      </c>
      <c r="F11" s="24">
        <v>1</v>
      </c>
      <c r="G11" s="23" t="s">
        <v>23</v>
      </c>
      <c r="H11" s="23">
        <v>2001001</v>
      </c>
      <c r="I11" s="23" t="s">
        <v>24</v>
      </c>
      <c r="J11" s="23"/>
      <c r="K11" s="23"/>
      <c r="L11" s="28" t="s">
        <v>41</v>
      </c>
      <c r="M11" s="23" t="s">
        <v>29</v>
      </c>
      <c r="N11" s="16">
        <v>4</v>
      </c>
      <c r="O11" s="16">
        <v>5</v>
      </c>
    </row>
    <row r="12" s="2" customFormat="1" ht="16.5" spans="1:17">
      <c r="A12" s="33" t="str">
        <f t="shared" si="0"/>
        <v>1003001</v>
      </c>
      <c r="B12" s="25">
        <v>100300</v>
      </c>
      <c r="C12" s="25">
        <v>1</v>
      </c>
      <c r="D12" s="25" t="s">
        <v>42</v>
      </c>
      <c r="E12" s="25" t="s">
        <v>22</v>
      </c>
      <c r="F12" s="25">
        <v>1</v>
      </c>
      <c r="G12" s="33" t="s">
        <v>23</v>
      </c>
      <c r="H12" s="33">
        <v>2003001</v>
      </c>
      <c r="I12" s="33" t="s">
        <v>24</v>
      </c>
      <c r="J12" s="33"/>
      <c r="K12" s="33"/>
      <c r="L12" s="34">
        <v>10030022</v>
      </c>
      <c r="M12" s="33" t="s">
        <v>43</v>
      </c>
      <c r="N12" s="25">
        <v>3</v>
      </c>
      <c r="O12" s="25">
        <v>3</v>
      </c>
      <c r="Q12" s="35"/>
    </row>
    <row r="13" s="2" customFormat="1" ht="16.5" spans="1:17">
      <c r="A13" s="33" t="str">
        <f t="shared" ref="A13:A30" si="1">B13&amp;C13</f>
        <v>1003002</v>
      </c>
      <c r="B13" s="25">
        <v>100300</v>
      </c>
      <c r="C13" s="25">
        <v>2</v>
      </c>
      <c r="D13" s="25"/>
      <c r="E13" s="25" t="s">
        <v>44</v>
      </c>
      <c r="F13" s="25">
        <v>1</v>
      </c>
      <c r="G13" s="33" t="s">
        <v>23</v>
      </c>
      <c r="H13" s="33">
        <v>2003001</v>
      </c>
      <c r="I13" s="33" t="s">
        <v>24</v>
      </c>
      <c r="J13" s="33"/>
      <c r="K13" s="33"/>
      <c r="L13" s="34" t="s">
        <v>45</v>
      </c>
      <c r="M13" s="33" t="s">
        <v>46</v>
      </c>
      <c r="N13" s="25">
        <v>3</v>
      </c>
      <c r="O13" s="25">
        <v>3</v>
      </c>
      <c r="Q13" s="35"/>
    </row>
    <row r="14" s="2" customFormat="1" ht="16.5" spans="1:17">
      <c r="A14" s="33" t="str">
        <f t="shared" si="1"/>
        <v>1003003</v>
      </c>
      <c r="B14" s="25">
        <v>100300</v>
      </c>
      <c r="C14" s="25">
        <v>3</v>
      </c>
      <c r="D14" s="25"/>
      <c r="E14" s="25" t="s">
        <v>47</v>
      </c>
      <c r="F14" s="25">
        <v>1</v>
      </c>
      <c r="G14" s="33" t="s">
        <v>23</v>
      </c>
      <c r="H14" s="33">
        <v>2003002</v>
      </c>
      <c r="I14" s="33" t="s">
        <v>24</v>
      </c>
      <c r="J14" s="33" t="s">
        <v>48</v>
      </c>
      <c r="K14" s="33" t="s">
        <v>49</v>
      </c>
      <c r="L14" s="34" t="s">
        <v>50</v>
      </c>
      <c r="M14" s="33" t="s">
        <v>51</v>
      </c>
      <c r="N14" s="25">
        <v>3</v>
      </c>
      <c r="O14" s="25">
        <v>3</v>
      </c>
      <c r="Q14" s="35"/>
    </row>
    <row r="15" s="3" customFormat="1" ht="16.5" spans="1:17">
      <c r="A15" s="36" t="str">
        <f t="shared" si="1"/>
        <v>1007001</v>
      </c>
      <c r="B15" s="37">
        <v>100700</v>
      </c>
      <c r="C15" s="37">
        <v>1</v>
      </c>
      <c r="D15" s="37" t="s">
        <v>52</v>
      </c>
      <c r="E15" s="37" t="s">
        <v>22</v>
      </c>
      <c r="F15" s="37">
        <v>1</v>
      </c>
      <c r="G15" s="36" t="s">
        <v>23</v>
      </c>
      <c r="H15" s="36">
        <v>2007001</v>
      </c>
      <c r="I15" s="36" t="s">
        <v>24</v>
      </c>
      <c r="J15" s="36"/>
      <c r="K15" s="36"/>
      <c r="L15" s="38" t="s">
        <v>53</v>
      </c>
      <c r="M15" s="36" t="s">
        <v>54</v>
      </c>
      <c r="N15" s="16">
        <v>4</v>
      </c>
      <c r="O15" s="16">
        <v>5</v>
      </c>
    </row>
    <row r="16" s="3" customFormat="1" ht="16.5" spans="1:17">
      <c r="A16" s="36" t="str">
        <f t="shared" si="1"/>
        <v>1007002</v>
      </c>
      <c r="B16" s="37">
        <v>100700</v>
      </c>
      <c r="C16" s="37">
        <v>2</v>
      </c>
      <c r="D16" s="37"/>
      <c r="E16" s="37" t="s">
        <v>55</v>
      </c>
      <c r="F16" s="37">
        <v>1</v>
      </c>
      <c r="G16" s="36" t="s">
        <v>23</v>
      </c>
      <c r="H16" s="36">
        <v>2007001</v>
      </c>
      <c r="I16" s="36" t="s">
        <v>24</v>
      </c>
      <c r="J16" s="36"/>
      <c r="K16" s="36"/>
      <c r="L16" s="38" t="s">
        <v>56</v>
      </c>
      <c r="M16" s="36" t="s">
        <v>34</v>
      </c>
      <c r="N16" s="16">
        <v>4</v>
      </c>
      <c r="O16" s="16">
        <v>5</v>
      </c>
    </row>
    <row r="17" s="4" customFormat="1" ht="16.5" spans="1:17">
      <c r="A17" s="39" t="str">
        <f t="shared" si="1"/>
        <v>1012001</v>
      </c>
      <c r="B17" s="40">
        <v>101200</v>
      </c>
      <c r="C17" s="40">
        <v>1</v>
      </c>
      <c r="D17" s="40" t="s">
        <v>57</v>
      </c>
      <c r="E17" s="40" t="s">
        <v>22</v>
      </c>
      <c r="F17" s="40">
        <v>1</v>
      </c>
      <c r="G17" s="39" t="s">
        <v>23</v>
      </c>
      <c r="H17" s="39">
        <v>2012001</v>
      </c>
      <c r="I17" s="39" t="s">
        <v>24</v>
      </c>
      <c r="J17" s="39"/>
      <c r="K17" s="39"/>
      <c r="L17" s="41">
        <v>10120011</v>
      </c>
      <c r="M17" s="39" t="s">
        <v>58</v>
      </c>
      <c r="N17" s="40">
        <v>3</v>
      </c>
      <c r="O17" s="40">
        <v>5</v>
      </c>
      <c r="Q17" s="42"/>
    </row>
    <row r="18" s="4" customFormat="1" ht="16.5" spans="1:17">
      <c r="A18" s="39" t="str">
        <f t="shared" si="1"/>
        <v>1012002</v>
      </c>
      <c r="B18" s="40">
        <v>101200</v>
      </c>
      <c r="C18" s="40">
        <v>2</v>
      </c>
      <c r="D18" s="40"/>
      <c r="E18" s="40" t="s">
        <v>59</v>
      </c>
      <c r="F18" s="40">
        <v>1</v>
      </c>
      <c r="G18" s="39" t="s">
        <v>23</v>
      </c>
      <c r="H18" s="39">
        <v>2012001</v>
      </c>
      <c r="I18" s="39" t="s">
        <v>24</v>
      </c>
      <c r="J18" s="39"/>
      <c r="K18" s="39"/>
      <c r="L18" s="41">
        <v>10120021</v>
      </c>
      <c r="M18" s="39" t="s">
        <v>60</v>
      </c>
      <c r="N18" s="40">
        <v>3</v>
      </c>
      <c r="O18" s="40">
        <v>5</v>
      </c>
      <c r="Q18" s="42"/>
    </row>
    <row r="19" s="4" customFormat="1" ht="16.5" spans="1:17">
      <c r="A19" s="39" t="str">
        <f t="shared" si="1"/>
        <v>1012003</v>
      </c>
      <c r="B19" s="40">
        <v>101200</v>
      </c>
      <c r="C19" s="40">
        <v>3</v>
      </c>
      <c r="D19" s="40"/>
      <c r="E19" s="40" t="s">
        <v>61</v>
      </c>
      <c r="F19" s="40">
        <v>1</v>
      </c>
      <c r="G19" s="39" t="s">
        <v>23</v>
      </c>
      <c r="H19" s="39">
        <v>2012001</v>
      </c>
      <c r="I19" s="39" t="s">
        <v>24</v>
      </c>
      <c r="J19" s="39" t="s">
        <v>62</v>
      </c>
      <c r="K19" s="39" t="s">
        <v>63</v>
      </c>
      <c r="L19" s="41"/>
      <c r="M19" s="39" t="s">
        <v>64</v>
      </c>
      <c r="N19" s="40">
        <v>3</v>
      </c>
      <c r="O19" s="40">
        <v>5</v>
      </c>
      <c r="Q19" s="42"/>
    </row>
    <row r="20" s="3" customFormat="1" ht="16.5" spans="1:17">
      <c r="A20" s="33" t="str">
        <f t="shared" si="1"/>
        <v>1014001</v>
      </c>
      <c r="B20" s="25">
        <v>101400</v>
      </c>
      <c r="C20" s="25">
        <v>1</v>
      </c>
      <c r="D20" s="25" t="s">
        <v>65</v>
      </c>
      <c r="E20" s="25" t="s">
        <v>22</v>
      </c>
      <c r="F20" s="25">
        <v>1</v>
      </c>
      <c r="G20" s="33" t="s">
        <v>23</v>
      </c>
      <c r="H20" s="33">
        <v>2014001</v>
      </c>
      <c r="I20" s="33" t="s">
        <v>24</v>
      </c>
      <c r="J20" s="33"/>
      <c r="K20" s="33"/>
      <c r="L20" s="34" t="s">
        <v>66</v>
      </c>
      <c r="M20" s="33" t="s">
        <v>67</v>
      </c>
      <c r="N20" s="16">
        <v>4</v>
      </c>
      <c r="O20" s="16">
        <v>3</v>
      </c>
      <c r="Q20" s="43"/>
    </row>
    <row r="21" s="3" customFormat="1" ht="16.5" spans="1:17">
      <c r="A21" s="33" t="str">
        <f t="shared" si="1"/>
        <v>1014002</v>
      </c>
      <c r="B21" s="25">
        <v>101400</v>
      </c>
      <c r="C21" s="25">
        <v>2</v>
      </c>
      <c r="D21" s="25" t="s">
        <v>65</v>
      </c>
      <c r="E21" s="25" t="s">
        <v>22</v>
      </c>
      <c r="F21" s="25">
        <v>1</v>
      </c>
      <c r="G21" s="33" t="s">
        <v>23</v>
      </c>
      <c r="H21" s="33">
        <v>2014001</v>
      </c>
      <c r="I21" s="33" t="s">
        <v>24</v>
      </c>
      <c r="J21" s="33"/>
      <c r="K21" s="33"/>
      <c r="L21" s="34" t="s">
        <v>68</v>
      </c>
      <c r="M21" s="33" t="s">
        <v>69</v>
      </c>
      <c r="N21" s="16">
        <v>4</v>
      </c>
      <c r="O21" s="16">
        <v>3</v>
      </c>
      <c r="Q21" s="43"/>
    </row>
    <row r="22" s="3" customFormat="1" ht="16.5" spans="1:17">
      <c r="A22" s="33" t="str">
        <f t="shared" si="1"/>
        <v>1014003</v>
      </c>
      <c r="B22" s="25">
        <v>101400</v>
      </c>
      <c r="C22" s="25">
        <v>3</v>
      </c>
      <c r="D22" s="25" t="s">
        <v>65</v>
      </c>
      <c r="E22" s="25" t="s">
        <v>70</v>
      </c>
      <c r="F22" s="25">
        <v>1</v>
      </c>
      <c r="G22" s="33" t="s">
        <v>23</v>
      </c>
      <c r="H22" s="33">
        <v>2014001</v>
      </c>
      <c r="I22" s="33" t="s">
        <v>24</v>
      </c>
      <c r="J22" s="33"/>
      <c r="K22" s="33"/>
      <c r="L22" s="34">
        <v>10140021</v>
      </c>
      <c r="M22" s="33" t="s">
        <v>71</v>
      </c>
      <c r="N22" s="16">
        <v>4</v>
      </c>
      <c r="O22" s="16">
        <v>3</v>
      </c>
      <c r="Q22" s="43"/>
    </row>
    <row r="23" s="1" customFormat="1" ht="16.5" spans="1:17">
      <c r="A23" s="23" t="str">
        <f t="shared" si="1"/>
        <v>1024001</v>
      </c>
      <c r="B23" s="24">
        <v>102400</v>
      </c>
      <c r="C23" s="24">
        <v>1</v>
      </c>
      <c r="D23" s="24" t="s">
        <v>72</v>
      </c>
      <c r="E23" s="25" t="s">
        <v>22</v>
      </c>
      <c r="F23" s="24">
        <v>1</v>
      </c>
      <c r="G23" s="23" t="s">
        <v>23</v>
      </c>
      <c r="H23" s="23">
        <v>2024001</v>
      </c>
      <c r="I23" s="23" t="s">
        <v>24</v>
      </c>
      <c r="J23" s="23"/>
      <c r="K23" s="23"/>
      <c r="L23" s="26" t="s">
        <v>73</v>
      </c>
      <c r="M23" s="23" t="s">
        <v>26</v>
      </c>
      <c r="N23" s="16">
        <v>4</v>
      </c>
      <c r="O23" s="16">
        <v>5</v>
      </c>
    </row>
    <row r="24" s="1" customFormat="1" ht="16.5" spans="1:17">
      <c r="A24" s="23" t="str">
        <f t="shared" si="1"/>
        <v>1024002</v>
      </c>
      <c r="B24" s="24">
        <v>102400</v>
      </c>
      <c r="C24" s="24">
        <v>2</v>
      </c>
      <c r="D24" s="24"/>
      <c r="E24" s="27" t="s">
        <v>27</v>
      </c>
      <c r="F24" s="24">
        <v>1</v>
      </c>
      <c r="G24" s="23" t="s">
        <v>23</v>
      </c>
      <c r="H24" s="23">
        <v>2024001</v>
      </c>
      <c r="I24" s="23" t="s">
        <v>24</v>
      </c>
      <c r="J24" s="23"/>
      <c r="K24" s="23"/>
      <c r="L24" s="28" t="s">
        <v>74</v>
      </c>
      <c r="M24" s="23" t="s">
        <v>29</v>
      </c>
      <c r="N24" s="16">
        <v>4</v>
      </c>
      <c r="O24" s="16">
        <v>5</v>
      </c>
    </row>
    <row r="25" s="1" customFormat="1" ht="16.5" spans="1:17">
      <c r="A25" s="23" t="str">
        <f t="shared" si="1"/>
        <v>1024003</v>
      </c>
      <c r="B25" s="24">
        <v>102400</v>
      </c>
      <c r="C25" s="24">
        <v>3</v>
      </c>
      <c r="D25" s="24"/>
      <c r="E25" s="29" t="s">
        <v>30</v>
      </c>
      <c r="F25" s="24">
        <v>1</v>
      </c>
      <c r="G25" s="23" t="s">
        <v>23</v>
      </c>
      <c r="H25" s="23">
        <v>2024001</v>
      </c>
      <c r="I25" s="23" t="s">
        <v>24</v>
      </c>
      <c r="J25" s="23"/>
      <c r="K25" s="23"/>
      <c r="L25" s="26" t="s">
        <v>75</v>
      </c>
      <c r="M25" s="23" t="s">
        <v>32</v>
      </c>
      <c r="N25" s="16">
        <v>4</v>
      </c>
      <c r="O25" s="16">
        <v>5</v>
      </c>
    </row>
    <row r="26" s="1" customFormat="1" ht="16.5" spans="1:17">
      <c r="A26" s="23" t="str">
        <f t="shared" si="1"/>
        <v>1024004</v>
      </c>
      <c r="B26" s="24">
        <v>102400</v>
      </c>
      <c r="C26" s="24">
        <v>4</v>
      </c>
      <c r="D26" s="24"/>
      <c r="E26" s="30" t="s">
        <v>33</v>
      </c>
      <c r="F26" s="31">
        <v>1</v>
      </c>
      <c r="G26" s="23" t="s">
        <v>23</v>
      </c>
      <c r="H26" s="23">
        <v>2024001</v>
      </c>
      <c r="I26" s="23" t="s">
        <v>24</v>
      </c>
      <c r="J26" s="23"/>
      <c r="K26" s="23"/>
      <c r="L26" s="26">
        <v>10240041</v>
      </c>
      <c r="M26" s="23" t="s">
        <v>34</v>
      </c>
      <c r="N26" s="16">
        <v>4</v>
      </c>
      <c r="O26" s="16">
        <v>5</v>
      </c>
    </row>
    <row r="27" s="1" customFormat="1" ht="16.5" spans="1:17">
      <c r="A27" s="23" t="str">
        <f t="shared" si="1"/>
        <v>1024005</v>
      </c>
      <c r="B27" s="24">
        <v>102400</v>
      </c>
      <c r="C27" s="24">
        <v>5</v>
      </c>
      <c r="D27" s="24"/>
      <c r="E27" s="32" t="s">
        <v>35</v>
      </c>
      <c r="F27" s="31">
        <v>1</v>
      </c>
      <c r="G27" s="23" t="s">
        <v>23</v>
      </c>
      <c r="H27" s="23">
        <v>2024001</v>
      </c>
      <c r="I27" s="23" t="s">
        <v>24</v>
      </c>
      <c r="J27" s="23"/>
      <c r="K27" s="23"/>
      <c r="L27" s="26" t="s">
        <v>76</v>
      </c>
      <c r="M27" s="23" t="s">
        <v>37</v>
      </c>
      <c r="N27" s="16">
        <v>4</v>
      </c>
      <c r="O27" s="16">
        <v>5</v>
      </c>
    </row>
    <row r="28" s="1" customFormat="1" ht="16.5" spans="1:17">
      <c r="A28" s="23" t="str">
        <f t="shared" si="1"/>
        <v>1024006</v>
      </c>
      <c r="B28" s="24">
        <v>102400</v>
      </c>
      <c r="C28" s="24">
        <v>6</v>
      </c>
      <c r="D28" s="24"/>
      <c r="E28" s="32" t="s">
        <v>38</v>
      </c>
      <c r="F28" s="31">
        <v>1</v>
      </c>
      <c r="G28" s="23" t="s">
        <v>23</v>
      </c>
      <c r="H28" s="23">
        <v>2024001</v>
      </c>
      <c r="I28" s="23" t="s">
        <v>24</v>
      </c>
      <c r="J28" s="23"/>
      <c r="K28" s="23"/>
      <c r="L28" s="26">
        <v>10240061</v>
      </c>
      <c r="M28" s="23" t="s">
        <v>39</v>
      </c>
      <c r="N28" s="16">
        <v>4</v>
      </c>
      <c r="O28" s="16">
        <v>5</v>
      </c>
    </row>
    <row r="29" s="1" customFormat="1" ht="16.5" spans="1:17">
      <c r="A29" s="23" t="str">
        <f t="shared" si="1"/>
        <v>1024007</v>
      </c>
      <c r="B29" s="24">
        <v>102400</v>
      </c>
      <c r="C29" s="24">
        <v>7</v>
      </c>
      <c r="D29" s="24"/>
      <c r="E29" s="27" t="s">
        <v>40</v>
      </c>
      <c r="F29" s="24">
        <v>1</v>
      </c>
      <c r="G29" s="23" t="s">
        <v>23</v>
      </c>
      <c r="H29" s="23">
        <v>2024001</v>
      </c>
      <c r="I29" s="23" t="s">
        <v>24</v>
      </c>
      <c r="J29" s="23"/>
      <c r="K29" s="23"/>
      <c r="L29" s="28" t="s">
        <v>77</v>
      </c>
      <c r="M29" s="23" t="s">
        <v>29</v>
      </c>
      <c r="N29" s="16">
        <v>4</v>
      </c>
      <c r="O29" s="16">
        <v>5</v>
      </c>
    </row>
    <row r="30" s="5" customFormat="1" ht="16.5" spans="1:17">
      <c r="A30" s="23" t="str">
        <f t="shared" si="1"/>
        <v>1017001</v>
      </c>
      <c r="B30" s="5">
        <v>101700</v>
      </c>
      <c r="C30" s="5">
        <v>1</v>
      </c>
      <c r="D30" s="5" t="s">
        <v>78</v>
      </c>
      <c r="E30" s="5" t="s">
        <v>22</v>
      </c>
      <c r="F30" s="5">
        <v>1</v>
      </c>
      <c r="G30" s="5" t="s">
        <v>23</v>
      </c>
      <c r="H30" s="5">
        <v>2017001</v>
      </c>
      <c r="I30" s="5" t="s">
        <v>24</v>
      </c>
      <c r="L30" s="5" t="s">
        <v>79</v>
      </c>
      <c r="M30" s="5" t="s">
        <v>54</v>
      </c>
      <c r="N30" s="44">
        <v>4</v>
      </c>
      <c r="O30" s="44">
        <v>5</v>
      </c>
      <c r="Q30" s="17"/>
    </row>
    <row r="31" s="5" customFormat="1" ht="16.5" spans="1:17">
      <c r="A31" s="23" t="str">
        <f t="shared" ref="A31:A51" si="2">B31&amp;C31</f>
        <v>1017002</v>
      </c>
      <c r="B31" s="5">
        <v>101700</v>
      </c>
      <c r="C31" s="5">
        <v>2</v>
      </c>
      <c r="D31" s="5" t="s">
        <v>78</v>
      </c>
      <c r="E31" s="5" t="s">
        <v>55</v>
      </c>
      <c r="F31" s="5">
        <v>1</v>
      </c>
      <c r="G31" s="5" t="s">
        <v>23</v>
      </c>
      <c r="H31" s="5">
        <v>2017001</v>
      </c>
      <c r="I31" s="5" t="s">
        <v>24</v>
      </c>
      <c r="L31" s="5" t="s">
        <v>80</v>
      </c>
      <c r="M31" s="5" t="s">
        <v>34</v>
      </c>
      <c r="N31" s="44">
        <v>4</v>
      </c>
      <c r="O31" s="44">
        <v>5</v>
      </c>
      <c r="Q31" s="17"/>
    </row>
    <row r="32" s="5" customFormat="1" ht="16.5" spans="1:17">
      <c r="A32" s="23" t="str">
        <f t="shared" si="2"/>
        <v>1017003</v>
      </c>
      <c r="B32" s="5">
        <v>101700</v>
      </c>
      <c r="C32" s="5">
        <v>3</v>
      </c>
      <c r="D32" s="5" t="s">
        <v>78</v>
      </c>
      <c r="E32" s="5" t="s">
        <v>81</v>
      </c>
      <c r="F32" s="5">
        <v>1</v>
      </c>
      <c r="G32" s="5" t="s">
        <v>23</v>
      </c>
      <c r="H32" s="5">
        <v>2017001</v>
      </c>
      <c r="I32" s="5" t="s">
        <v>24</v>
      </c>
      <c r="L32" s="5" t="s">
        <v>82</v>
      </c>
      <c r="M32" s="5" t="s">
        <v>83</v>
      </c>
      <c r="N32" s="44">
        <v>4</v>
      </c>
      <c r="O32" s="44">
        <v>5</v>
      </c>
      <c r="Q32" s="17"/>
    </row>
    <row r="33" s="5" customFormat="1" ht="16.5" spans="1:19">
      <c r="A33" s="23" t="str">
        <f t="shared" si="2"/>
        <v>1022001</v>
      </c>
      <c r="B33" s="5">
        <v>102200</v>
      </c>
      <c r="C33" s="5">
        <v>1</v>
      </c>
      <c r="D33" s="5" t="s">
        <v>84</v>
      </c>
      <c r="E33" s="5" t="s">
        <v>22</v>
      </c>
      <c r="F33" s="5">
        <v>1</v>
      </c>
      <c r="G33" s="5" t="s">
        <v>23</v>
      </c>
      <c r="H33" s="5">
        <v>2022001</v>
      </c>
      <c r="I33" s="5" t="s">
        <v>24</v>
      </c>
      <c r="L33" s="45" t="s">
        <v>85</v>
      </c>
      <c r="M33" s="5" t="s">
        <v>86</v>
      </c>
      <c r="N33" s="44">
        <v>3</v>
      </c>
      <c r="O33" s="44">
        <v>5</v>
      </c>
      <c r="Q33" s="17"/>
    </row>
    <row r="34" s="5" customFormat="1" ht="16.5" spans="1:19">
      <c r="A34" s="23" t="str">
        <f t="shared" si="2"/>
        <v>1022002</v>
      </c>
      <c r="B34" s="5">
        <v>102200</v>
      </c>
      <c r="C34" s="5">
        <v>2</v>
      </c>
      <c r="D34" s="5" t="s">
        <v>84</v>
      </c>
      <c r="E34" s="5" t="s">
        <v>87</v>
      </c>
      <c r="F34" s="16">
        <v>1</v>
      </c>
      <c r="G34" s="46" t="s">
        <v>23</v>
      </c>
      <c r="H34" s="5">
        <v>2022001</v>
      </c>
      <c r="I34" s="5" t="s">
        <v>24</v>
      </c>
      <c r="L34" s="45">
        <v>10220033</v>
      </c>
      <c r="M34" s="5" t="s">
        <v>88</v>
      </c>
      <c r="N34" s="44">
        <v>3</v>
      </c>
      <c r="O34" s="44">
        <v>5</v>
      </c>
      <c r="Q34" s="17"/>
    </row>
    <row r="35" s="5" customFormat="1" ht="16.5" spans="1:19">
      <c r="A35" s="23" t="str">
        <f t="shared" si="2"/>
        <v>1022003</v>
      </c>
      <c r="B35" s="5">
        <v>102200</v>
      </c>
      <c r="C35" s="5">
        <v>3</v>
      </c>
      <c r="D35" s="5" t="s">
        <v>84</v>
      </c>
      <c r="E35" s="5" t="s">
        <v>81</v>
      </c>
      <c r="F35" s="46">
        <v>1</v>
      </c>
      <c r="G35" s="46" t="s">
        <v>23</v>
      </c>
      <c r="H35" s="5">
        <v>2022001</v>
      </c>
      <c r="I35" s="5" t="s">
        <v>24</v>
      </c>
      <c r="L35" s="47" t="s">
        <v>89</v>
      </c>
      <c r="M35" s="5" t="s">
        <v>83</v>
      </c>
      <c r="N35" s="44">
        <v>3</v>
      </c>
      <c r="O35" s="44">
        <v>5</v>
      </c>
      <c r="Q35" s="17"/>
    </row>
    <row r="36" s="5" customFormat="1" ht="16.5" spans="1:19">
      <c r="A36" s="23" t="str">
        <f t="shared" si="2"/>
        <v>1022004</v>
      </c>
      <c r="B36" s="5">
        <v>102200</v>
      </c>
      <c r="C36" s="5">
        <v>4</v>
      </c>
      <c r="D36" s="5" t="s">
        <v>84</v>
      </c>
      <c r="E36" s="5" t="s">
        <v>90</v>
      </c>
      <c r="F36" s="16">
        <v>1</v>
      </c>
      <c r="G36" s="46" t="s">
        <v>23</v>
      </c>
      <c r="H36" s="5">
        <v>2022001</v>
      </c>
      <c r="I36" s="5" t="s">
        <v>24</v>
      </c>
      <c r="L36" s="45">
        <v>10220020</v>
      </c>
      <c r="N36" s="44">
        <v>3</v>
      </c>
      <c r="O36" s="44">
        <v>5</v>
      </c>
      <c r="Q36" s="17"/>
    </row>
    <row r="37" s="5" customFormat="1" ht="16.5" spans="1:19">
      <c r="A37" s="23" t="str">
        <f t="shared" si="2"/>
        <v>1022005</v>
      </c>
      <c r="B37" s="5">
        <v>102200</v>
      </c>
      <c r="C37" s="5">
        <v>5</v>
      </c>
      <c r="D37" s="5" t="s">
        <v>84</v>
      </c>
      <c r="E37" s="5" t="s">
        <v>91</v>
      </c>
      <c r="F37" s="5">
        <v>1</v>
      </c>
      <c r="G37" s="5" t="s">
        <v>23</v>
      </c>
      <c r="H37" s="5">
        <v>2022001</v>
      </c>
      <c r="I37" s="5" t="s">
        <v>24</v>
      </c>
      <c r="L37" s="45">
        <v>10220019</v>
      </c>
      <c r="N37" s="44">
        <v>3</v>
      </c>
      <c r="O37" s="44">
        <v>5</v>
      </c>
      <c r="Q37" s="17"/>
      <c r="S37" s="48"/>
    </row>
    <row r="38" s="5" customFormat="1" ht="16.5" spans="1:19">
      <c r="A38" s="23" t="str">
        <f t="shared" si="2"/>
        <v>1021001</v>
      </c>
      <c r="B38" s="5">
        <v>102100</v>
      </c>
      <c r="C38" s="5">
        <v>1</v>
      </c>
      <c r="D38" s="5" t="s">
        <v>92</v>
      </c>
      <c r="E38" s="5" t="s">
        <v>22</v>
      </c>
      <c r="F38" s="5">
        <v>1</v>
      </c>
      <c r="G38" s="5" t="s">
        <v>23</v>
      </c>
      <c r="H38" s="5">
        <v>2021001</v>
      </c>
      <c r="I38" s="5" t="s">
        <v>24</v>
      </c>
      <c r="L38" s="45" t="s">
        <v>93</v>
      </c>
      <c r="M38" s="5" t="s">
        <v>86</v>
      </c>
      <c r="N38" s="44">
        <v>3</v>
      </c>
      <c r="O38" s="44">
        <v>5</v>
      </c>
      <c r="Q38" s="17"/>
      <c r="S38" s="48"/>
    </row>
    <row r="39" s="5" customFormat="1" ht="16.5" spans="1:19">
      <c r="A39" s="23" t="str">
        <f t="shared" si="2"/>
        <v>1021002</v>
      </c>
      <c r="B39" s="5">
        <v>102100</v>
      </c>
      <c r="C39" s="5">
        <v>2</v>
      </c>
      <c r="D39" s="5" t="s">
        <v>92</v>
      </c>
      <c r="E39" s="5" t="s">
        <v>87</v>
      </c>
      <c r="F39" s="5">
        <v>1</v>
      </c>
      <c r="G39" s="5" t="s">
        <v>23</v>
      </c>
      <c r="H39" s="5">
        <v>2021001</v>
      </c>
      <c r="I39" s="5" t="s">
        <v>24</v>
      </c>
      <c r="L39" s="45">
        <v>10210031</v>
      </c>
      <c r="M39" s="5" t="s">
        <v>88</v>
      </c>
      <c r="N39" s="44">
        <v>3</v>
      </c>
      <c r="O39" s="44">
        <v>5</v>
      </c>
      <c r="Q39" s="17"/>
      <c r="S39" s="48"/>
    </row>
    <row r="40" s="5" customFormat="1" ht="16.5" spans="1:19">
      <c r="A40" s="23" t="str">
        <f t="shared" si="2"/>
        <v>1021003</v>
      </c>
      <c r="B40" s="5">
        <v>102100</v>
      </c>
      <c r="C40" s="5">
        <v>3</v>
      </c>
      <c r="D40" s="5" t="s">
        <v>92</v>
      </c>
      <c r="E40" s="5" t="s">
        <v>94</v>
      </c>
      <c r="F40" s="5">
        <v>1</v>
      </c>
      <c r="G40" s="5" t="s">
        <v>23</v>
      </c>
      <c r="H40" s="5">
        <v>2021001</v>
      </c>
      <c r="I40" s="5" t="s">
        <v>24</v>
      </c>
      <c r="L40" s="45">
        <v>10210041</v>
      </c>
      <c r="M40" s="5" t="s">
        <v>95</v>
      </c>
      <c r="N40" s="44">
        <v>3</v>
      </c>
      <c r="O40" s="44">
        <v>5</v>
      </c>
      <c r="Q40" s="17"/>
      <c r="S40" s="48"/>
    </row>
    <row r="41" s="5" customFormat="1" ht="16.5" spans="1:19">
      <c r="A41" s="23" t="str">
        <f t="shared" si="2"/>
        <v>1021004</v>
      </c>
      <c r="B41" s="5">
        <v>102100</v>
      </c>
      <c r="C41" s="5">
        <v>4</v>
      </c>
      <c r="D41" s="5" t="s">
        <v>92</v>
      </c>
      <c r="E41" s="5" t="s">
        <v>81</v>
      </c>
      <c r="F41" s="5">
        <v>1</v>
      </c>
      <c r="G41" s="5" t="s">
        <v>23</v>
      </c>
      <c r="H41" s="5">
        <v>2021001</v>
      </c>
      <c r="I41" s="5" t="s">
        <v>24</v>
      </c>
      <c r="L41" s="45" t="s">
        <v>96</v>
      </c>
      <c r="M41" s="5" t="s">
        <v>83</v>
      </c>
      <c r="N41" s="44">
        <v>3</v>
      </c>
      <c r="O41" s="44">
        <v>5</v>
      </c>
      <c r="Q41" s="17"/>
      <c r="S41" s="48"/>
    </row>
    <row r="42" s="5" customFormat="1" ht="16.5" spans="1:19">
      <c r="A42" s="23" t="str">
        <f t="shared" si="2"/>
        <v>1018001</v>
      </c>
      <c r="B42" s="5">
        <v>101800</v>
      </c>
      <c r="C42" s="5">
        <v>1</v>
      </c>
      <c r="D42" s="5" t="s">
        <v>97</v>
      </c>
      <c r="E42" s="5" t="s">
        <v>22</v>
      </c>
      <c r="F42" s="5">
        <v>1</v>
      </c>
      <c r="G42" s="5" t="s">
        <v>23</v>
      </c>
      <c r="H42" s="5">
        <v>2018001</v>
      </c>
      <c r="I42" s="5" t="s">
        <v>24</v>
      </c>
      <c r="L42" s="45" t="s">
        <v>98</v>
      </c>
      <c r="M42" s="5" t="s">
        <v>86</v>
      </c>
      <c r="N42" s="44">
        <v>4</v>
      </c>
      <c r="O42" s="44">
        <v>6</v>
      </c>
      <c r="Q42" s="17"/>
      <c r="S42" s="48"/>
    </row>
    <row r="43" s="5" customFormat="1" ht="16.5" spans="1:19">
      <c r="A43" s="5" t="str">
        <f t="shared" si="2"/>
        <v>1018002</v>
      </c>
      <c r="B43" s="5">
        <v>101800</v>
      </c>
      <c r="C43" s="5">
        <v>2</v>
      </c>
      <c r="D43" s="5" t="s">
        <v>97</v>
      </c>
      <c r="E43" s="5" t="s">
        <v>87</v>
      </c>
      <c r="F43" s="5">
        <v>1</v>
      </c>
      <c r="G43" s="5" t="s">
        <v>23</v>
      </c>
      <c r="H43" s="5">
        <v>2018002</v>
      </c>
      <c r="I43" s="5" t="s">
        <v>24</v>
      </c>
      <c r="L43" s="45">
        <v>10180031</v>
      </c>
      <c r="M43" s="5" t="s">
        <v>88</v>
      </c>
      <c r="N43" s="44">
        <v>4</v>
      </c>
      <c r="O43" s="44">
        <v>6</v>
      </c>
    </row>
    <row r="44" ht="16.5" spans="1:19">
      <c r="A44" s="5" t="str">
        <f t="shared" si="2"/>
        <v>1018003</v>
      </c>
      <c r="B44" s="5">
        <v>101800</v>
      </c>
      <c r="C44" s="5">
        <v>3</v>
      </c>
      <c r="D44" s="5" t="s">
        <v>97</v>
      </c>
      <c r="E44" s="5" t="s">
        <v>81</v>
      </c>
      <c r="F44" s="5">
        <v>1</v>
      </c>
      <c r="G44" s="5" t="s">
        <v>23</v>
      </c>
      <c r="H44" s="5">
        <v>2018001</v>
      </c>
      <c r="I44" s="5" t="s">
        <v>24</v>
      </c>
      <c r="L44" s="45" t="s">
        <v>99</v>
      </c>
      <c r="M44" s="5" t="s">
        <v>83</v>
      </c>
      <c r="N44" s="44">
        <v>4</v>
      </c>
      <c r="O44" s="44">
        <v>6</v>
      </c>
    </row>
    <row r="45" customFormat="1" ht="16.5" spans="1:19">
      <c r="A45" s="5" t="str">
        <f t="shared" si="2"/>
        <v>1025001</v>
      </c>
      <c r="B45" s="5">
        <v>102500</v>
      </c>
      <c r="C45" s="5">
        <v>1</v>
      </c>
      <c r="D45" s="5" t="s">
        <v>100</v>
      </c>
      <c r="E45" s="5" t="s">
        <v>22</v>
      </c>
      <c r="F45" s="5">
        <v>1</v>
      </c>
      <c r="G45" s="5" t="s">
        <v>23</v>
      </c>
      <c r="H45" s="5">
        <v>2025001</v>
      </c>
      <c r="I45" s="5" t="s">
        <v>24</v>
      </c>
      <c r="L45" s="45" t="s">
        <v>101</v>
      </c>
      <c r="M45" s="5" t="s">
        <v>86</v>
      </c>
      <c r="N45" s="44">
        <v>3</v>
      </c>
      <c r="O45" s="44">
        <v>5</v>
      </c>
      <c r="Q45" s="7"/>
    </row>
    <row r="46" customFormat="1" ht="16.5" spans="1:19">
      <c r="A46" s="5" t="str">
        <f t="shared" si="2"/>
        <v>1025002</v>
      </c>
      <c r="B46" s="5">
        <v>102500</v>
      </c>
      <c r="C46" s="5">
        <v>2</v>
      </c>
      <c r="D46" s="5" t="s">
        <v>100</v>
      </c>
      <c r="E46" s="5" t="s">
        <v>55</v>
      </c>
      <c r="F46" s="5">
        <v>1</v>
      </c>
      <c r="G46" s="5" t="s">
        <v>23</v>
      </c>
      <c r="H46" s="5">
        <v>2025001</v>
      </c>
      <c r="I46" s="5" t="s">
        <v>24</v>
      </c>
      <c r="L46" s="45">
        <v>10250031</v>
      </c>
      <c r="M46" s="5" t="s">
        <v>102</v>
      </c>
      <c r="N46" s="44">
        <v>3</v>
      </c>
      <c r="O46" s="44">
        <v>5</v>
      </c>
      <c r="Q46" s="7"/>
    </row>
    <row r="47" customFormat="1" ht="16.5" spans="1:19">
      <c r="A47" s="5" t="str">
        <f t="shared" si="2"/>
        <v>1025003</v>
      </c>
      <c r="B47" s="5">
        <v>102500</v>
      </c>
      <c r="C47" s="5">
        <v>3</v>
      </c>
      <c r="D47" s="5" t="s">
        <v>100</v>
      </c>
      <c r="E47" s="5" t="s">
        <v>81</v>
      </c>
      <c r="F47" s="5">
        <v>1</v>
      </c>
      <c r="G47" s="5" t="s">
        <v>23</v>
      </c>
      <c r="H47" s="5">
        <v>2025001</v>
      </c>
      <c r="I47" s="5" t="s">
        <v>24</v>
      </c>
      <c r="L47" s="45" t="s">
        <v>103</v>
      </c>
      <c r="M47" s="5" t="s">
        <v>83</v>
      </c>
      <c r="N47" s="44">
        <v>3</v>
      </c>
      <c r="O47" s="44">
        <v>5</v>
      </c>
      <c r="Q47" s="7"/>
    </row>
    <row r="48" customFormat="1" ht="16.5" spans="1:19">
      <c r="A48" s="5" t="str">
        <f t="shared" si="2"/>
        <v>1023001</v>
      </c>
      <c r="B48" s="5">
        <v>102300</v>
      </c>
      <c r="C48" s="5">
        <v>1</v>
      </c>
      <c r="D48" s="5" t="s">
        <v>104</v>
      </c>
      <c r="E48" s="5" t="s">
        <v>22</v>
      </c>
      <c r="F48" s="5">
        <v>1</v>
      </c>
      <c r="G48" s="5" t="s">
        <v>23</v>
      </c>
      <c r="H48" s="5">
        <v>2023001</v>
      </c>
      <c r="I48" s="5" t="s">
        <v>24</v>
      </c>
      <c r="L48" s="45" t="s">
        <v>105</v>
      </c>
      <c r="M48" s="5" t="s">
        <v>86</v>
      </c>
      <c r="N48" s="44">
        <v>4</v>
      </c>
      <c r="O48" s="44">
        <v>5</v>
      </c>
      <c r="Q48" s="7"/>
    </row>
    <row r="49" customFormat="1" ht="16.5" spans="1:17">
      <c r="A49" s="5" t="str">
        <f t="shared" si="2"/>
        <v>1023002</v>
      </c>
      <c r="B49" s="5">
        <v>102300</v>
      </c>
      <c r="C49" s="5">
        <v>2</v>
      </c>
      <c r="D49" s="5" t="s">
        <v>104</v>
      </c>
      <c r="E49" s="5" t="s">
        <v>55</v>
      </c>
      <c r="F49" s="5">
        <v>1</v>
      </c>
      <c r="G49" s="5" t="s">
        <v>23</v>
      </c>
      <c r="H49" s="5">
        <v>2023001</v>
      </c>
      <c r="I49" s="5" t="s">
        <v>24</v>
      </c>
      <c r="L49" s="45">
        <v>10230003</v>
      </c>
      <c r="M49" s="5" t="s">
        <v>102</v>
      </c>
      <c r="N49" s="44">
        <v>4</v>
      </c>
      <c r="O49" s="44">
        <v>5</v>
      </c>
      <c r="Q49" s="7"/>
    </row>
    <row r="50" customFormat="1" ht="16.5" spans="1:17">
      <c r="A50" s="5" t="str">
        <f t="shared" si="2"/>
        <v>1023003</v>
      </c>
      <c r="B50" s="5">
        <v>102300</v>
      </c>
      <c r="C50" s="5">
        <v>3</v>
      </c>
      <c r="D50" s="5" t="s">
        <v>104</v>
      </c>
      <c r="E50" s="5" t="s">
        <v>81</v>
      </c>
      <c r="F50" s="5">
        <v>1</v>
      </c>
      <c r="G50" s="5" t="s">
        <v>23</v>
      </c>
      <c r="H50" s="5">
        <v>2023001</v>
      </c>
      <c r="I50" s="5" t="s">
        <v>24</v>
      </c>
      <c r="L50" s="45" t="s">
        <v>106</v>
      </c>
      <c r="M50" s="5" t="s">
        <v>83</v>
      </c>
      <c r="N50" s="44">
        <v>4</v>
      </c>
      <c r="O50" s="44">
        <v>5</v>
      </c>
      <c r="Q50" s="7"/>
    </row>
    <row r="51" customFormat="1" ht="16.5" spans="1:17">
      <c r="A51" s="5" t="str">
        <f t="shared" si="2"/>
        <v>1034001</v>
      </c>
      <c r="B51" s="5">
        <v>103400</v>
      </c>
      <c r="C51" s="5">
        <v>1</v>
      </c>
      <c r="D51" s="5" t="s">
        <v>107</v>
      </c>
      <c r="E51" s="5" t="s">
        <v>22</v>
      </c>
      <c r="F51" s="5">
        <v>1</v>
      </c>
      <c r="G51" s="5" t="s">
        <v>23</v>
      </c>
      <c r="H51" s="5">
        <v>2034001</v>
      </c>
      <c r="I51" s="5" t="s">
        <v>24</v>
      </c>
      <c r="L51" s="45">
        <v>10340007</v>
      </c>
      <c r="M51" s="5" t="s">
        <v>108</v>
      </c>
      <c r="N51" s="44">
        <v>3</v>
      </c>
      <c r="O51" s="44">
        <v>3</v>
      </c>
      <c r="Q51" s="7"/>
    </row>
    <row r="52" customFormat="1" ht="16.5" spans="1:17">
      <c r="A52" s="5" t="str">
        <f>B52&amp;C52</f>
        <v>1034002</v>
      </c>
      <c r="B52" s="5">
        <v>103400</v>
      </c>
      <c r="C52" s="5">
        <v>2</v>
      </c>
      <c r="D52" s="5" t="s">
        <v>107</v>
      </c>
      <c r="E52" s="5" t="s">
        <v>109</v>
      </c>
      <c r="F52" s="5">
        <v>1</v>
      </c>
      <c r="G52" s="5" t="s">
        <v>23</v>
      </c>
      <c r="H52" s="5">
        <v>2034001</v>
      </c>
      <c r="I52" s="5" t="s">
        <v>24</v>
      </c>
      <c r="L52" s="45"/>
      <c r="M52" s="5"/>
      <c r="N52" s="44">
        <v>3</v>
      </c>
      <c r="O52" s="44">
        <v>3</v>
      </c>
      <c r="P52" s="49"/>
      <c r="Q52" s="7"/>
    </row>
    <row r="53" customFormat="1" ht="16.5" spans="1:17">
      <c r="A53" s="5" t="str">
        <f t="shared" ref="A53:A61" si="3">B53&amp;C53</f>
        <v>1035001</v>
      </c>
      <c r="B53" s="5">
        <v>103500</v>
      </c>
      <c r="C53" s="5">
        <v>1</v>
      </c>
      <c r="D53" s="5" t="s">
        <v>110</v>
      </c>
      <c r="E53" s="5" t="s">
        <v>111</v>
      </c>
      <c r="F53" s="5">
        <v>1</v>
      </c>
      <c r="G53" s="5" t="s">
        <v>23</v>
      </c>
      <c r="H53" s="5">
        <v>2035001</v>
      </c>
      <c r="I53" s="5" t="s">
        <v>24</v>
      </c>
      <c r="L53" s="45" t="s">
        <v>112</v>
      </c>
      <c r="M53" s="5" t="s">
        <v>113</v>
      </c>
      <c r="N53" s="44">
        <v>4</v>
      </c>
      <c r="O53" s="44">
        <v>3</v>
      </c>
      <c r="Q53" s="7"/>
    </row>
    <row r="54" customFormat="1" ht="16.5" spans="1:17">
      <c r="A54" s="5" t="str">
        <f t="shared" si="3"/>
        <v>1035002</v>
      </c>
      <c r="B54" s="5">
        <v>103500</v>
      </c>
      <c r="C54" s="5">
        <v>2</v>
      </c>
      <c r="D54" s="5" t="s">
        <v>110</v>
      </c>
      <c r="E54" s="5" t="s">
        <v>114</v>
      </c>
      <c r="F54" s="5">
        <v>1</v>
      </c>
      <c r="G54" s="5" t="s">
        <v>23</v>
      </c>
      <c r="H54" s="5">
        <v>2035002</v>
      </c>
      <c r="I54" s="5" t="s">
        <v>24</v>
      </c>
      <c r="L54" s="45" t="s">
        <v>115</v>
      </c>
      <c r="M54" s="5" t="s">
        <v>116</v>
      </c>
      <c r="N54" s="44">
        <v>4</v>
      </c>
      <c r="O54" s="44">
        <v>3</v>
      </c>
      <c r="Q54" s="7"/>
    </row>
    <row r="55" customFormat="1" ht="16.5" spans="1:17">
      <c r="A55" s="5" t="str">
        <f t="shared" si="3"/>
        <v>1035003</v>
      </c>
      <c r="B55" s="5">
        <v>103500</v>
      </c>
      <c r="C55" s="5">
        <v>3</v>
      </c>
      <c r="D55" s="5" t="s">
        <v>110</v>
      </c>
      <c r="E55" s="5" t="s">
        <v>81</v>
      </c>
      <c r="F55" s="5">
        <v>1</v>
      </c>
      <c r="G55" s="5" t="s">
        <v>23</v>
      </c>
      <c r="H55" s="5">
        <v>2035001</v>
      </c>
      <c r="I55" s="5" t="s">
        <v>24</v>
      </c>
      <c r="L55" s="45" t="s">
        <v>117</v>
      </c>
      <c r="M55" s="5" t="s">
        <v>118</v>
      </c>
      <c r="N55" s="44">
        <v>4</v>
      </c>
      <c r="O55" s="44">
        <v>3</v>
      </c>
      <c r="Q55" s="7"/>
    </row>
    <row r="56" customFormat="1" ht="16.5" spans="1:17">
      <c r="A56" s="5" t="str">
        <f t="shared" si="3"/>
        <v>1035011</v>
      </c>
      <c r="B56" s="5">
        <v>103501</v>
      </c>
      <c r="C56" s="5">
        <v>1</v>
      </c>
      <c r="D56" s="5" t="s">
        <v>119</v>
      </c>
      <c r="E56" s="5" t="s">
        <v>111</v>
      </c>
      <c r="F56" s="5">
        <v>1</v>
      </c>
      <c r="G56" s="5" t="s">
        <v>23</v>
      </c>
      <c r="H56" s="5">
        <v>2035011</v>
      </c>
      <c r="I56" s="5" t="s">
        <v>24</v>
      </c>
      <c r="L56" s="45" t="s">
        <v>120</v>
      </c>
      <c r="M56" s="5" t="s">
        <v>113</v>
      </c>
      <c r="N56" s="44">
        <v>4</v>
      </c>
      <c r="O56" s="44">
        <v>3</v>
      </c>
      <c r="Q56" s="7"/>
    </row>
    <row r="57" customFormat="1" ht="16.5" spans="1:17">
      <c r="A57" s="5" t="str">
        <f t="shared" si="3"/>
        <v>1035012</v>
      </c>
      <c r="B57" s="5">
        <v>103501</v>
      </c>
      <c r="C57" s="5">
        <v>2</v>
      </c>
      <c r="D57" s="5" t="s">
        <v>119</v>
      </c>
      <c r="E57" s="5" t="s">
        <v>114</v>
      </c>
      <c r="F57" s="5">
        <v>1</v>
      </c>
      <c r="G57" s="5" t="s">
        <v>23</v>
      </c>
      <c r="H57" s="5">
        <v>2035012</v>
      </c>
      <c r="I57" s="5" t="s">
        <v>24</v>
      </c>
      <c r="L57" s="45" t="s">
        <v>121</v>
      </c>
      <c r="M57" s="5" t="s">
        <v>116</v>
      </c>
      <c r="N57" s="44">
        <v>4</v>
      </c>
      <c r="O57" s="44">
        <v>3</v>
      </c>
      <c r="Q57" s="7"/>
    </row>
    <row r="58" customFormat="1" ht="16.5" spans="1:17">
      <c r="A58" s="5" t="str">
        <f t="shared" si="3"/>
        <v>1035013</v>
      </c>
      <c r="B58" s="5">
        <v>103501</v>
      </c>
      <c r="C58" s="5">
        <v>3</v>
      </c>
      <c r="D58" s="5" t="s">
        <v>119</v>
      </c>
      <c r="E58" s="5" t="s">
        <v>81</v>
      </c>
      <c r="F58" s="5">
        <v>1</v>
      </c>
      <c r="G58" s="5" t="s">
        <v>23</v>
      </c>
      <c r="H58" s="5">
        <v>2035011</v>
      </c>
      <c r="I58" s="5" t="s">
        <v>24</v>
      </c>
      <c r="L58" s="45" t="s">
        <v>122</v>
      </c>
      <c r="M58" s="5" t="s">
        <v>118</v>
      </c>
      <c r="N58" s="44">
        <v>4</v>
      </c>
      <c r="O58" s="44">
        <v>3</v>
      </c>
      <c r="Q58" s="7"/>
    </row>
    <row r="59" customFormat="1" ht="16.5" spans="1:17">
      <c r="A59" s="5" t="str">
        <f t="shared" si="3"/>
        <v>1036001</v>
      </c>
      <c r="B59" s="5">
        <v>103600</v>
      </c>
      <c r="C59" s="5">
        <v>1</v>
      </c>
      <c r="D59" s="5" t="s">
        <v>123</v>
      </c>
      <c r="E59" s="5" t="s">
        <v>111</v>
      </c>
      <c r="F59" s="5">
        <v>1</v>
      </c>
      <c r="G59" s="5" t="s">
        <v>23</v>
      </c>
      <c r="H59" s="5">
        <v>2036001</v>
      </c>
      <c r="I59" s="5" t="s">
        <v>24</v>
      </c>
      <c r="L59" s="45" t="s">
        <v>124</v>
      </c>
      <c r="M59" s="5" t="s">
        <v>125</v>
      </c>
      <c r="N59" s="44">
        <v>3</v>
      </c>
      <c r="O59" s="44">
        <v>3</v>
      </c>
      <c r="Q59" s="7"/>
    </row>
    <row r="60" customFormat="1" ht="16.5" spans="1:17">
      <c r="A60" s="5" t="str">
        <f t="shared" si="3"/>
        <v>1036002</v>
      </c>
      <c r="B60" s="5">
        <v>103600</v>
      </c>
      <c r="C60" s="5">
        <v>2</v>
      </c>
      <c r="D60" s="5" t="s">
        <v>123</v>
      </c>
      <c r="E60" s="5" t="s">
        <v>126</v>
      </c>
      <c r="F60" s="5">
        <v>1</v>
      </c>
      <c r="G60" s="5" t="s">
        <v>23</v>
      </c>
      <c r="H60" s="5">
        <v>2036002</v>
      </c>
      <c r="I60" s="5" t="s">
        <v>24</v>
      </c>
      <c r="L60" s="45">
        <v>10360004</v>
      </c>
      <c r="M60" s="5" t="s">
        <v>116</v>
      </c>
      <c r="N60" s="44">
        <v>3</v>
      </c>
      <c r="O60" s="44">
        <v>3</v>
      </c>
      <c r="Q60" s="7"/>
    </row>
    <row r="61" customFormat="1" ht="16.5" spans="1:17">
      <c r="A61" s="5" t="str">
        <f t="shared" si="3"/>
        <v>1036003</v>
      </c>
      <c r="B61" s="5">
        <v>103600</v>
      </c>
      <c r="C61" s="5">
        <v>3</v>
      </c>
      <c r="D61" s="5" t="s">
        <v>123</v>
      </c>
      <c r="E61" s="5" t="s">
        <v>81</v>
      </c>
      <c r="F61" s="5">
        <v>1</v>
      </c>
      <c r="G61" s="5" t="s">
        <v>23</v>
      </c>
      <c r="H61" s="5">
        <v>2036001</v>
      </c>
      <c r="I61" s="5" t="s">
        <v>24</v>
      </c>
      <c r="L61" s="45">
        <v>10360002</v>
      </c>
      <c r="M61" s="5" t="s">
        <v>127</v>
      </c>
      <c r="N61" s="44">
        <v>3</v>
      </c>
      <c r="O61" s="44">
        <v>3</v>
      </c>
      <c r="Q61" s="7"/>
    </row>
    <row r="62" customFormat="1" ht="16.5" spans="1:17">
      <c r="A62" s="5"/>
      <c r="B62" s="5"/>
      <c r="C62" s="5"/>
      <c r="D62" s="5"/>
      <c r="E62" s="5"/>
      <c r="F62" s="5"/>
      <c r="G62" s="5"/>
      <c r="H62" s="5"/>
      <c r="I62" s="5"/>
      <c r="L62" s="45"/>
      <c r="M62" s="5"/>
      <c r="N62" s="44"/>
      <c r="O62" s="44"/>
      <c r="Q62" s="7"/>
    </row>
    <row r="63" customFormat="1" ht="16.5" spans="1:17">
      <c r="A63" s="5"/>
      <c r="B63" s="5"/>
      <c r="C63" s="5"/>
      <c r="D63" s="5"/>
      <c r="E63" s="5"/>
      <c r="F63" s="5"/>
      <c r="G63" s="5"/>
      <c r="H63" s="5"/>
      <c r="I63" s="5"/>
      <c r="L63" s="45"/>
      <c r="M63" s="5"/>
      <c r="N63" s="44"/>
      <c r="O63" s="44"/>
      <c r="Q63" s="7"/>
    </row>
    <row r="64" customFormat="1" ht="16.5" spans="1:17">
      <c r="A64" s="5"/>
      <c r="B64" s="5"/>
      <c r="C64" s="5"/>
      <c r="D64" s="5"/>
      <c r="E64" s="5"/>
      <c r="F64" s="5"/>
      <c r="G64" s="5"/>
      <c r="H64" s="5"/>
      <c r="I64" s="5"/>
      <c r="L64" s="45"/>
      <c r="M64" s="5"/>
      <c r="N64" s="44"/>
      <c r="O64" s="44"/>
      <c r="Q64" s="7"/>
    </row>
    <row r="65" customFormat="1" ht="16.5" spans="1:17">
      <c r="A65" s="5"/>
      <c r="B65" s="5"/>
      <c r="C65" s="5"/>
      <c r="D65" s="5"/>
      <c r="E65" s="5"/>
      <c r="F65" s="5"/>
      <c r="G65" s="5"/>
      <c r="H65" s="5"/>
      <c r="I65" s="5"/>
      <c r="L65" s="45"/>
      <c r="M65" s="5"/>
      <c r="N65" s="44"/>
      <c r="O65" s="44"/>
      <c r="Q65" s="7"/>
    </row>
    <row r="66" customFormat="1" ht="16.5" spans="1:17">
      <c r="A66" s="5"/>
      <c r="B66" s="5"/>
      <c r="C66" s="5"/>
      <c r="D66" s="5"/>
      <c r="E66" s="5"/>
      <c r="F66" s="5"/>
      <c r="G66" s="5"/>
      <c r="H66" s="5"/>
      <c r="I66" s="5"/>
      <c r="L66" s="45"/>
      <c r="M66" s="5"/>
      <c r="N66" s="44"/>
      <c r="O66" s="44"/>
      <c r="Q66" s="7"/>
    </row>
    <row r="67" customFormat="1" ht="16.5" spans="1:17">
      <c r="A67" s="5"/>
      <c r="B67" s="5"/>
      <c r="C67" s="5"/>
      <c r="D67" s="5"/>
      <c r="E67" s="5"/>
      <c r="F67" s="5"/>
      <c r="G67" s="5"/>
      <c r="H67" s="5"/>
      <c r="I67" s="5"/>
      <c r="L67" s="45"/>
      <c r="M67" s="5"/>
      <c r="N67" s="44"/>
      <c r="O67" s="44"/>
      <c r="Q67" s="7"/>
    </row>
    <row r="68" customFormat="1" ht="16.5" spans="1:17">
      <c r="A68" s="5"/>
      <c r="B68" s="5"/>
      <c r="C68" s="5"/>
      <c r="D68" s="5"/>
      <c r="E68" s="5"/>
      <c r="F68" s="5"/>
      <c r="G68" s="5"/>
      <c r="H68" s="5"/>
      <c r="I68" s="5"/>
      <c r="L68" s="45"/>
      <c r="M68" s="5"/>
      <c r="N68" s="44"/>
      <c r="O68" s="44"/>
      <c r="Q68" s="7"/>
    </row>
    <row r="69" customFormat="1" ht="16.5" spans="1:17">
      <c r="A69" s="5"/>
      <c r="B69" s="5"/>
      <c r="C69" s="5"/>
      <c r="D69" s="5"/>
      <c r="E69" s="5"/>
      <c r="F69" s="5"/>
      <c r="G69" s="5"/>
      <c r="H69" s="5"/>
      <c r="I69" s="5"/>
      <c r="L69" s="45"/>
      <c r="M69" s="5"/>
      <c r="N69" s="44"/>
      <c r="O69" s="44"/>
      <c r="Q69" s="7"/>
    </row>
    <row r="70" customFormat="1" ht="16.5" spans="1:17">
      <c r="A70" s="5"/>
      <c r="B70" s="5"/>
      <c r="C70" s="5"/>
      <c r="D70" s="5"/>
      <c r="E70" s="5"/>
      <c r="F70" s="5"/>
      <c r="G70" s="5"/>
      <c r="H70" s="5"/>
      <c r="I70" s="5"/>
      <c r="L70" s="45"/>
      <c r="M70" s="5"/>
      <c r="N70" s="44"/>
      <c r="O70" s="44"/>
      <c r="Q70" s="7"/>
    </row>
    <row r="71" customFormat="1" ht="16.5" spans="1:17">
      <c r="A71" s="5"/>
      <c r="B71" s="5"/>
      <c r="C71" s="5"/>
      <c r="D71" s="5"/>
      <c r="E71" s="5"/>
      <c r="F71" s="5"/>
      <c r="G71" s="5"/>
      <c r="H71" s="5"/>
      <c r="I71" s="5"/>
      <c r="L71" s="45"/>
      <c r="M71" s="5"/>
      <c r="N71" s="44"/>
      <c r="O71" s="44"/>
      <c r="Q71" s="7"/>
    </row>
    <row r="72" customFormat="1" ht="16.5" spans="1:17">
      <c r="A72" s="5"/>
      <c r="B72" s="5"/>
      <c r="C72" s="5"/>
      <c r="D72" s="5"/>
      <c r="E72" s="5"/>
      <c r="F72" s="5"/>
      <c r="G72" s="5"/>
      <c r="H72" s="5"/>
      <c r="I72" s="5"/>
      <c r="L72" s="45"/>
      <c r="M72" s="5"/>
      <c r="N72" s="44"/>
      <c r="O72" s="44"/>
      <c r="Q72" s="7"/>
    </row>
    <row r="73" customFormat="1" ht="16.5" spans="1:17">
      <c r="A73" s="5"/>
      <c r="B73" s="5"/>
      <c r="C73" s="5"/>
      <c r="D73" s="5"/>
      <c r="E73" s="5"/>
      <c r="F73" s="5"/>
      <c r="G73" s="5"/>
      <c r="H73" s="5"/>
      <c r="I73" s="5"/>
      <c r="L73" s="45"/>
      <c r="M73" s="5"/>
      <c r="N73" s="44"/>
      <c r="O73" s="44"/>
      <c r="Q73" s="7"/>
    </row>
  </sheetData>
  <conditionalFormatting sqref="J2:K2">
    <cfRule type="expression" dxfId="0" priority="1">
      <formula>MOD(MID($A2,1,4),2)=1</formula>
    </cfRule>
  </conditionalFormatting>
  <conditionalFormatting sqref="L2">
    <cfRule type="expression" dxfId="0" priority="2">
      <formula>MOD(MID($A2,1,4),2)=1</formula>
    </cfRule>
  </conditionalFormatting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SpecialMode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雾月无情</cp:lastModifiedBy>
  <dcterms:created xsi:type="dcterms:W3CDTF">2025-08-21T08:17:00Z</dcterms:created>
  <dcterms:modified xsi:type="dcterms:W3CDTF">2026-01-12T02:26:05Z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D3C68F79F1184570B502BBAC3BC75E43_11</vt:lpwstr>
  </property>
  <property fmtid="{D5CDD505-2E9C-101B-9397-08002B2CF9AE}" pid="3" name="KSOProductBuildVer">
    <vt:lpwstr>2052-12.1.0.24657</vt:lpwstr>
  </property>
  <property fmtid="{D5CDD505-2E9C-101B-9397-08002B2CF9AE}" pid="4" name="CalculationRule">
    <vt:i4>0</vt:i4>
  </property>
</Properties>
</file>