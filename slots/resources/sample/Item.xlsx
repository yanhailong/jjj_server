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6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<sst xmlns="http://schemas.openxmlformats.org/spreadsheetml/2006/main" count="654" uniqueCount="246">
  <si>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</si>
  <si>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</si>
  <si>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</si>
  <si>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</si>
  <si>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</si>
  <si>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</si>
  <si>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</si>
  <si>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</si>
  <si>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</si>
  <si>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</si>
  <si>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</si>
  <si>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</si>
  <si>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</si>
  <si>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</si>
  <si>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</si>
  <si>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</si>
  <si>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</si>
  <si>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</si>
  <si>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</si>
  <si>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</si>
  <si>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</si>
  <si>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</si>
  <si>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</si>
  <si>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</si>
  <si>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</si>
  <si>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</si>
  <si>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</si>
  <si>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</si>
  <si>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</si>
  <si>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</si>
  <si>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</si>
  <si>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</si>
  <si>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</si>
  <si>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</si>
  <si>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</si>
  <si>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</si>
  <si>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</si>
  <si>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</si>
  <si>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</si>
  <si>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</si>
  <si>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</si>
  <si>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</si>
  <si>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</si>
  <si>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</si>
  <si>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</si>
  <si>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</si>
  <si>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</si>
  <si>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</si>
  <si>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</si>
  <si>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</si>
  <si>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</si>
  <si>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</si>
  <si>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</si>
  <si>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</si>
  <si>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</si>
  <si>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</si>
  <si>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</si>
  <si>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</si>
  <si>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</si>
  <si>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</si>
  <si>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</si>
  <si>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</si>
  <si>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</si>
  <si>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</si>
  <si>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</si>
  <si>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</si>
  <si>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</si>
  <si>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</si>
  <si>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</si>
  <si>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</si>
  <si>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</si>
  <si>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</si>
  <si>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</si>
  <si>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</si>
  <si>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</si>
  <si>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</si>
  <si>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</si>
  <si>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</si>
  <si>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</si>
  <si>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</si>
  <si>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</si>
  <si>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</si>
  <si>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</si>
  <si>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</si>
  <si>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</si>
  <si>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</si>
  <si>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</si>
  <si>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</si>
  <si>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</si>
  <si>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</si>
  <si>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</si>
  <si>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</si>
  <si>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</si>
  <si>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</si>
  <si>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</si>
  <si>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</si>
  <si>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</si>
  <si>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</si>
  <si>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</si>
  <si>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</si>
  <si>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</si>
  <si>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</si>
  <si>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</si>
  <si>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</si>
  <si>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</si>
  <si>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</si>
  <si>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</si>
  <si>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</si>
  <si>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</si>
  <si>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</si>
  <si>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</si>
  <si>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</si>
  <si>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</si>
  <si>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</si>
  <si>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</si>
  <si>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</si>
  <si>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</si>
  <si>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</si>
  <si>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</si>
  <si>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</si>
  <si>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</si>
  <si>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</si>
  <si>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</si>
  <si>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</si>
  <si>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</si>
  <si>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</si>
  <si>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</si>
  <si>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</si>
  <si>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</si>
  <si>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</si>
  <si>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</si>
  <si>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</si>
  <si>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</si>
  <si>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</si>
  <si>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</si>
  <si>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</si>
  <si>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</si>
  <si>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</si>
  <si>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</si>
  <si>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</si>
  <si>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</si>
  <si>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</si>
  <si>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</si>
  <si>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</si>
  <si>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</si>
  <si>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</si>
  <si>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</si>
  <si>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</si>
  <si>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</si>
  <si>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</si>
  <si>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</si>
  <si>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</si>
  <si>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</si>
  <si>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</si>
  <si>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</si>
  <si>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</si>
  <si>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</si>
  <si>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</si>
  <si>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</si>
  <si>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</si>
  <si>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</si>
  <si>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</si>
  <si>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</si>
  <si>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</si>
  <si>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</si>
  <si>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</si>
  <si>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</si>
  <si>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</si>
  <si>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</si>
  <si>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</si>
  <si>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</si>
  <si>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</si>
  <si>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</si>
  <si>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</si>
  <si>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</si>
  <si>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</si>
  <si>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</si>
  <si>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</si>
  <si>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</si>
  <si>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</si>
  <si>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</si>
  <si>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</si>
  <si>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</si>
  <si>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itemicon_1022501.png</t>
  </si>
  <si>
    <t>在指定的游戏中产出</t>
  </si>
  <si>
    <t>夺宝优惠券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</si>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</sst>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0"/>
  <sheetViews>
    <sheetView tabSelected="1" zoomScale="85" zoomScaleNormal="85" workbookViewId="0">
      <pane ySplit="4" topLeftCell="A133" activePane="bottomLeft" state="frozen"/>
      <selection/>
      <selection pane="bottomLeft" activeCell="P144" sqref="P144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13</v>
      </c>
      <c r="I2" s="4" t="s">
        <v>14</v>
      </c>
      <c r="J2" s="4" t="s">
        <v>13</v>
      </c>
      <c r="K2" s="4"/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s="4" t="s">
        <v>21</v>
      </c>
      <c r="J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>
        <v>0</v>
      </c>
      <c r="I5" t="str">
        <f>"itemicon_"&amp;A5&amp;".png"</f>
        <v>itemicon_1010101.png</v>
      </c>
      <c r="J5">
        <f t="shared" ref="J5:J14" si="1">2000000+E5*10000+B5</f>
        <v>2010101</v>
      </c>
      <c r="K5" t="s">
        <v>30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33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>
        <v>0</v>
      </c>
      <c r="I7" s="1" t="s">
        <v>36</v>
      </c>
      <c r="J7" s="1">
        <f t="shared" si="1"/>
        <v>2010301</v>
      </c>
      <c r="K7" s="1" t="s">
        <v>37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>
        <v>0</v>
      </c>
      <c r="I8" s="1" t="s">
        <v>36</v>
      </c>
      <c r="J8" s="1">
        <f t="shared" si="1"/>
        <v>2010302</v>
      </c>
      <c r="K8" s="1" t="s">
        <v>37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>
        <v>0</v>
      </c>
      <c r="I9" s="1" t="s">
        <v>36</v>
      </c>
      <c r="J9" s="1">
        <f t="shared" si="1"/>
        <v>2010303</v>
      </c>
      <c r="K9" s="1" t="s">
        <v>37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>
        <v>0</v>
      </c>
      <c r="I10" s="1" t="s">
        <v>36</v>
      </c>
      <c r="J10" s="1">
        <f t="shared" si="1"/>
        <v>2010311</v>
      </c>
      <c r="K10" s="1" t="s">
        <v>41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>
        <v>0</v>
      </c>
      <c r="I11" s="1" t="s">
        <v>36</v>
      </c>
      <c r="J11" s="1">
        <f t="shared" si="1"/>
        <v>2010312</v>
      </c>
      <c r="K11" s="1" t="s">
        <v>41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>
        <v>0</v>
      </c>
      <c r="I12" s="1" t="s">
        <v>36</v>
      </c>
      <c r="J12" s="1">
        <f t="shared" si="1"/>
        <v>2010313</v>
      </c>
      <c r="K12" s="1" t="s">
        <v>41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>
        <v>0</v>
      </c>
      <c r="I13" s="1" t="s">
        <v>36</v>
      </c>
      <c r="J13" s="1">
        <f t="shared" si="1"/>
        <v>2010314</v>
      </c>
      <c r="K13" s="1" t="s">
        <v>41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>
        <v>0</v>
      </c>
      <c r="I14" s="1" t="s">
        <v>36</v>
      </c>
      <c r="J14" s="1">
        <f t="shared" si="1"/>
        <v>2010315</v>
      </c>
      <c r="K14" s="1" t="s">
        <v>41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>
        <v>0</v>
      </c>
      <c r="I15" t="str">
        <f t="shared" ref="I15:I28" si="4">"itemicon_"&amp;A15&amp;".png"</f>
        <v>itemicon_1020001.png</v>
      </c>
      <c r="J15">
        <f t="shared" ref="J15:J29" si="5">2000000+E15*10000+B15</f>
        <v>2020001</v>
      </c>
      <c r="K15" t="s">
        <v>48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>
        <v>1</v>
      </c>
      <c r="I16" s="2" t="str">
        <f t="shared" si="4"/>
        <v>itemicon_1020002.png</v>
      </c>
      <c r="J16" s="2">
        <f t="shared" si="5"/>
        <v>2020002</v>
      </c>
      <c r="K16" s="2" t="s">
        <v>50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>
        <v>1</v>
      </c>
      <c r="I17" s="2" t="str">
        <f t="shared" si="4"/>
        <v>itemicon_1020003.png</v>
      </c>
      <c r="J17" s="2">
        <f t="shared" si="5"/>
        <v>2020003</v>
      </c>
      <c r="K17" s="2" t="s">
        <v>50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>
        <v>1</v>
      </c>
      <c r="I18" s="2" t="str">
        <f t="shared" si="4"/>
        <v>itemicon_1020004.png</v>
      </c>
      <c r="J18" s="2">
        <f t="shared" si="5"/>
        <v>2020004</v>
      </c>
      <c r="K18" s="2" t="s">
        <v>50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>
        <v>1</v>
      </c>
      <c r="I19" s="2" t="str">
        <f t="shared" si="4"/>
        <v>itemicon_1020005.png</v>
      </c>
      <c r="J19" s="2">
        <f t="shared" si="5"/>
        <v>2020005</v>
      </c>
      <c r="K19" s="2" t="s">
        <v>50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>
        <v>1</v>
      </c>
      <c r="I20" s="2" t="str">
        <f t="shared" si="4"/>
        <v>itemicon_1020006.png</v>
      </c>
      <c r="J20" s="2">
        <f t="shared" si="5"/>
        <v>2020006</v>
      </c>
      <c r="K20" s="2" t="s">
        <v>50</v>
      </c>
      <c r="N20" s="2">
        <v>999</v>
      </c>
    </row>
    <row r="21" ht="23" customHeight="1" spans="1:14">
      <c r="A21">
        <f t="shared" si="3"/>
        <v>1030011</v>
      </c>
      <c r="B21" s="7">
        <v>11</v>
      </c>
      <c r="C21">
        <f t="shared" ref="C21:C29" si="6">1000000+E21*100000+B21</f>
        <v>1300011</v>
      </c>
      <c r="D21" t="s">
        <v>55</v>
      </c>
      <c r="E21">
        <v>3</v>
      </c>
      <c r="F21" t="s">
        <v>47</v>
      </c>
      <c r="G21">
        <v>1</v>
      </c>
      <c r="H21">
        <v>1</v>
      </c>
      <c r="I21" t="str">
        <f t="shared" si="4"/>
        <v>itemicon_1030011.png</v>
      </c>
      <c r="J21">
        <f t="shared" si="5"/>
        <v>2030011</v>
      </c>
      <c r="K21" t="s">
        <v>56</v>
      </c>
      <c r="M21">
        <v>10001</v>
      </c>
      <c r="N21">
        <v>1</v>
      </c>
    </row>
    <row r="22" ht="23" customHeight="1" spans="1:14">
      <c r="A22">
        <f t="shared" si="3"/>
        <v>1030012</v>
      </c>
      <c r="B22" s="7">
        <v>12</v>
      </c>
      <c r="C22">
        <f t="shared" si="6"/>
        <v>1300012</v>
      </c>
      <c r="D22" t="s">
        <v>57</v>
      </c>
      <c r="E22">
        <v>3</v>
      </c>
      <c r="F22" t="s">
        <v>47</v>
      </c>
      <c r="G22">
        <v>1</v>
      </c>
      <c r="H22">
        <v>1</v>
      </c>
      <c r="I22" t="str">
        <f t="shared" si="4"/>
        <v>itemicon_1030012.png</v>
      </c>
      <c r="J22">
        <f t="shared" si="5"/>
        <v>2030012</v>
      </c>
      <c r="K22" t="s">
        <v>56</v>
      </c>
      <c r="M22">
        <v>10002</v>
      </c>
      <c r="N22">
        <v>1</v>
      </c>
    </row>
    <row r="23" ht="23" customHeight="1" spans="1:14">
      <c r="A23">
        <f t="shared" si="3"/>
        <v>1030013</v>
      </c>
      <c r="B23" s="7">
        <v>13</v>
      </c>
      <c r="C23">
        <f t="shared" si="6"/>
        <v>1300013</v>
      </c>
      <c r="D23" t="s">
        <v>58</v>
      </c>
      <c r="E23">
        <v>3</v>
      </c>
      <c r="F23" t="s">
        <v>47</v>
      </c>
      <c r="G23">
        <v>1</v>
      </c>
      <c r="H23">
        <v>1</v>
      </c>
      <c r="I23" t="str">
        <f t="shared" si="4"/>
        <v>itemicon_1030013.png</v>
      </c>
      <c r="J23">
        <f t="shared" si="5"/>
        <v>2030013</v>
      </c>
      <c r="K23" t="s">
        <v>56</v>
      </c>
      <c r="M23">
        <v>10003</v>
      </c>
      <c r="N23">
        <v>1</v>
      </c>
    </row>
    <row r="24" ht="23" customHeight="1" spans="1:14">
      <c r="A24">
        <f t="shared" si="3"/>
        <v>1030014</v>
      </c>
      <c r="B24" s="7">
        <v>14</v>
      </c>
      <c r="C24">
        <f t="shared" si="6"/>
        <v>1300014</v>
      </c>
      <c r="D24" t="s">
        <v>59</v>
      </c>
      <c r="E24">
        <v>3</v>
      </c>
      <c r="F24" t="s">
        <v>47</v>
      </c>
      <c r="G24">
        <v>1</v>
      </c>
      <c r="H24">
        <v>1</v>
      </c>
      <c r="I24" t="str">
        <f t="shared" si="4"/>
        <v>itemicon_1030014.png</v>
      </c>
      <c r="J24">
        <f t="shared" si="5"/>
        <v>2030014</v>
      </c>
      <c r="K24" t="s">
        <v>56</v>
      </c>
      <c r="M24">
        <v>10004</v>
      </c>
      <c r="N24">
        <v>1</v>
      </c>
    </row>
    <row r="25" ht="23" customHeight="1" spans="1:14">
      <c r="A25">
        <f t="shared" si="3"/>
        <v>1030015</v>
      </c>
      <c r="B25" s="7">
        <v>15</v>
      </c>
      <c r="C25">
        <f t="shared" si="6"/>
        <v>1300015</v>
      </c>
      <c r="D25" t="s">
        <v>60</v>
      </c>
      <c r="E25">
        <v>3</v>
      </c>
      <c r="F25" t="s">
        <v>47</v>
      </c>
      <c r="G25">
        <v>1</v>
      </c>
      <c r="H25">
        <v>1</v>
      </c>
      <c r="I25" t="str">
        <f t="shared" si="4"/>
        <v>itemicon_1030015.png</v>
      </c>
      <c r="J25">
        <f t="shared" si="5"/>
        <v>2030015</v>
      </c>
      <c r="K25" t="s">
        <v>56</v>
      </c>
      <c r="M25">
        <v>10005</v>
      </c>
      <c r="N25">
        <v>1</v>
      </c>
    </row>
    <row r="26" ht="23" customHeight="1" spans="1:14">
      <c r="A26">
        <f t="shared" si="3"/>
        <v>1030016</v>
      </c>
      <c r="B26" s="7">
        <v>16</v>
      </c>
      <c r="C26">
        <f t="shared" si="6"/>
        <v>1300016</v>
      </c>
      <c r="D26" t="s">
        <v>61</v>
      </c>
      <c r="E26">
        <v>3</v>
      </c>
      <c r="F26" t="s">
        <v>47</v>
      </c>
      <c r="G26">
        <v>1</v>
      </c>
      <c r="H26">
        <v>1</v>
      </c>
      <c r="I26" t="str">
        <f t="shared" si="4"/>
        <v>itemicon_1030016.png</v>
      </c>
      <c r="J26">
        <f t="shared" si="5"/>
        <v>2030016</v>
      </c>
      <c r="K26" t="s">
        <v>56</v>
      </c>
      <c r="M26">
        <v>10006</v>
      </c>
      <c r="N26">
        <v>1</v>
      </c>
    </row>
    <row r="27" ht="23" customHeight="1" spans="1:14">
      <c r="A27">
        <f t="shared" si="3"/>
        <v>1030017</v>
      </c>
      <c r="B27" s="7">
        <v>17</v>
      </c>
      <c r="C27">
        <f t="shared" si="6"/>
        <v>1300017</v>
      </c>
      <c r="D27" t="s">
        <v>62</v>
      </c>
      <c r="E27">
        <v>3</v>
      </c>
      <c r="F27" t="s">
        <v>47</v>
      </c>
      <c r="G27">
        <v>1</v>
      </c>
      <c r="H27">
        <v>1</v>
      </c>
      <c r="I27" t="str">
        <f t="shared" si="4"/>
        <v>itemicon_1030017.png</v>
      </c>
      <c r="J27">
        <f t="shared" si="5"/>
        <v>2030017</v>
      </c>
      <c r="K27" t="s">
        <v>56</v>
      </c>
      <c r="M27">
        <v>10007</v>
      </c>
      <c r="N27">
        <v>1</v>
      </c>
    </row>
    <row r="28" ht="23" customHeight="1" spans="1:14">
      <c r="A28">
        <f t="shared" si="3"/>
        <v>1030018</v>
      </c>
      <c r="B28" s="7">
        <v>18</v>
      </c>
      <c r="C28">
        <f t="shared" si="6"/>
        <v>1300018</v>
      </c>
      <c r="D28" t="s">
        <v>63</v>
      </c>
      <c r="E28">
        <v>3</v>
      </c>
      <c r="F28" t="s">
        <v>47</v>
      </c>
      <c r="G28">
        <v>1</v>
      </c>
      <c r="H28">
        <v>1</v>
      </c>
      <c r="I28" t="str">
        <f t="shared" si="4"/>
        <v>itemicon_1030018.png</v>
      </c>
      <c r="J28">
        <f t="shared" si="5"/>
        <v>2030018</v>
      </c>
      <c r="K28" t="s">
        <v>56</v>
      </c>
      <c r="M28">
        <v>10008</v>
      </c>
      <c r="N28">
        <v>1</v>
      </c>
    </row>
    <row r="29" customFormat="1" ht="23" customHeight="1" spans="1:14">
      <c r="A29">
        <f t="shared" si="3"/>
        <v>1030101</v>
      </c>
      <c r="B29" s="7">
        <v>101</v>
      </c>
      <c r="C29">
        <f t="shared" si="6"/>
        <v>1300101</v>
      </c>
      <c r="D29" t="s">
        <v>64</v>
      </c>
      <c r="E29">
        <v>3</v>
      </c>
      <c r="F29" t="s">
        <v>47</v>
      </c>
      <c r="G29">
        <v>1</v>
      </c>
      <c r="H29">
        <v>1</v>
      </c>
      <c r="I29" t="s">
        <v>65</v>
      </c>
      <c r="J29">
        <f t="shared" si="5"/>
        <v>2030101</v>
      </c>
      <c r="K29" t="s">
        <v>66</v>
      </c>
      <c r="N29">
        <v>1</v>
      </c>
    </row>
    <row r="30" customFormat="1" ht="23" customHeight="1" spans="1:14">
      <c r="A30">
        <f t="shared" ref="A30:A40" si="7">1000000+E30*10000+B30</f>
        <v>1030102</v>
      </c>
      <c r="B30" s="7">
        <v>102</v>
      </c>
      <c r="C30">
        <f t="shared" ref="C30:C40" si="8">1000000+E30*100000+B30</f>
        <v>1300102</v>
      </c>
      <c r="D30" t="s">
        <v>67</v>
      </c>
      <c r="E30">
        <v>3</v>
      </c>
      <c r="F30" t="s">
        <v>47</v>
      </c>
      <c r="G30">
        <v>1</v>
      </c>
      <c r="H30">
        <v>1</v>
      </c>
      <c r="I30" t="s">
        <v>65</v>
      </c>
      <c r="J30">
        <f t="shared" ref="J30:J61" si="9">2000000+E30*10000+B30</f>
        <v>2030102</v>
      </c>
      <c r="K30" t="s">
        <v>66</v>
      </c>
      <c r="N30">
        <v>1</v>
      </c>
    </row>
    <row r="31" customFormat="1" ht="23" customHeight="1" spans="1:14">
      <c r="A31">
        <f t="shared" si="7"/>
        <v>1030103</v>
      </c>
      <c r="B31" s="7">
        <v>103</v>
      </c>
      <c r="C31">
        <f t="shared" si="8"/>
        <v>1300103</v>
      </c>
      <c r="D31" t="s">
        <v>68</v>
      </c>
      <c r="E31">
        <v>3</v>
      </c>
      <c r="F31" t="s">
        <v>47</v>
      </c>
      <c r="G31">
        <v>2</v>
      </c>
      <c r="H31">
        <v>1</v>
      </c>
      <c r="I31" t="s">
        <v>65</v>
      </c>
      <c r="J31">
        <f t="shared" si="9"/>
        <v>2030103</v>
      </c>
      <c r="K31" t="s">
        <v>66</v>
      </c>
      <c r="N31">
        <v>1</v>
      </c>
    </row>
    <row r="32" customFormat="1" ht="23" customHeight="1" spans="1:14">
      <c r="A32">
        <f t="shared" si="7"/>
        <v>1030104</v>
      </c>
      <c r="B32" s="7">
        <v>104</v>
      </c>
      <c r="C32">
        <f t="shared" si="8"/>
        <v>1300104</v>
      </c>
      <c r="D32" t="s">
        <v>69</v>
      </c>
      <c r="E32">
        <v>3</v>
      </c>
      <c r="F32" t="s">
        <v>47</v>
      </c>
      <c r="G32">
        <v>2</v>
      </c>
      <c r="H32">
        <v>1</v>
      </c>
      <c r="I32" t="s">
        <v>65</v>
      </c>
      <c r="J32">
        <f t="shared" si="9"/>
        <v>2030104</v>
      </c>
      <c r="K32" t="s">
        <v>66</v>
      </c>
      <c r="N32">
        <v>1</v>
      </c>
    </row>
    <row r="33" customFormat="1" ht="23" customHeight="1" spans="1:14">
      <c r="A33">
        <f t="shared" si="7"/>
        <v>1030105</v>
      </c>
      <c r="B33" s="7">
        <v>105</v>
      </c>
      <c r="C33">
        <f t="shared" si="8"/>
        <v>1300105</v>
      </c>
      <c r="D33" t="s">
        <v>70</v>
      </c>
      <c r="E33">
        <v>3</v>
      </c>
      <c r="F33" t="s">
        <v>47</v>
      </c>
      <c r="G33">
        <v>3</v>
      </c>
      <c r="H33">
        <v>1</v>
      </c>
      <c r="I33" t="s">
        <v>65</v>
      </c>
      <c r="J33">
        <f t="shared" si="9"/>
        <v>2030105</v>
      </c>
      <c r="K33" t="s">
        <v>66</v>
      </c>
      <c r="N33">
        <v>1</v>
      </c>
    </row>
    <row r="34" customFormat="1" ht="23" customHeight="1" spans="1:14">
      <c r="A34">
        <f t="shared" si="7"/>
        <v>1030106</v>
      </c>
      <c r="B34" s="7">
        <v>106</v>
      </c>
      <c r="C34">
        <f t="shared" si="8"/>
        <v>1300106</v>
      </c>
      <c r="D34" t="s">
        <v>71</v>
      </c>
      <c r="E34">
        <v>3</v>
      </c>
      <c r="F34" t="s">
        <v>47</v>
      </c>
      <c r="G34">
        <v>3</v>
      </c>
      <c r="H34">
        <v>1</v>
      </c>
      <c r="I34" t="s">
        <v>65</v>
      </c>
      <c r="J34">
        <f t="shared" si="9"/>
        <v>2030106</v>
      </c>
      <c r="K34" t="s">
        <v>66</v>
      </c>
      <c r="N34">
        <v>1</v>
      </c>
    </row>
    <row r="35" customFormat="1" ht="23" customHeight="1" spans="1:14">
      <c r="A35">
        <f t="shared" si="7"/>
        <v>1030107</v>
      </c>
      <c r="B35" s="7">
        <v>107</v>
      </c>
      <c r="C35">
        <f t="shared" si="8"/>
        <v>1300107</v>
      </c>
      <c r="D35" t="s">
        <v>72</v>
      </c>
      <c r="E35">
        <v>3</v>
      </c>
      <c r="F35" t="s">
        <v>47</v>
      </c>
      <c r="G35">
        <v>4</v>
      </c>
      <c r="H35">
        <v>1</v>
      </c>
      <c r="I35" t="s">
        <v>65</v>
      </c>
      <c r="J35">
        <f t="shared" si="9"/>
        <v>2030107</v>
      </c>
      <c r="K35" t="s">
        <v>66</v>
      </c>
      <c r="N35">
        <v>1</v>
      </c>
    </row>
    <row r="36" customFormat="1" ht="23" customHeight="1" spans="1:14">
      <c r="A36">
        <f t="shared" si="7"/>
        <v>1030108</v>
      </c>
      <c r="B36" s="7">
        <v>108</v>
      </c>
      <c r="C36">
        <f t="shared" si="8"/>
        <v>1300108</v>
      </c>
      <c r="D36" t="s">
        <v>73</v>
      </c>
      <c r="E36">
        <v>3</v>
      </c>
      <c r="F36" t="s">
        <v>47</v>
      </c>
      <c r="G36">
        <v>4</v>
      </c>
      <c r="H36">
        <v>1</v>
      </c>
      <c r="I36" t="s">
        <v>65</v>
      </c>
      <c r="J36">
        <f t="shared" si="9"/>
        <v>2030108</v>
      </c>
      <c r="K36" t="s">
        <v>66</v>
      </c>
      <c r="N36">
        <v>1</v>
      </c>
    </row>
    <row r="37" customFormat="1" ht="23" customHeight="1" spans="1:14">
      <c r="A37">
        <f t="shared" si="7"/>
        <v>1030109</v>
      </c>
      <c r="B37" s="7">
        <v>109</v>
      </c>
      <c r="C37">
        <f t="shared" si="8"/>
        <v>1300109</v>
      </c>
      <c r="D37" t="s">
        <v>74</v>
      </c>
      <c r="E37">
        <v>3</v>
      </c>
      <c r="F37" t="s">
        <v>47</v>
      </c>
      <c r="G37">
        <v>5</v>
      </c>
      <c r="H37">
        <v>1</v>
      </c>
      <c r="I37" t="s">
        <v>65</v>
      </c>
      <c r="J37">
        <f t="shared" si="9"/>
        <v>2030109</v>
      </c>
      <c r="K37" t="s">
        <v>66</v>
      </c>
      <c r="N37">
        <v>1</v>
      </c>
    </row>
    <row r="38" customFormat="1" ht="23" customHeight="1" spans="1:14">
      <c r="A38">
        <f t="shared" si="7"/>
        <v>1030110</v>
      </c>
      <c r="B38" s="7">
        <v>110</v>
      </c>
      <c r="C38">
        <f t="shared" si="8"/>
        <v>1300110</v>
      </c>
      <c r="D38" t="s">
        <v>75</v>
      </c>
      <c r="E38">
        <v>3</v>
      </c>
      <c r="F38" t="s">
        <v>47</v>
      </c>
      <c r="G38">
        <v>5</v>
      </c>
      <c r="H38">
        <v>1</v>
      </c>
      <c r="I38" t="s">
        <v>65</v>
      </c>
      <c r="J38">
        <f t="shared" si="9"/>
        <v>2030110</v>
      </c>
      <c r="K38" t="s">
        <v>66</v>
      </c>
      <c r="N38">
        <v>1</v>
      </c>
    </row>
    <row r="39" customFormat="1" ht="23" customHeight="1" spans="1:14">
      <c r="A39">
        <f t="shared" si="7"/>
        <v>1030111</v>
      </c>
      <c r="B39" s="7">
        <v>111</v>
      </c>
      <c r="C39">
        <f t="shared" si="8"/>
        <v>1300111</v>
      </c>
      <c r="D39" t="s">
        <v>76</v>
      </c>
      <c r="E39">
        <v>3</v>
      </c>
      <c r="F39" t="s">
        <v>47</v>
      </c>
      <c r="G39">
        <v>6</v>
      </c>
      <c r="H39">
        <v>1</v>
      </c>
      <c r="I39" t="s">
        <v>65</v>
      </c>
      <c r="J39">
        <f t="shared" si="9"/>
        <v>2030111</v>
      </c>
      <c r="K39" t="s">
        <v>66</v>
      </c>
      <c r="N39">
        <v>1</v>
      </c>
    </row>
    <row r="40" customFormat="1" ht="23" customHeight="1" spans="1:14">
      <c r="A40">
        <f t="shared" si="7"/>
        <v>1030112</v>
      </c>
      <c r="B40" s="7">
        <v>112</v>
      </c>
      <c r="C40">
        <f t="shared" si="8"/>
        <v>1300112</v>
      </c>
      <c r="D40" t="s">
        <v>77</v>
      </c>
      <c r="E40">
        <v>3</v>
      </c>
      <c r="F40" t="s">
        <v>47</v>
      </c>
      <c r="G40">
        <v>6</v>
      </c>
      <c r="H40">
        <v>1</v>
      </c>
      <c r="I40" t="s">
        <v>65</v>
      </c>
      <c r="J40">
        <f t="shared" si="9"/>
        <v>2030112</v>
      </c>
      <c r="K40" t="s">
        <v>66</v>
      </c>
      <c r="N40">
        <v>1</v>
      </c>
    </row>
    <row r="41" customFormat="1" ht="23" customHeight="1" spans="1:14">
      <c r="A41">
        <f t="shared" ref="A41:A66" si="10">1000000+E41*10000+B41</f>
        <v>1030121</v>
      </c>
      <c r="B41" s="7">
        <v>121</v>
      </c>
      <c r="C41">
        <f t="shared" ref="C41:C66" si="11">1000000+E41*100000+B41</f>
        <v>1300121</v>
      </c>
      <c r="D41" t="s">
        <v>78</v>
      </c>
      <c r="E41">
        <v>3</v>
      </c>
      <c r="F41" t="s">
        <v>47</v>
      </c>
      <c r="G41">
        <v>1</v>
      </c>
      <c r="H41">
        <v>1</v>
      </c>
      <c r="I41" t="s">
        <v>65</v>
      </c>
      <c r="J41">
        <f t="shared" si="9"/>
        <v>2030121</v>
      </c>
      <c r="K41" t="s">
        <v>66</v>
      </c>
      <c r="N41">
        <v>1</v>
      </c>
    </row>
    <row r="42" customFormat="1" ht="23" customHeight="1" spans="1:14">
      <c r="A42">
        <f t="shared" si="10"/>
        <v>1030122</v>
      </c>
      <c r="B42" s="7">
        <v>122</v>
      </c>
      <c r="C42">
        <f t="shared" si="11"/>
        <v>1300122</v>
      </c>
      <c r="D42" t="s">
        <v>79</v>
      </c>
      <c r="E42">
        <v>3</v>
      </c>
      <c r="F42" t="s">
        <v>47</v>
      </c>
      <c r="G42">
        <v>1</v>
      </c>
      <c r="H42">
        <v>1</v>
      </c>
      <c r="I42" t="s">
        <v>65</v>
      </c>
      <c r="J42">
        <f t="shared" si="9"/>
        <v>2030122</v>
      </c>
      <c r="K42" t="s">
        <v>66</v>
      </c>
      <c r="N42">
        <v>1</v>
      </c>
    </row>
    <row r="43" customFormat="1" ht="23" customHeight="1" spans="1:14">
      <c r="A43">
        <f t="shared" si="10"/>
        <v>1030123</v>
      </c>
      <c r="B43" s="7">
        <v>123</v>
      </c>
      <c r="C43">
        <f t="shared" si="11"/>
        <v>1300123</v>
      </c>
      <c r="D43" t="s">
        <v>80</v>
      </c>
      <c r="E43">
        <v>3</v>
      </c>
      <c r="F43" t="s">
        <v>47</v>
      </c>
      <c r="G43">
        <v>2</v>
      </c>
      <c r="H43">
        <v>1</v>
      </c>
      <c r="I43" t="s">
        <v>65</v>
      </c>
      <c r="J43">
        <f t="shared" si="9"/>
        <v>2030123</v>
      </c>
      <c r="K43" t="s">
        <v>66</v>
      </c>
      <c r="N43">
        <v>1</v>
      </c>
    </row>
    <row r="44" customFormat="1" ht="23" customHeight="1" spans="1:14">
      <c r="A44">
        <f t="shared" si="10"/>
        <v>1030124</v>
      </c>
      <c r="B44" s="7">
        <v>124</v>
      </c>
      <c r="C44">
        <f t="shared" si="11"/>
        <v>1300124</v>
      </c>
      <c r="D44" t="s">
        <v>81</v>
      </c>
      <c r="E44">
        <v>3</v>
      </c>
      <c r="F44" t="s">
        <v>47</v>
      </c>
      <c r="G44">
        <v>2</v>
      </c>
      <c r="H44">
        <v>1</v>
      </c>
      <c r="I44" t="s">
        <v>65</v>
      </c>
      <c r="J44">
        <f t="shared" si="9"/>
        <v>2030124</v>
      </c>
      <c r="K44" t="s">
        <v>66</v>
      </c>
      <c r="N44">
        <v>1</v>
      </c>
    </row>
    <row r="45" customFormat="1" ht="23" customHeight="1" spans="1:14">
      <c r="A45">
        <f t="shared" si="10"/>
        <v>1030125</v>
      </c>
      <c r="B45" s="7">
        <v>125</v>
      </c>
      <c r="C45">
        <f t="shared" si="11"/>
        <v>1300125</v>
      </c>
      <c r="D45" t="s">
        <v>82</v>
      </c>
      <c r="E45">
        <v>3</v>
      </c>
      <c r="F45" t="s">
        <v>47</v>
      </c>
      <c r="G45">
        <v>3</v>
      </c>
      <c r="H45">
        <v>1</v>
      </c>
      <c r="I45" t="s">
        <v>65</v>
      </c>
      <c r="J45">
        <f t="shared" si="9"/>
        <v>2030125</v>
      </c>
      <c r="K45" t="s">
        <v>66</v>
      </c>
      <c r="N45">
        <v>1</v>
      </c>
    </row>
    <row r="46" customFormat="1" ht="23" customHeight="1" spans="1:14">
      <c r="A46">
        <f t="shared" si="10"/>
        <v>1030126</v>
      </c>
      <c r="B46" s="7">
        <v>126</v>
      </c>
      <c r="C46">
        <f t="shared" si="11"/>
        <v>1300126</v>
      </c>
      <c r="D46" t="s">
        <v>83</v>
      </c>
      <c r="E46">
        <v>3</v>
      </c>
      <c r="F46" t="s">
        <v>47</v>
      </c>
      <c r="G46">
        <v>3</v>
      </c>
      <c r="H46">
        <v>1</v>
      </c>
      <c r="I46" t="s">
        <v>65</v>
      </c>
      <c r="J46">
        <f t="shared" si="9"/>
        <v>2030126</v>
      </c>
      <c r="K46" t="s">
        <v>66</v>
      </c>
      <c r="N46">
        <v>1</v>
      </c>
    </row>
    <row r="47" customFormat="1" ht="23" customHeight="1" spans="1:14">
      <c r="A47">
        <f t="shared" si="10"/>
        <v>1030127</v>
      </c>
      <c r="B47" s="7">
        <v>127</v>
      </c>
      <c r="C47">
        <f t="shared" si="11"/>
        <v>1300127</v>
      </c>
      <c r="D47" t="s">
        <v>84</v>
      </c>
      <c r="E47">
        <v>3</v>
      </c>
      <c r="F47" t="s">
        <v>47</v>
      </c>
      <c r="G47">
        <v>4</v>
      </c>
      <c r="H47">
        <v>1</v>
      </c>
      <c r="I47" t="s">
        <v>65</v>
      </c>
      <c r="J47">
        <f t="shared" si="9"/>
        <v>2030127</v>
      </c>
      <c r="K47" t="s">
        <v>66</v>
      </c>
      <c r="N47">
        <v>1</v>
      </c>
    </row>
    <row r="48" customFormat="1" ht="23" customHeight="1" spans="1:14">
      <c r="A48">
        <f t="shared" si="10"/>
        <v>1030128</v>
      </c>
      <c r="B48" s="7">
        <v>128</v>
      </c>
      <c r="C48">
        <f t="shared" si="11"/>
        <v>1300128</v>
      </c>
      <c r="D48" t="s">
        <v>85</v>
      </c>
      <c r="E48">
        <v>3</v>
      </c>
      <c r="F48" t="s">
        <v>47</v>
      </c>
      <c r="G48">
        <v>4</v>
      </c>
      <c r="H48">
        <v>1</v>
      </c>
      <c r="I48" t="s">
        <v>65</v>
      </c>
      <c r="J48">
        <f t="shared" si="9"/>
        <v>2030128</v>
      </c>
      <c r="K48" t="s">
        <v>66</v>
      </c>
      <c r="N48">
        <v>1</v>
      </c>
    </row>
    <row r="49" customFormat="1" ht="23" customHeight="1" spans="1:14">
      <c r="A49">
        <f t="shared" si="10"/>
        <v>1030129</v>
      </c>
      <c r="B49" s="7">
        <v>129</v>
      </c>
      <c r="C49">
        <f t="shared" si="11"/>
        <v>1300129</v>
      </c>
      <c r="D49" t="s">
        <v>86</v>
      </c>
      <c r="E49">
        <v>3</v>
      </c>
      <c r="F49" t="s">
        <v>47</v>
      </c>
      <c r="G49">
        <v>5</v>
      </c>
      <c r="H49">
        <v>1</v>
      </c>
      <c r="I49" t="s">
        <v>65</v>
      </c>
      <c r="J49">
        <f t="shared" si="9"/>
        <v>2030129</v>
      </c>
      <c r="K49" t="s">
        <v>66</v>
      </c>
      <c r="N49">
        <v>1</v>
      </c>
    </row>
    <row r="50" customFormat="1" ht="23" customHeight="1" spans="1:14">
      <c r="A50">
        <f t="shared" si="10"/>
        <v>1030130</v>
      </c>
      <c r="B50" s="7">
        <v>130</v>
      </c>
      <c r="C50">
        <f t="shared" si="11"/>
        <v>1300130</v>
      </c>
      <c r="D50" t="s">
        <v>87</v>
      </c>
      <c r="E50">
        <v>3</v>
      </c>
      <c r="F50" t="s">
        <v>47</v>
      </c>
      <c r="G50">
        <v>5</v>
      </c>
      <c r="H50">
        <v>1</v>
      </c>
      <c r="I50" t="s">
        <v>65</v>
      </c>
      <c r="J50">
        <f t="shared" si="9"/>
        <v>2030130</v>
      </c>
      <c r="K50" t="s">
        <v>66</v>
      </c>
      <c r="N50">
        <v>1</v>
      </c>
    </row>
    <row r="51" customFormat="1" ht="23" customHeight="1" spans="1:14">
      <c r="A51">
        <f t="shared" si="10"/>
        <v>1030131</v>
      </c>
      <c r="B51" s="7">
        <v>131</v>
      </c>
      <c r="C51">
        <f t="shared" si="11"/>
        <v>1300131</v>
      </c>
      <c r="D51" t="s">
        <v>88</v>
      </c>
      <c r="E51">
        <v>3</v>
      </c>
      <c r="F51" t="s">
        <v>47</v>
      </c>
      <c r="G51">
        <v>6</v>
      </c>
      <c r="H51">
        <v>1</v>
      </c>
      <c r="I51" t="s">
        <v>65</v>
      </c>
      <c r="J51">
        <f t="shared" si="9"/>
        <v>2030131</v>
      </c>
      <c r="K51" t="s">
        <v>66</v>
      </c>
      <c r="N51">
        <v>1</v>
      </c>
    </row>
    <row r="52" customFormat="1" ht="23" customHeight="1" spans="1:14">
      <c r="A52">
        <f t="shared" si="10"/>
        <v>1030132</v>
      </c>
      <c r="B52" s="7">
        <v>132</v>
      </c>
      <c r="C52">
        <f t="shared" si="11"/>
        <v>1300132</v>
      </c>
      <c r="D52" t="s">
        <v>89</v>
      </c>
      <c r="E52">
        <v>3</v>
      </c>
      <c r="F52" t="s">
        <v>47</v>
      </c>
      <c r="G52">
        <v>6</v>
      </c>
      <c r="H52">
        <v>1</v>
      </c>
      <c r="I52" t="s">
        <v>65</v>
      </c>
      <c r="J52">
        <f t="shared" si="9"/>
        <v>2030132</v>
      </c>
      <c r="K52" t="s">
        <v>66</v>
      </c>
      <c r="N52">
        <v>1</v>
      </c>
    </row>
    <row r="53" customFormat="1" ht="23" customHeight="1" spans="1:14">
      <c r="A53">
        <f t="shared" si="10"/>
        <v>1030141</v>
      </c>
      <c r="B53" s="7">
        <v>141</v>
      </c>
      <c r="C53">
        <f t="shared" si="11"/>
        <v>1300141</v>
      </c>
      <c r="D53" t="s">
        <v>90</v>
      </c>
      <c r="E53">
        <v>3</v>
      </c>
      <c r="F53" t="s">
        <v>47</v>
      </c>
      <c r="G53">
        <v>1</v>
      </c>
      <c r="H53">
        <v>1</v>
      </c>
      <c r="I53" t="s">
        <v>65</v>
      </c>
      <c r="J53">
        <f t="shared" si="9"/>
        <v>2030141</v>
      </c>
      <c r="K53" t="s">
        <v>66</v>
      </c>
      <c r="N53">
        <v>1</v>
      </c>
    </row>
    <row r="54" customFormat="1" ht="23" customHeight="1" spans="1:14">
      <c r="A54">
        <f t="shared" si="10"/>
        <v>1030142</v>
      </c>
      <c r="B54" s="7">
        <v>142</v>
      </c>
      <c r="C54">
        <f t="shared" si="11"/>
        <v>1300142</v>
      </c>
      <c r="D54" t="s">
        <v>91</v>
      </c>
      <c r="E54">
        <v>3</v>
      </c>
      <c r="F54" t="s">
        <v>47</v>
      </c>
      <c r="G54">
        <v>1</v>
      </c>
      <c r="H54">
        <v>1</v>
      </c>
      <c r="I54" t="s">
        <v>65</v>
      </c>
      <c r="J54">
        <f t="shared" si="9"/>
        <v>2030142</v>
      </c>
      <c r="K54" t="s">
        <v>66</v>
      </c>
      <c r="N54">
        <v>1</v>
      </c>
    </row>
    <row r="55" customFormat="1" ht="23" customHeight="1" spans="1:14">
      <c r="A55">
        <f t="shared" si="10"/>
        <v>1030143</v>
      </c>
      <c r="B55" s="7">
        <v>143</v>
      </c>
      <c r="C55">
        <f t="shared" si="11"/>
        <v>1300143</v>
      </c>
      <c r="D55" t="s">
        <v>92</v>
      </c>
      <c r="E55">
        <v>3</v>
      </c>
      <c r="F55" t="s">
        <v>47</v>
      </c>
      <c r="G55">
        <v>2</v>
      </c>
      <c r="H55">
        <v>1</v>
      </c>
      <c r="I55" t="s">
        <v>65</v>
      </c>
      <c r="J55">
        <f t="shared" si="9"/>
        <v>2030143</v>
      </c>
      <c r="K55" t="s">
        <v>66</v>
      </c>
      <c r="N55">
        <v>1</v>
      </c>
    </row>
    <row r="56" customFormat="1" ht="23" customHeight="1" spans="1:14">
      <c r="A56">
        <f t="shared" si="10"/>
        <v>1030144</v>
      </c>
      <c r="B56" s="7">
        <v>144</v>
      </c>
      <c r="C56">
        <f t="shared" si="11"/>
        <v>1300144</v>
      </c>
      <c r="D56" t="s">
        <v>93</v>
      </c>
      <c r="E56">
        <v>3</v>
      </c>
      <c r="F56" t="s">
        <v>47</v>
      </c>
      <c r="G56">
        <v>2</v>
      </c>
      <c r="H56">
        <v>1</v>
      </c>
      <c r="I56" t="s">
        <v>65</v>
      </c>
      <c r="J56">
        <f t="shared" si="9"/>
        <v>2030144</v>
      </c>
      <c r="K56" t="s">
        <v>66</v>
      </c>
      <c r="N56">
        <v>1</v>
      </c>
    </row>
    <row r="57" customFormat="1" ht="23" customHeight="1" spans="1:14">
      <c r="A57">
        <f t="shared" si="10"/>
        <v>1030145</v>
      </c>
      <c r="B57" s="7">
        <v>145</v>
      </c>
      <c r="C57">
        <f t="shared" si="11"/>
        <v>1300145</v>
      </c>
      <c r="D57" t="s">
        <v>94</v>
      </c>
      <c r="E57">
        <v>3</v>
      </c>
      <c r="F57" t="s">
        <v>47</v>
      </c>
      <c r="G57">
        <v>3</v>
      </c>
      <c r="H57">
        <v>1</v>
      </c>
      <c r="I57" t="s">
        <v>65</v>
      </c>
      <c r="J57">
        <f t="shared" si="9"/>
        <v>2030145</v>
      </c>
      <c r="K57" t="s">
        <v>66</v>
      </c>
      <c r="N57">
        <v>1</v>
      </c>
    </row>
    <row r="58" customFormat="1" ht="23" customHeight="1" spans="1:14">
      <c r="A58">
        <f t="shared" si="10"/>
        <v>1030146</v>
      </c>
      <c r="B58" s="7">
        <v>146</v>
      </c>
      <c r="C58">
        <f t="shared" si="11"/>
        <v>1300146</v>
      </c>
      <c r="D58" t="s">
        <v>95</v>
      </c>
      <c r="E58">
        <v>3</v>
      </c>
      <c r="F58" t="s">
        <v>47</v>
      </c>
      <c r="G58">
        <v>3</v>
      </c>
      <c r="H58">
        <v>1</v>
      </c>
      <c r="I58" t="s">
        <v>65</v>
      </c>
      <c r="J58">
        <f t="shared" si="9"/>
        <v>2030146</v>
      </c>
      <c r="K58" t="s">
        <v>66</v>
      </c>
      <c r="N58">
        <v>1</v>
      </c>
    </row>
    <row r="59" customFormat="1" ht="23" customHeight="1" spans="1:14">
      <c r="A59">
        <f t="shared" si="10"/>
        <v>1030147</v>
      </c>
      <c r="B59" s="7">
        <v>147</v>
      </c>
      <c r="C59">
        <f t="shared" si="11"/>
        <v>1300147</v>
      </c>
      <c r="D59" t="s">
        <v>96</v>
      </c>
      <c r="E59">
        <v>3</v>
      </c>
      <c r="F59" t="s">
        <v>47</v>
      </c>
      <c r="G59">
        <v>4</v>
      </c>
      <c r="H59">
        <v>1</v>
      </c>
      <c r="I59" t="s">
        <v>65</v>
      </c>
      <c r="J59">
        <f t="shared" si="9"/>
        <v>2030147</v>
      </c>
      <c r="K59" t="s">
        <v>66</v>
      </c>
      <c r="N59">
        <v>1</v>
      </c>
    </row>
    <row r="60" customFormat="1" ht="23" customHeight="1" spans="1:14">
      <c r="A60">
        <f t="shared" si="10"/>
        <v>1030148</v>
      </c>
      <c r="B60" s="7">
        <v>148</v>
      </c>
      <c r="C60">
        <f t="shared" si="11"/>
        <v>1300148</v>
      </c>
      <c r="D60" t="s">
        <v>97</v>
      </c>
      <c r="E60">
        <v>3</v>
      </c>
      <c r="F60" t="s">
        <v>47</v>
      </c>
      <c r="G60">
        <v>4</v>
      </c>
      <c r="H60">
        <v>1</v>
      </c>
      <c r="I60" t="s">
        <v>65</v>
      </c>
      <c r="J60">
        <f t="shared" si="9"/>
        <v>2030148</v>
      </c>
      <c r="K60" t="s">
        <v>66</v>
      </c>
      <c r="N60">
        <v>1</v>
      </c>
    </row>
    <row r="61" customFormat="1" ht="23" customHeight="1" spans="1:14">
      <c r="A61">
        <f t="shared" si="10"/>
        <v>1030149</v>
      </c>
      <c r="B61" s="7">
        <v>149</v>
      </c>
      <c r="C61">
        <f t="shared" si="11"/>
        <v>1300149</v>
      </c>
      <c r="D61" t="s">
        <v>98</v>
      </c>
      <c r="E61">
        <v>3</v>
      </c>
      <c r="F61" t="s">
        <v>47</v>
      </c>
      <c r="G61">
        <v>5</v>
      </c>
      <c r="H61">
        <v>1</v>
      </c>
      <c r="I61" t="s">
        <v>65</v>
      </c>
      <c r="J61">
        <f t="shared" si="9"/>
        <v>2030149</v>
      </c>
      <c r="K61" t="s">
        <v>66</v>
      </c>
      <c r="N61">
        <v>1</v>
      </c>
    </row>
    <row r="62" customFormat="1" ht="23" customHeight="1" spans="1:14">
      <c r="A62">
        <f t="shared" si="10"/>
        <v>1030150</v>
      </c>
      <c r="B62" s="7">
        <v>150</v>
      </c>
      <c r="C62">
        <f t="shared" si="11"/>
        <v>1300150</v>
      </c>
      <c r="D62" t="s">
        <v>99</v>
      </c>
      <c r="E62">
        <v>3</v>
      </c>
      <c r="F62" t="s">
        <v>47</v>
      </c>
      <c r="G62">
        <v>5</v>
      </c>
      <c r="H62">
        <v>1</v>
      </c>
      <c r="I62" t="s">
        <v>65</v>
      </c>
      <c r="J62">
        <f t="shared" ref="J62:J93" si="12">2000000+E62*10000+B62</f>
        <v>2030150</v>
      </c>
      <c r="K62" t="s">
        <v>66</v>
      </c>
      <c r="N62">
        <v>1</v>
      </c>
    </row>
    <row r="63" customFormat="1" ht="23" customHeight="1" spans="1:14">
      <c r="A63">
        <f t="shared" si="10"/>
        <v>1030151</v>
      </c>
      <c r="B63" s="7">
        <v>151</v>
      </c>
      <c r="C63">
        <f t="shared" si="11"/>
        <v>1300151</v>
      </c>
      <c r="D63" t="s">
        <v>100</v>
      </c>
      <c r="E63">
        <v>3</v>
      </c>
      <c r="F63" t="s">
        <v>47</v>
      </c>
      <c r="G63">
        <v>6</v>
      </c>
      <c r="H63">
        <v>1</v>
      </c>
      <c r="I63" t="s">
        <v>65</v>
      </c>
      <c r="J63">
        <f t="shared" si="12"/>
        <v>2030151</v>
      </c>
      <c r="K63" t="s">
        <v>66</v>
      </c>
      <c r="N63">
        <v>1</v>
      </c>
    </row>
    <row r="64" customFormat="1" ht="23" customHeight="1" spans="1:14">
      <c r="A64">
        <f t="shared" si="10"/>
        <v>1030152</v>
      </c>
      <c r="B64" s="7">
        <v>152</v>
      </c>
      <c r="C64">
        <f t="shared" si="11"/>
        <v>1300152</v>
      </c>
      <c r="D64" t="s">
        <v>101</v>
      </c>
      <c r="E64">
        <v>3</v>
      </c>
      <c r="F64" t="s">
        <v>47</v>
      </c>
      <c r="G64">
        <v>6</v>
      </c>
      <c r="H64">
        <v>1</v>
      </c>
      <c r="I64" t="s">
        <v>65</v>
      </c>
      <c r="J64">
        <f t="shared" si="12"/>
        <v>2030152</v>
      </c>
      <c r="K64" t="s">
        <v>66</v>
      </c>
      <c r="N64">
        <v>1</v>
      </c>
    </row>
    <row r="65" customFormat="1" ht="23" customHeight="1" spans="1:14">
      <c r="A65">
        <f t="shared" si="10"/>
        <v>1030161</v>
      </c>
      <c r="B65" s="7">
        <v>161</v>
      </c>
      <c r="C65">
        <f t="shared" si="11"/>
        <v>1300161</v>
      </c>
      <c r="D65" t="s">
        <v>102</v>
      </c>
      <c r="E65">
        <v>3</v>
      </c>
      <c r="F65" t="s">
        <v>47</v>
      </c>
      <c r="G65">
        <v>1</v>
      </c>
      <c r="H65">
        <v>1</v>
      </c>
      <c r="I65" t="s">
        <v>65</v>
      </c>
      <c r="J65">
        <f t="shared" si="12"/>
        <v>2030161</v>
      </c>
      <c r="K65" t="s">
        <v>66</v>
      </c>
      <c r="N65">
        <v>1</v>
      </c>
    </row>
    <row r="66" customFormat="1" ht="23" customHeight="1" spans="1:14">
      <c r="A66">
        <f t="shared" si="10"/>
        <v>1030162</v>
      </c>
      <c r="B66" s="7">
        <v>162</v>
      </c>
      <c r="C66">
        <f t="shared" si="11"/>
        <v>1300162</v>
      </c>
      <c r="D66" t="s">
        <v>103</v>
      </c>
      <c r="E66">
        <v>3</v>
      </c>
      <c r="F66" t="s">
        <v>47</v>
      </c>
      <c r="G66">
        <v>1</v>
      </c>
      <c r="H66">
        <v>1</v>
      </c>
      <c r="I66" t="s">
        <v>65</v>
      </c>
      <c r="J66">
        <f t="shared" si="12"/>
        <v>2030162</v>
      </c>
      <c r="K66" t="s">
        <v>66</v>
      </c>
      <c r="N66">
        <v>1</v>
      </c>
    </row>
    <row r="67" customFormat="1" ht="23" customHeight="1" spans="1:14">
      <c r="A67">
        <f t="shared" ref="A67:A98" si="13">1000000+E67*10000+B67</f>
        <v>1030163</v>
      </c>
      <c r="B67" s="7">
        <v>163</v>
      </c>
      <c r="C67">
        <f t="shared" ref="C67:C98" si="14">1000000+E67*100000+B67</f>
        <v>1300163</v>
      </c>
      <c r="D67" t="s">
        <v>104</v>
      </c>
      <c r="E67">
        <v>3</v>
      </c>
      <c r="F67" t="s">
        <v>47</v>
      </c>
      <c r="G67">
        <v>2</v>
      </c>
      <c r="H67">
        <v>1</v>
      </c>
      <c r="I67" t="s">
        <v>65</v>
      </c>
      <c r="J67">
        <f t="shared" si="12"/>
        <v>2030163</v>
      </c>
      <c r="K67" t="s">
        <v>66</v>
      </c>
      <c r="N67">
        <v>1</v>
      </c>
    </row>
    <row r="68" customFormat="1" ht="23" customHeight="1" spans="1:14">
      <c r="A68">
        <f t="shared" si="13"/>
        <v>1030164</v>
      </c>
      <c r="B68" s="7">
        <v>164</v>
      </c>
      <c r="C68">
        <f t="shared" si="14"/>
        <v>1300164</v>
      </c>
      <c r="D68" t="s">
        <v>105</v>
      </c>
      <c r="E68">
        <v>3</v>
      </c>
      <c r="F68" t="s">
        <v>47</v>
      </c>
      <c r="G68">
        <v>2</v>
      </c>
      <c r="H68">
        <v>1</v>
      </c>
      <c r="I68" t="s">
        <v>65</v>
      </c>
      <c r="J68">
        <f t="shared" si="12"/>
        <v>2030164</v>
      </c>
      <c r="K68" t="s">
        <v>66</v>
      </c>
      <c r="N68">
        <v>1</v>
      </c>
    </row>
    <row r="69" customFormat="1" ht="23" customHeight="1" spans="1:14">
      <c r="A69">
        <f t="shared" si="13"/>
        <v>1030165</v>
      </c>
      <c r="B69" s="7">
        <v>165</v>
      </c>
      <c r="C69">
        <f t="shared" si="14"/>
        <v>1300165</v>
      </c>
      <c r="D69" t="s">
        <v>106</v>
      </c>
      <c r="E69">
        <v>3</v>
      </c>
      <c r="F69" t="s">
        <v>47</v>
      </c>
      <c r="G69">
        <v>3</v>
      </c>
      <c r="H69">
        <v>1</v>
      </c>
      <c r="I69" t="s">
        <v>65</v>
      </c>
      <c r="J69">
        <f t="shared" si="12"/>
        <v>2030165</v>
      </c>
      <c r="K69" t="s">
        <v>66</v>
      </c>
      <c r="N69">
        <v>1</v>
      </c>
    </row>
    <row r="70" customFormat="1" ht="23" customHeight="1" spans="1:14">
      <c r="A70">
        <f t="shared" si="13"/>
        <v>1030166</v>
      </c>
      <c r="B70" s="7">
        <v>166</v>
      </c>
      <c r="C70">
        <f t="shared" si="14"/>
        <v>1300166</v>
      </c>
      <c r="D70" t="s">
        <v>107</v>
      </c>
      <c r="E70">
        <v>3</v>
      </c>
      <c r="F70" t="s">
        <v>47</v>
      </c>
      <c r="G70">
        <v>3</v>
      </c>
      <c r="H70">
        <v>1</v>
      </c>
      <c r="I70" t="s">
        <v>65</v>
      </c>
      <c r="J70">
        <f t="shared" si="12"/>
        <v>2030166</v>
      </c>
      <c r="K70" t="s">
        <v>66</v>
      </c>
      <c r="N70">
        <v>1</v>
      </c>
    </row>
    <row r="71" customFormat="1" ht="23" customHeight="1" spans="1:14">
      <c r="A71">
        <f t="shared" si="13"/>
        <v>1030167</v>
      </c>
      <c r="B71" s="7">
        <v>167</v>
      </c>
      <c r="C71">
        <f t="shared" si="14"/>
        <v>1300167</v>
      </c>
      <c r="D71" t="s">
        <v>108</v>
      </c>
      <c r="E71">
        <v>3</v>
      </c>
      <c r="F71" t="s">
        <v>47</v>
      </c>
      <c r="G71">
        <v>4</v>
      </c>
      <c r="H71">
        <v>1</v>
      </c>
      <c r="I71" t="s">
        <v>65</v>
      </c>
      <c r="J71">
        <f t="shared" si="12"/>
        <v>2030167</v>
      </c>
      <c r="K71" t="s">
        <v>66</v>
      </c>
      <c r="N71">
        <v>1</v>
      </c>
    </row>
    <row r="72" customFormat="1" ht="23" customHeight="1" spans="1:14">
      <c r="A72">
        <f t="shared" si="13"/>
        <v>1030168</v>
      </c>
      <c r="B72" s="7">
        <v>168</v>
      </c>
      <c r="C72">
        <f t="shared" si="14"/>
        <v>1300168</v>
      </c>
      <c r="D72" t="s">
        <v>109</v>
      </c>
      <c r="E72">
        <v>3</v>
      </c>
      <c r="F72" t="s">
        <v>47</v>
      </c>
      <c r="G72">
        <v>4</v>
      </c>
      <c r="H72">
        <v>1</v>
      </c>
      <c r="I72" t="s">
        <v>65</v>
      </c>
      <c r="J72">
        <f t="shared" si="12"/>
        <v>2030168</v>
      </c>
      <c r="K72" t="s">
        <v>66</v>
      </c>
      <c r="N72">
        <v>1</v>
      </c>
    </row>
    <row r="73" customFormat="1" ht="23" customHeight="1" spans="1:14">
      <c r="A73">
        <f t="shared" si="13"/>
        <v>1030169</v>
      </c>
      <c r="B73" s="7">
        <v>169</v>
      </c>
      <c r="C73">
        <f t="shared" si="14"/>
        <v>1300169</v>
      </c>
      <c r="D73" t="s">
        <v>110</v>
      </c>
      <c r="E73">
        <v>3</v>
      </c>
      <c r="F73" t="s">
        <v>47</v>
      </c>
      <c r="G73">
        <v>5</v>
      </c>
      <c r="H73">
        <v>1</v>
      </c>
      <c r="I73" t="s">
        <v>65</v>
      </c>
      <c r="J73">
        <f t="shared" si="12"/>
        <v>2030169</v>
      </c>
      <c r="K73" t="s">
        <v>66</v>
      </c>
      <c r="N73">
        <v>1</v>
      </c>
    </row>
    <row r="74" customFormat="1" ht="23" customHeight="1" spans="1:14">
      <c r="A74">
        <f t="shared" si="13"/>
        <v>1030170</v>
      </c>
      <c r="B74" s="7">
        <v>170</v>
      </c>
      <c r="C74">
        <f t="shared" si="14"/>
        <v>1300170</v>
      </c>
      <c r="D74" t="s">
        <v>111</v>
      </c>
      <c r="E74">
        <v>3</v>
      </c>
      <c r="F74" t="s">
        <v>47</v>
      </c>
      <c r="G74">
        <v>5</v>
      </c>
      <c r="H74">
        <v>1</v>
      </c>
      <c r="I74" t="s">
        <v>65</v>
      </c>
      <c r="J74">
        <f t="shared" si="12"/>
        <v>2030170</v>
      </c>
      <c r="K74" t="s">
        <v>66</v>
      </c>
      <c r="N74">
        <v>1</v>
      </c>
    </row>
    <row r="75" customFormat="1" ht="23" customHeight="1" spans="1:14">
      <c r="A75">
        <f t="shared" si="13"/>
        <v>1030171</v>
      </c>
      <c r="B75" s="7">
        <v>171</v>
      </c>
      <c r="C75">
        <f t="shared" si="14"/>
        <v>1300171</v>
      </c>
      <c r="D75" t="s">
        <v>112</v>
      </c>
      <c r="E75">
        <v>3</v>
      </c>
      <c r="F75" t="s">
        <v>47</v>
      </c>
      <c r="G75">
        <v>6</v>
      </c>
      <c r="H75">
        <v>1</v>
      </c>
      <c r="I75" t="s">
        <v>65</v>
      </c>
      <c r="J75">
        <f t="shared" si="12"/>
        <v>2030171</v>
      </c>
      <c r="K75" t="s">
        <v>66</v>
      </c>
      <c r="N75">
        <v>1</v>
      </c>
    </row>
    <row r="76" customFormat="1" ht="23" customHeight="1" spans="1:14">
      <c r="A76">
        <f t="shared" si="13"/>
        <v>1030172</v>
      </c>
      <c r="B76" s="7">
        <v>172</v>
      </c>
      <c r="C76">
        <f t="shared" si="14"/>
        <v>1300172</v>
      </c>
      <c r="D76" t="s">
        <v>113</v>
      </c>
      <c r="E76">
        <v>3</v>
      </c>
      <c r="F76" t="s">
        <v>47</v>
      </c>
      <c r="G76">
        <v>6</v>
      </c>
      <c r="H76">
        <v>1</v>
      </c>
      <c r="I76" t="s">
        <v>65</v>
      </c>
      <c r="J76">
        <f t="shared" si="12"/>
        <v>2030172</v>
      </c>
      <c r="K76" t="s">
        <v>66</v>
      </c>
      <c r="N76">
        <v>1</v>
      </c>
    </row>
    <row r="77" customFormat="1" ht="23" customHeight="1" spans="1:14">
      <c r="A77">
        <f t="shared" si="13"/>
        <v>1030181</v>
      </c>
      <c r="B77" s="7">
        <v>181</v>
      </c>
      <c r="C77">
        <f t="shared" si="14"/>
        <v>1300181</v>
      </c>
      <c r="D77" t="s">
        <v>114</v>
      </c>
      <c r="E77">
        <v>3</v>
      </c>
      <c r="F77" t="s">
        <v>47</v>
      </c>
      <c r="G77">
        <v>1</v>
      </c>
      <c r="H77">
        <v>1</v>
      </c>
      <c r="I77" t="s">
        <v>65</v>
      </c>
      <c r="J77">
        <f t="shared" si="12"/>
        <v>2030181</v>
      </c>
      <c r="K77" t="s">
        <v>66</v>
      </c>
      <c r="N77">
        <v>1</v>
      </c>
    </row>
    <row r="78" customFormat="1" ht="23" customHeight="1" spans="1:14">
      <c r="A78">
        <f t="shared" si="13"/>
        <v>1030182</v>
      </c>
      <c r="B78" s="7">
        <v>182</v>
      </c>
      <c r="C78">
        <f t="shared" si="14"/>
        <v>1300182</v>
      </c>
      <c r="D78" t="s">
        <v>115</v>
      </c>
      <c r="E78">
        <v>3</v>
      </c>
      <c r="F78" t="s">
        <v>47</v>
      </c>
      <c r="G78">
        <v>1</v>
      </c>
      <c r="H78">
        <v>1</v>
      </c>
      <c r="I78" t="s">
        <v>65</v>
      </c>
      <c r="J78">
        <f t="shared" si="12"/>
        <v>2030182</v>
      </c>
      <c r="K78" t="s">
        <v>66</v>
      </c>
      <c r="N78">
        <v>1</v>
      </c>
    </row>
    <row r="79" customFormat="1" ht="23" customHeight="1" spans="1:14">
      <c r="A79">
        <f t="shared" si="13"/>
        <v>1030183</v>
      </c>
      <c r="B79" s="7">
        <v>183</v>
      </c>
      <c r="C79">
        <f t="shared" si="14"/>
        <v>1300183</v>
      </c>
      <c r="D79" t="s">
        <v>116</v>
      </c>
      <c r="E79">
        <v>3</v>
      </c>
      <c r="F79" t="s">
        <v>47</v>
      </c>
      <c r="G79">
        <v>2</v>
      </c>
      <c r="H79">
        <v>1</v>
      </c>
      <c r="I79" t="s">
        <v>65</v>
      </c>
      <c r="J79">
        <f t="shared" si="12"/>
        <v>2030183</v>
      </c>
      <c r="K79" t="s">
        <v>66</v>
      </c>
      <c r="N79">
        <v>1</v>
      </c>
    </row>
    <row r="80" customFormat="1" ht="23" customHeight="1" spans="1:14">
      <c r="A80">
        <f t="shared" si="13"/>
        <v>1030184</v>
      </c>
      <c r="B80" s="7">
        <v>184</v>
      </c>
      <c r="C80">
        <f t="shared" si="14"/>
        <v>1300184</v>
      </c>
      <c r="D80" t="s">
        <v>117</v>
      </c>
      <c r="E80">
        <v>3</v>
      </c>
      <c r="F80" t="s">
        <v>47</v>
      </c>
      <c r="G80">
        <v>2</v>
      </c>
      <c r="H80">
        <v>1</v>
      </c>
      <c r="I80" t="s">
        <v>65</v>
      </c>
      <c r="J80">
        <f t="shared" si="12"/>
        <v>2030184</v>
      </c>
      <c r="K80" t="s">
        <v>66</v>
      </c>
      <c r="N80">
        <v>1</v>
      </c>
    </row>
    <row r="81" customFormat="1" ht="23" customHeight="1" spans="1:14">
      <c r="A81">
        <f t="shared" si="13"/>
        <v>1030185</v>
      </c>
      <c r="B81" s="7">
        <v>185</v>
      </c>
      <c r="C81">
        <f t="shared" si="14"/>
        <v>1300185</v>
      </c>
      <c r="D81" t="s">
        <v>118</v>
      </c>
      <c r="E81">
        <v>3</v>
      </c>
      <c r="F81" t="s">
        <v>47</v>
      </c>
      <c r="G81">
        <v>3</v>
      </c>
      <c r="H81">
        <v>1</v>
      </c>
      <c r="I81" t="s">
        <v>65</v>
      </c>
      <c r="J81">
        <f t="shared" si="12"/>
        <v>2030185</v>
      </c>
      <c r="K81" t="s">
        <v>66</v>
      </c>
      <c r="N81">
        <v>1</v>
      </c>
    </row>
    <row r="82" customFormat="1" ht="23" customHeight="1" spans="1:14">
      <c r="A82">
        <f t="shared" si="13"/>
        <v>1030186</v>
      </c>
      <c r="B82" s="7">
        <v>186</v>
      </c>
      <c r="C82">
        <f t="shared" si="14"/>
        <v>1300186</v>
      </c>
      <c r="D82" t="s">
        <v>119</v>
      </c>
      <c r="E82">
        <v>3</v>
      </c>
      <c r="F82" t="s">
        <v>47</v>
      </c>
      <c r="G82">
        <v>3</v>
      </c>
      <c r="H82">
        <v>1</v>
      </c>
      <c r="I82" t="s">
        <v>65</v>
      </c>
      <c r="J82">
        <f t="shared" si="12"/>
        <v>2030186</v>
      </c>
      <c r="K82" t="s">
        <v>66</v>
      </c>
      <c r="N82">
        <v>1</v>
      </c>
    </row>
    <row r="83" customFormat="1" ht="23" customHeight="1" spans="1:14">
      <c r="A83">
        <f t="shared" si="13"/>
        <v>1030187</v>
      </c>
      <c r="B83" s="7">
        <v>187</v>
      </c>
      <c r="C83">
        <f t="shared" si="14"/>
        <v>1300187</v>
      </c>
      <c r="D83" t="s">
        <v>120</v>
      </c>
      <c r="E83">
        <v>3</v>
      </c>
      <c r="F83" t="s">
        <v>47</v>
      </c>
      <c r="G83">
        <v>4</v>
      </c>
      <c r="H83">
        <v>1</v>
      </c>
      <c r="I83" t="s">
        <v>65</v>
      </c>
      <c r="J83">
        <f t="shared" si="12"/>
        <v>2030187</v>
      </c>
      <c r="K83" t="s">
        <v>66</v>
      </c>
      <c r="N83">
        <v>1</v>
      </c>
    </row>
    <row r="84" customFormat="1" ht="23" customHeight="1" spans="1:14">
      <c r="A84">
        <f t="shared" si="13"/>
        <v>1030188</v>
      </c>
      <c r="B84" s="7">
        <v>188</v>
      </c>
      <c r="C84">
        <f t="shared" si="14"/>
        <v>1300188</v>
      </c>
      <c r="D84" t="s">
        <v>121</v>
      </c>
      <c r="E84">
        <v>3</v>
      </c>
      <c r="F84" t="s">
        <v>47</v>
      </c>
      <c r="G84">
        <v>4</v>
      </c>
      <c r="H84">
        <v>1</v>
      </c>
      <c r="I84" t="s">
        <v>65</v>
      </c>
      <c r="J84">
        <f t="shared" si="12"/>
        <v>2030188</v>
      </c>
      <c r="K84" t="s">
        <v>66</v>
      </c>
      <c r="N84">
        <v>1</v>
      </c>
    </row>
    <row r="85" customFormat="1" ht="23" customHeight="1" spans="1:14">
      <c r="A85">
        <f t="shared" si="13"/>
        <v>1030189</v>
      </c>
      <c r="B85" s="7">
        <v>189</v>
      </c>
      <c r="C85">
        <f t="shared" si="14"/>
        <v>1300189</v>
      </c>
      <c r="D85" t="s">
        <v>122</v>
      </c>
      <c r="E85">
        <v>3</v>
      </c>
      <c r="F85" t="s">
        <v>47</v>
      </c>
      <c r="G85">
        <v>5</v>
      </c>
      <c r="H85">
        <v>1</v>
      </c>
      <c r="I85" t="s">
        <v>65</v>
      </c>
      <c r="J85">
        <f t="shared" si="12"/>
        <v>2030189</v>
      </c>
      <c r="K85" t="s">
        <v>66</v>
      </c>
      <c r="N85">
        <v>1</v>
      </c>
    </row>
    <row r="86" customFormat="1" ht="23" customHeight="1" spans="1:14">
      <c r="A86">
        <f t="shared" si="13"/>
        <v>1030190</v>
      </c>
      <c r="B86" s="7">
        <v>190</v>
      </c>
      <c r="C86">
        <f t="shared" si="14"/>
        <v>1300190</v>
      </c>
      <c r="D86" t="s">
        <v>123</v>
      </c>
      <c r="E86">
        <v>3</v>
      </c>
      <c r="F86" t="s">
        <v>47</v>
      </c>
      <c r="G86">
        <v>5</v>
      </c>
      <c r="H86">
        <v>1</v>
      </c>
      <c r="I86" t="s">
        <v>65</v>
      </c>
      <c r="J86">
        <f t="shared" si="12"/>
        <v>2030190</v>
      </c>
      <c r="K86" t="s">
        <v>66</v>
      </c>
      <c r="N86">
        <v>1</v>
      </c>
    </row>
    <row r="87" customFormat="1" ht="23" customHeight="1" spans="1:14">
      <c r="A87">
        <f t="shared" si="13"/>
        <v>1030191</v>
      </c>
      <c r="B87" s="7">
        <v>191</v>
      </c>
      <c r="C87">
        <f t="shared" si="14"/>
        <v>1300191</v>
      </c>
      <c r="D87" t="s">
        <v>124</v>
      </c>
      <c r="E87">
        <v>3</v>
      </c>
      <c r="F87" t="s">
        <v>47</v>
      </c>
      <c r="G87">
        <v>6</v>
      </c>
      <c r="H87">
        <v>1</v>
      </c>
      <c r="I87" t="s">
        <v>65</v>
      </c>
      <c r="J87">
        <f t="shared" si="12"/>
        <v>2030191</v>
      </c>
      <c r="K87" t="s">
        <v>66</v>
      </c>
      <c r="N87">
        <v>1</v>
      </c>
    </row>
    <row r="88" customFormat="1" ht="23" customHeight="1" spans="1:14">
      <c r="A88">
        <f t="shared" si="13"/>
        <v>1030192</v>
      </c>
      <c r="B88" s="7">
        <v>192</v>
      </c>
      <c r="C88">
        <f t="shared" si="14"/>
        <v>1300192</v>
      </c>
      <c r="D88" t="s">
        <v>125</v>
      </c>
      <c r="E88">
        <v>3</v>
      </c>
      <c r="F88" t="s">
        <v>47</v>
      </c>
      <c r="G88">
        <v>6</v>
      </c>
      <c r="H88">
        <v>1</v>
      </c>
      <c r="I88" t="s">
        <v>65</v>
      </c>
      <c r="J88">
        <f t="shared" si="12"/>
        <v>2030192</v>
      </c>
      <c r="K88" t="s">
        <v>66</v>
      </c>
      <c r="N88">
        <v>1</v>
      </c>
    </row>
    <row r="89" customFormat="1" ht="23" customHeight="1" spans="1:14">
      <c r="A89">
        <f t="shared" si="13"/>
        <v>1030201</v>
      </c>
      <c r="B89" s="7">
        <v>201</v>
      </c>
      <c r="C89">
        <f t="shared" si="14"/>
        <v>1300201</v>
      </c>
      <c r="D89" t="s">
        <v>126</v>
      </c>
      <c r="E89">
        <v>3</v>
      </c>
      <c r="F89" t="s">
        <v>47</v>
      </c>
      <c r="G89">
        <v>1</v>
      </c>
      <c r="H89">
        <v>1</v>
      </c>
      <c r="I89" t="s">
        <v>65</v>
      </c>
      <c r="J89">
        <f t="shared" si="12"/>
        <v>2030201</v>
      </c>
      <c r="K89" t="s">
        <v>66</v>
      </c>
      <c r="N89">
        <v>1</v>
      </c>
    </row>
    <row r="90" customFormat="1" ht="23" customHeight="1" spans="1:14">
      <c r="A90">
        <f t="shared" si="13"/>
        <v>1030202</v>
      </c>
      <c r="B90" s="7">
        <v>202</v>
      </c>
      <c r="C90">
        <f t="shared" si="14"/>
        <v>1300202</v>
      </c>
      <c r="D90" t="s">
        <v>127</v>
      </c>
      <c r="E90">
        <v>3</v>
      </c>
      <c r="F90" t="s">
        <v>47</v>
      </c>
      <c r="G90">
        <v>1</v>
      </c>
      <c r="H90">
        <v>1</v>
      </c>
      <c r="I90" t="s">
        <v>65</v>
      </c>
      <c r="J90">
        <f t="shared" si="12"/>
        <v>2030202</v>
      </c>
      <c r="K90" t="s">
        <v>66</v>
      </c>
      <c r="N90">
        <v>1</v>
      </c>
    </row>
    <row r="91" customFormat="1" ht="23" customHeight="1" spans="1:14">
      <c r="A91">
        <f t="shared" si="13"/>
        <v>1030203</v>
      </c>
      <c r="B91" s="7">
        <v>203</v>
      </c>
      <c r="C91">
        <f t="shared" si="14"/>
        <v>1300203</v>
      </c>
      <c r="D91" t="s">
        <v>128</v>
      </c>
      <c r="E91">
        <v>3</v>
      </c>
      <c r="F91" t="s">
        <v>47</v>
      </c>
      <c r="G91">
        <v>2</v>
      </c>
      <c r="H91">
        <v>1</v>
      </c>
      <c r="I91" t="s">
        <v>65</v>
      </c>
      <c r="J91">
        <f t="shared" si="12"/>
        <v>2030203</v>
      </c>
      <c r="K91" t="s">
        <v>66</v>
      </c>
      <c r="N91">
        <v>1</v>
      </c>
    </row>
    <row r="92" customFormat="1" ht="23" customHeight="1" spans="1:14">
      <c r="A92">
        <f t="shared" si="13"/>
        <v>1030204</v>
      </c>
      <c r="B92" s="7">
        <v>204</v>
      </c>
      <c r="C92">
        <f t="shared" si="14"/>
        <v>1300204</v>
      </c>
      <c r="D92" t="s">
        <v>129</v>
      </c>
      <c r="E92">
        <v>3</v>
      </c>
      <c r="F92" t="s">
        <v>47</v>
      </c>
      <c r="G92">
        <v>2</v>
      </c>
      <c r="H92">
        <v>1</v>
      </c>
      <c r="I92" t="s">
        <v>65</v>
      </c>
      <c r="J92">
        <f t="shared" si="12"/>
        <v>2030204</v>
      </c>
      <c r="K92" t="s">
        <v>66</v>
      </c>
      <c r="N92">
        <v>1</v>
      </c>
    </row>
    <row r="93" customFormat="1" ht="23" customHeight="1" spans="1:14">
      <c r="A93">
        <f t="shared" si="13"/>
        <v>1030205</v>
      </c>
      <c r="B93" s="7">
        <v>205</v>
      </c>
      <c r="C93">
        <f t="shared" si="14"/>
        <v>1300205</v>
      </c>
      <c r="D93" t="s">
        <v>130</v>
      </c>
      <c r="E93">
        <v>3</v>
      </c>
      <c r="F93" t="s">
        <v>47</v>
      </c>
      <c r="G93">
        <v>3</v>
      </c>
      <c r="H93">
        <v>1</v>
      </c>
      <c r="I93" t="s">
        <v>65</v>
      </c>
      <c r="J93">
        <f t="shared" si="12"/>
        <v>2030205</v>
      </c>
      <c r="K93" t="s">
        <v>66</v>
      </c>
      <c r="N93">
        <v>1</v>
      </c>
    </row>
    <row r="94" customFormat="1" ht="23" customHeight="1" spans="1:14">
      <c r="A94">
        <f t="shared" si="13"/>
        <v>1030206</v>
      </c>
      <c r="B94" s="7">
        <v>206</v>
      </c>
      <c r="C94">
        <f t="shared" si="14"/>
        <v>1300206</v>
      </c>
      <c r="D94" t="s">
        <v>131</v>
      </c>
      <c r="E94">
        <v>3</v>
      </c>
      <c r="F94" t="s">
        <v>47</v>
      </c>
      <c r="G94">
        <v>3</v>
      </c>
      <c r="H94">
        <v>1</v>
      </c>
      <c r="I94" t="s">
        <v>65</v>
      </c>
      <c r="J94">
        <f t="shared" ref="J94:J128" si="15">2000000+E94*10000+B94</f>
        <v>2030206</v>
      </c>
      <c r="K94" t="s">
        <v>66</v>
      </c>
      <c r="N94">
        <v>1</v>
      </c>
    </row>
    <row r="95" customFormat="1" ht="23" customHeight="1" spans="1:14">
      <c r="A95">
        <f t="shared" si="13"/>
        <v>1030207</v>
      </c>
      <c r="B95" s="7">
        <v>207</v>
      </c>
      <c r="C95">
        <f t="shared" si="14"/>
        <v>1300207</v>
      </c>
      <c r="D95" t="s">
        <v>132</v>
      </c>
      <c r="E95">
        <v>3</v>
      </c>
      <c r="F95" t="s">
        <v>47</v>
      </c>
      <c r="G95">
        <v>4</v>
      </c>
      <c r="H95">
        <v>1</v>
      </c>
      <c r="I95" t="s">
        <v>65</v>
      </c>
      <c r="J95">
        <f t="shared" si="15"/>
        <v>2030207</v>
      </c>
      <c r="K95" t="s">
        <v>66</v>
      </c>
      <c r="N95">
        <v>1</v>
      </c>
    </row>
    <row r="96" customFormat="1" ht="23" customHeight="1" spans="1:14">
      <c r="A96">
        <f t="shared" si="13"/>
        <v>1030208</v>
      </c>
      <c r="B96" s="7">
        <v>208</v>
      </c>
      <c r="C96">
        <f t="shared" si="14"/>
        <v>1300208</v>
      </c>
      <c r="D96" t="s">
        <v>133</v>
      </c>
      <c r="E96">
        <v>3</v>
      </c>
      <c r="F96" t="s">
        <v>47</v>
      </c>
      <c r="G96">
        <v>4</v>
      </c>
      <c r="H96">
        <v>1</v>
      </c>
      <c r="I96" t="s">
        <v>65</v>
      </c>
      <c r="J96">
        <f t="shared" si="15"/>
        <v>2030208</v>
      </c>
      <c r="K96" t="s">
        <v>66</v>
      </c>
      <c r="N96">
        <v>1</v>
      </c>
    </row>
    <row r="97" customFormat="1" ht="23" customHeight="1" spans="1:14">
      <c r="A97">
        <f t="shared" si="13"/>
        <v>1030209</v>
      </c>
      <c r="B97" s="7">
        <v>209</v>
      </c>
      <c r="C97">
        <f t="shared" si="14"/>
        <v>1300209</v>
      </c>
      <c r="D97" t="s">
        <v>134</v>
      </c>
      <c r="E97">
        <v>3</v>
      </c>
      <c r="F97" t="s">
        <v>47</v>
      </c>
      <c r="G97">
        <v>5</v>
      </c>
      <c r="H97">
        <v>1</v>
      </c>
      <c r="I97" t="s">
        <v>65</v>
      </c>
      <c r="J97">
        <f t="shared" si="15"/>
        <v>2030209</v>
      </c>
      <c r="K97" t="s">
        <v>66</v>
      </c>
      <c r="N97">
        <v>1</v>
      </c>
    </row>
    <row r="98" customFormat="1" ht="23" customHeight="1" spans="1:14">
      <c r="A98">
        <f t="shared" si="13"/>
        <v>1030210</v>
      </c>
      <c r="B98" s="7">
        <v>210</v>
      </c>
      <c r="C98">
        <f t="shared" si="14"/>
        <v>1300210</v>
      </c>
      <c r="D98" t="s">
        <v>135</v>
      </c>
      <c r="E98">
        <v>3</v>
      </c>
      <c r="F98" t="s">
        <v>47</v>
      </c>
      <c r="G98">
        <v>5</v>
      </c>
      <c r="H98">
        <v>1</v>
      </c>
      <c r="I98" t="s">
        <v>65</v>
      </c>
      <c r="J98">
        <f t="shared" si="15"/>
        <v>2030210</v>
      </c>
      <c r="K98" t="s">
        <v>66</v>
      </c>
      <c r="N98">
        <v>1</v>
      </c>
    </row>
    <row r="99" customFormat="1" ht="23" customHeight="1" spans="1:14">
      <c r="A99">
        <f t="shared" ref="A99:A130" si="16">1000000+E99*10000+B99</f>
        <v>1030211</v>
      </c>
      <c r="B99" s="7">
        <v>211</v>
      </c>
      <c r="C99">
        <f t="shared" ref="C99:C128" si="17">1000000+E99*100000+B99</f>
        <v>1300211</v>
      </c>
      <c r="D99" t="s">
        <v>136</v>
      </c>
      <c r="E99">
        <v>3</v>
      </c>
      <c r="F99" t="s">
        <v>47</v>
      </c>
      <c r="G99">
        <v>6</v>
      </c>
      <c r="H99">
        <v>1</v>
      </c>
      <c r="I99" t="s">
        <v>65</v>
      </c>
      <c r="J99">
        <f t="shared" si="15"/>
        <v>2030211</v>
      </c>
      <c r="K99" t="s">
        <v>66</v>
      </c>
      <c r="N99">
        <v>1</v>
      </c>
    </row>
    <row r="100" customFormat="1" ht="23" customHeight="1" spans="1:14">
      <c r="A100">
        <f t="shared" si="16"/>
        <v>1030212</v>
      </c>
      <c r="B100" s="7">
        <v>212</v>
      </c>
      <c r="C100">
        <f t="shared" si="17"/>
        <v>1300212</v>
      </c>
      <c r="D100" t="s">
        <v>137</v>
      </c>
      <c r="E100">
        <v>3</v>
      </c>
      <c r="F100" t="s">
        <v>47</v>
      </c>
      <c r="G100">
        <v>6</v>
      </c>
      <c r="H100">
        <v>1</v>
      </c>
      <c r="I100" t="s">
        <v>65</v>
      </c>
      <c r="J100">
        <f t="shared" si="15"/>
        <v>2030212</v>
      </c>
      <c r="K100" t="s">
        <v>66</v>
      </c>
      <c r="N100">
        <v>1</v>
      </c>
    </row>
    <row r="101" customFormat="1" ht="23" customHeight="1" spans="1:14">
      <c r="A101">
        <f t="shared" si="16"/>
        <v>1030221</v>
      </c>
      <c r="B101" s="7">
        <v>221</v>
      </c>
      <c r="C101">
        <f t="shared" si="17"/>
        <v>1300221</v>
      </c>
      <c r="D101" t="s">
        <v>138</v>
      </c>
      <c r="E101">
        <v>3</v>
      </c>
      <c r="F101" t="s">
        <v>47</v>
      </c>
      <c r="G101">
        <v>1</v>
      </c>
      <c r="H101">
        <v>1</v>
      </c>
      <c r="I101" t="s">
        <v>65</v>
      </c>
      <c r="J101">
        <f t="shared" si="15"/>
        <v>2030221</v>
      </c>
      <c r="K101" t="s">
        <v>66</v>
      </c>
      <c r="N101">
        <v>1</v>
      </c>
    </row>
    <row r="102" customFormat="1" ht="23" customHeight="1" spans="1:14">
      <c r="A102">
        <f t="shared" si="16"/>
        <v>1030222</v>
      </c>
      <c r="B102" s="7">
        <v>222</v>
      </c>
      <c r="C102">
        <f t="shared" si="17"/>
        <v>1300222</v>
      </c>
      <c r="D102" t="s">
        <v>139</v>
      </c>
      <c r="E102">
        <v>3</v>
      </c>
      <c r="F102" t="s">
        <v>47</v>
      </c>
      <c r="G102">
        <v>1</v>
      </c>
      <c r="H102">
        <v>1</v>
      </c>
      <c r="I102" t="s">
        <v>65</v>
      </c>
      <c r="J102">
        <f t="shared" si="15"/>
        <v>2030222</v>
      </c>
      <c r="K102" t="s">
        <v>66</v>
      </c>
      <c r="N102">
        <v>1</v>
      </c>
    </row>
    <row r="103" customFormat="1" ht="23" customHeight="1" spans="1:14">
      <c r="A103">
        <f t="shared" si="16"/>
        <v>1030223</v>
      </c>
      <c r="B103" s="7">
        <v>223</v>
      </c>
      <c r="C103">
        <f t="shared" si="17"/>
        <v>1300223</v>
      </c>
      <c r="D103" t="s">
        <v>140</v>
      </c>
      <c r="E103">
        <v>3</v>
      </c>
      <c r="F103" t="s">
        <v>47</v>
      </c>
      <c r="G103">
        <v>2</v>
      </c>
      <c r="H103">
        <v>1</v>
      </c>
      <c r="I103" t="s">
        <v>65</v>
      </c>
      <c r="J103">
        <f t="shared" si="15"/>
        <v>2030223</v>
      </c>
      <c r="K103" t="s">
        <v>66</v>
      </c>
      <c r="N103">
        <v>1</v>
      </c>
    </row>
    <row r="104" customFormat="1" ht="23" customHeight="1" spans="1:14">
      <c r="A104">
        <f t="shared" si="16"/>
        <v>1030224</v>
      </c>
      <c r="B104" s="7">
        <v>224</v>
      </c>
      <c r="C104">
        <f t="shared" si="17"/>
        <v>1300224</v>
      </c>
      <c r="D104" t="s">
        <v>141</v>
      </c>
      <c r="E104">
        <v>3</v>
      </c>
      <c r="F104" t="s">
        <v>47</v>
      </c>
      <c r="G104">
        <v>2</v>
      </c>
      <c r="H104">
        <v>1</v>
      </c>
      <c r="I104" t="s">
        <v>65</v>
      </c>
      <c r="J104">
        <f t="shared" si="15"/>
        <v>2030224</v>
      </c>
      <c r="K104" t="s">
        <v>66</v>
      </c>
      <c r="N104">
        <v>1</v>
      </c>
    </row>
    <row r="105" customFormat="1" ht="23" customHeight="1" spans="1:14">
      <c r="A105">
        <f t="shared" si="16"/>
        <v>1030225</v>
      </c>
      <c r="B105" s="7">
        <v>225</v>
      </c>
      <c r="C105">
        <f t="shared" si="17"/>
        <v>1300225</v>
      </c>
      <c r="D105" t="s">
        <v>142</v>
      </c>
      <c r="E105">
        <v>3</v>
      </c>
      <c r="F105" t="s">
        <v>47</v>
      </c>
      <c r="G105">
        <v>3</v>
      </c>
      <c r="H105">
        <v>1</v>
      </c>
      <c r="I105" t="s">
        <v>65</v>
      </c>
      <c r="J105">
        <f t="shared" si="15"/>
        <v>2030225</v>
      </c>
      <c r="K105" t="s">
        <v>66</v>
      </c>
      <c r="N105">
        <v>1</v>
      </c>
    </row>
    <row r="106" customFormat="1" ht="23" customHeight="1" spans="1:14">
      <c r="A106">
        <f t="shared" si="16"/>
        <v>1030226</v>
      </c>
      <c r="B106" s="7">
        <v>226</v>
      </c>
      <c r="C106">
        <f t="shared" si="17"/>
        <v>1300226</v>
      </c>
      <c r="D106" t="s">
        <v>143</v>
      </c>
      <c r="E106">
        <v>3</v>
      </c>
      <c r="F106" t="s">
        <v>47</v>
      </c>
      <c r="G106">
        <v>3</v>
      </c>
      <c r="H106">
        <v>1</v>
      </c>
      <c r="I106" t="s">
        <v>65</v>
      </c>
      <c r="J106">
        <f t="shared" si="15"/>
        <v>2030226</v>
      </c>
      <c r="K106" t="s">
        <v>66</v>
      </c>
      <c r="N106">
        <v>1</v>
      </c>
    </row>
    <row r="107" customFormat="1" ht="23" customHeight="1" spans="1:14">
      <c r="A107">
        <f t="shared" si="16"/>
        <v>1030227</v>
      </c>
      <c r="B107" s="7">
        <v>227</v>
      </c>
      <c r="C107">
        <f t="shared" si="17"/>
        <v>1300227</v>
      </c>
      <c r="D107" t="s">
        <v>144</v>
      </c>
      <c r="E107">
        <v>3</v>
      </c>
      <c r="F107" t="s">
        <v>47</v>
      </c>
      <c r="G107">
        <v>4</v>
      </c>
      <c r="H107">
        <v>1</v>
      </c>
      <c r="I107" t="s">
        <v>65</v>
      </c>
      <c r="J107">
        <f t="shared" si="15"/>
        <v>2030227</v>
      </c>
      <c r="K107" t="s">
        <v>66</v>
      </c>
      <c r="N107">
        <v>1</v>
      </c>
    </row>
    <row r="108" customFormat="1" ht="23" customHeight="1" spans="1:14">
      <c r="A108">
        <f t="shared" si="16"/>
        <v>1030228</v>
      </c>
      <c r="B108" s="7">
        <v>228</v>
      </c>
      <c r="C108">
        <f t="shared" si="17"/>
        <v>1300228</v>
      </c>
      <c r="D108" t="s">
        <v>145</v>
      </c>
      <c r="E108">
        <v>3</v>
      </c>
      <c r="F108" t="s">
        <v>47</v>
      </c>
      <c r="G108">
        <v>4</v>
      </c>
      <c r="H108">
        <v>1</v>
      </c>
      <c r="I108" t="s">
        <v>65</v>
      </c>
      <c r="J108">
        <f t="shared" si="15"/>
        <v>2030228</v>
      </c>
      <c r="K108" t="s">
        <v>66</v>
      </c>
      <c r="N108">
        <v>1</v>
      </c>
    </row>
    <row r="109" customFormat="1" ht="23" customHeight="1" spans="1:14">
      <c r="A109">
        <f t="shared" si="16"/>
        <v>1030229</v>
      </c>
      <c r="B109" s="7">
        <v>229</v>
      </c>
      <c r="C109">
        <f t="shared" si="17"/>
        <v>1300229</v>
      </c>
      <c r="D109" t="s">
        <v>146</v>
      </c>
      <c r="E109">
        <v>3</v>
      </c>
      <c r="F109" t="s">
        <v>47</v>
      </c>
      <c r="G109">
        <v>5</v>
      </c>
      <c r="H109">
        <v>1</v>
      </c>
      <c r="I109" t="s">
        <v>65</v>
      </c>
      <c r="J109">
        <f t="shared" si="15"/>
        <v>2030229</v>
      </c>
      <c r="K109" t="s">
        <v>66</v>
      </c>
      <c r="N109">
        <v>1</v>
      </c>
    </row>
    <row r="110" customFormat="1" ht="23" customHeight="1" spans="1:14">
      <c r="A110">
        <f t="shared" si="16"/>
        <v>1030230</v>
      </c>
      <c r="B110" s="7">
        <v>230</v>
      </c>
      <c r="C110">
        <f t="shared" si="17"/>
        <v>1300230</v>
      </c>
      <c r="D110" t="s">
        <v>147</v>
      </c>
      <c r="E110">
        <v>3</v>
      </c>
      <c r="F110" t="s">
        <v>47</v>
      </c>
      <c r="G110">
        <v>5</v>
      </c>
      <c r="H110">
        <v>1</v>
      </c>
      <c r="I110" t="s">
        <v>65</v>
      </c>
      <c r="J110">
        <f t="shared" si="15"/>
        <v>2030230</v>
      </c>
      <c r="K110" t="s">
        <v>66</v>
      </c>
      <c r="N110">
        <v>1</v>
      </c>
    </row>
    <row r="111" customFormat="1" ht="23" customHeight="1" spans="1:14">
      <c r="A111">
        <f t="shared" si="16"/>
        <v>1030231</v>
      </c>
      <c r="B111" s="7">
        <v>231</v>
      </c>
      <c r="C111">
        <f t="shared" si="17"/>
        <v>1300231</v>
      </c>
      <c r="D111" t="s">
        <v>148</v>
      </c>
      <c r="E111">
        <v>3</v>
      </c>
      <c r="F111" t="s">
        <v>47</v>
      </c>
      <c r="G111">
        <v>6</v>
      </c>
      <c r="H111">
        <v>1</v>
      </c>
      <c r="I111" t="s">
        <v>65</v>
      </c>
      <c r="J111">
        <f t="shared" si="15"/>
        <v>2030231</v>
      </c>
      <c r="K111" t="s">
        <v>66</v>
      </c>
      <c r="N111">
        <v>1</v>
      </c>
    </row>
    <row r="112" customFormat="1" ht="23" customHeight="1" spans="1:14">
      <c r="A112">
        <f t="shared" si="16"/>
        <v>1030232</v>
      </c>
      <c r="B112" s="7">
        <v>232</v>
      </c>
      <c r="C112">
        <f t="shared" si="17"/>
        <v>1300232</v>
      </c>
      <c r="D112" t="s">
        <v>149</v>
      </c>
      <c r="E112">
        <v>3</v>
      </c>
      <c r="F112" t="s">
        <v>47</v>
      </c>
      <c r="G112">
        <v>6</v>
      </c>
      <c r="H112">
        <v>1</v>
      </c>
      <c r="I112" t="s">
        <v>65</v>
      </c>
      <c r="J112">
        <f t="shared" si="15"/>
        <v>2030232</v>
      </c>
      <c r="K112" t="s">
        <v>66</v>
      </c>
      <c r="N112">
        <v>1</v>
      </c>
    </row>
    <row r="113" customFormat="1" ht="23" customHeight="1" spans="1:14">
      <c r="A113">
        <f t="shared" si="16"/>
        <v>1030241</v>
      </c>
      <c r="B113" s="7">
        <v>241</v>
      </c>
      <c r="C113">
        <f t="shared" si="17"/>
        <v>1300241</v>
      </c>
      <c r="D113" t="s">
        <v>150</v>
      </c>
      <c r="E113">
        <v>3</v>
      </c>
      <c r="F113" t="s">
        <v>47</v>
      </c>
      <c r="G113">
        <v>1</v>
      </c>
      <c r="H113">
        <v>1</v>
      </c>
      <c r="I113" t="s">
        <v>65</v>
      </c>
      <c r="J113">
        <f t="shared" si="15"/>
        <v>2030241</v>
      </c>
      <c r="K113" t="s">
        <v>66</v>
      </c>
      <c r="N113">
        <v>1</v>
      </c>
    </row>
    <row r="114" customFormat="1" ht="23" customHeight="1" spans="1:14">
      <c r="A114">
        <f t="shared" si="16"/>
        <v>1030242</v>
      </c>
      <c r="B114" s="7">
        <v>242</v>
      </c>
      <c r="C114">
        <f t="shared" si="17"/>
        <v>1300242</v>
      </c>
      <c r="D114" t="s">
        <v>151</v>
      </c>
      <c r="E114">
        <v>3</v>
      </c>
      <c r="F114" t="s">
        <v>47</v>
      </c>
      <c r="G114">
        <v>1</v>
      </c>
      <c r="H114">
        <v>1</v>
      </c>
      <c r="I114" t="s">
        <v>65</v>
      </c>
      <c r="J114">
        <f t="shared" si="15"/>
        <v>2030242</v>
      </c>
      <c r="K114" t="s">
        <v>66</v>
      </c>
      <c r="N114">
        <v>1</v>
      </c>
    </row>
    <row r="115" customFormat="1" ht="23" customHeight="1" spans="1:14">
      <c r="A115">
        <f t="shared" si="16"/>
        <v>1030243</v>
      </c>
      <c r="B115" s="7">
        <v>243</v>
      </c>
      <c r="C115">
        <f t="shared" si="17"/>
        <v>1300243</v>
      </c>
      <c r="D115" t="s">
        <v>152</v>
      </c>
      <c r="E115">
        <v>3</v>
      </c>
      <c r="F115" t="s">
        <v>47</v>
      </c>
      <c r="G115">
        <v>2</v>
      </c>
      <c r="H115">
        <v>1</v>
      </c>
      <c r="I115" t="s">
        <v>65</v>
      </c>
      <c r="J115">
        <f t="shared" si="15"/>
        <v>2030243</v>
      </c>
      <c r="K115" t="s">
        <v>66</v>
      </c>
      <c r="N115">
        <v>1</v>
      </c>
    </row>
    <row r="116" customFormat="1" ht="23" customHeight="1" spans="1:14">
      <c r="A116">
        <f t="shared" si="16"/>
        <v>1030244</v>
      </c>
      <c r="B116" s="7">
        <v>244</v>
      </c>
      <c r="C116">
        <f t="shared" si="17"/>
        <v>1300244</v>
      </c>
      <c r="D116" t="s">
        <v>153</v>
      </c>
      <c r="E116">
        <v>3</v>
      </c>
      <c r="F116" t="s">
        <v>47</v>
      </c>
      <c r="G116">
        <v>2</v>
      </c>
      <c r="H116">
        <v>1</v>
      </c>
      <c r="I116" t="s">
        <v>65</v>
      </c>
      <c r="J116">
        <f t="shared" si="15"/>
        <v>2030244</v>
      </c>
      <c r="K116" t="s">
        <v>66</v>
      </c>
      <c r="N116">
        <v>1</v>
      </c>
    </row>
    <row r="117" customFormat="1" ht="23" customHeight="1" spans="1:14">
      <c r="A117">
        <f t="shared" si="16"/>
        <v>1030245</v>
      </c>
      <c r="B117" s="7">
        <v>245</v>
      </c>
      <c r="C117">
        <f t="shared" si="17"/>
        <v>1300245</v>
      </c>
      <c r="D117" t="s">
        <v>154</v>
      </c>
      <c r="E117">
        <v>3</v>
      </c>
      <c r="F117" t="s">
        <v>47</v>
      </c>
      <c r="G117">
        <v>3</v>
      </c>
      <c r="H117">
        <v>1</v>
      </c>
      <c r="I117" t="s">
        <v>65</v>
      </c>
      <c r="J117">
        <f t="shared" si="15"/>
        <v>2030245</v>
      </c>
      <c r="K117" t="s">
        <v>66</v>
      </c>
      <c r="N117">
        <v>1</v>
      </c>
    </row>
    <row r="118" customFormat="1" ht="23" customHeight="1" spans="1:14">
      <c r="A118">
        <f t="shared" si="16"/>
        <v>1030246</v>
      </c>
      <c r="B118" s="7">
        <v>246</v>
      </c>
      <c r="C118">
        <f t="shared" si="17"/>
        <v>1300246</v>
      </c>
      <c r="D118" t="s">
        <v>155</v>
      </c>
      <c r="E118">
        <v>3</v>
      </c>
      <c r="F118" t="s">
        <v>47</v>
      </c>
      <c r="G118">
        <v>3</v>
      </c>
      <c r="H118">
        <v>1</v>
      </c>
      <c r="I118" t="s">
        <v>65</v>
      </c>
      <c r="J118">
        <f t="shared" si="15"/>
        <v>2030246</v>
      </c>
      <c r="K118" t="s">
        <v>66</v>
      </c>
      <c r="N118">
        <v>1</v>
      </c>
    </row>
    <row r="119" customFormat="1" ht="23" customHeight="1" spans="1:14">
      <c r="A119">
        <f t="shared" si="16"/>
        <v>1030247</v>
      </c>
      <c r="B119" s="7">
        <v>247</v>
      </c>
      <c r="C119">
        <f t="shared" si="17"/>
        <v>1300247</v>
      </c>
      <c r="D119" t="s">
        <v>156</v>
      </c>
      <c r="E119">
        <v>3</v>
      </c>
      <c r="F119" t="s">
        <v>47</v>
      </c>
      <c r="G119">
        <v>4</v>
      </c>
      <c r="H119">
        <v>1</v>
      </c>
      <c r="I119" t="s">
        <v>65</v>
      </c>
      <c r="J119">
        <f t="shared" si="15"/>
        <v>2030247</v>
      </c>
      <c r="K119" t="s">
        <v>66</v>
      </c>
      <c r="N119">
        <v>1</v>
      </c>
    </row>
    <row r="120" customFormat="1" ht="23" customHeight="1" spans="1:14">
      <c r="A120">
        <f t="shared" si="16"/>
        <v>1030248</v>
      </c>
      <c r="B120" s="7">
        <v>248</v>
      </c>
      <c r="C120">
        <f t="shared" si="17"/>
        <v>1300248</v>
      </c>
      <c r="D120" t="s">
        <v>157</v>
      </c>
      <c r="E120">
        <v>3</v>
      </c>
      <c r="F120" t="s">
        <v>47</v>
      </c>
      <c r="G120">
        <v>4</v>
      </c>
      <c r="H120">
        <v>1</v>
      </c>
      <c r="I120" t="s">
        <v>65</v>
      </c>
      <c r="J120">
        <f t="shared" si="15"/>
        <v>2030248</v>
      </c>
      <c r="K120" t="s">
        <v>66</v>
      </c>
      <c r="N120">
        <v>1</v>
      </c>
    </row>
    <row r="121" customFormat="1" ht="23" customHeight="1" spans="1:14">
      <c r="A121">
        <f t="shared" si="16"/>
        <v>1030249</v>
      </c>
      <c r="B121" s="7">
        <v>249</v>
      </c>
      <c r="C121">
        <f t="shared" si="17"/>
        <v>1300249</v>
      </c>
      <c r="D121" t="s">
        <v>158</v>
      </c>
      <c r="E121">
        <v>3</v>
      </c>
      <c r="F121" t="s">
        <v>47</v>
      </c>
      <c r="G121">
        <v>5</v>
      </c>
      <c r="H121">
        <v>1</v>
      </c>
      <c r="I121" t="s">
        <v>65</v>
      </c>
      <c r="J121">
        <f t="shared" si="15"/>
        <v>2030249</v>
      </c>
      <c r="K121" t="s">
        <v>66</v>
      </c>
      <c r="N121">
        <v>1</v>
      </c>
    </row>
    <row r="122" customFormat="1" ht="23" customHeight="1" spans="1:14">
      <c r="A122">
        <f t="shared" si="16"/>
        <v>1030250</v>
      </c>
      <c r="B122" s="7">
        <v>250</v>
      </c>
      <c r="C122">
        <f t="shared" si="17"/>
        <v>1300250</v>
      </c>
      <c r="D122" t="s">
        <v>159</v>
      </c>
      <c r="E122">
        <v>3</v>
      </c>
      <c r="F122" t="s">
        <v>47</v>
      </c>
      <c r="G122">
        <v>5</v>
      </c>
      <c r="H122">
        <v>1</v>
      </c>
      <c r="I122" t="s">
        <v>65</v>
      </c>
      <c r="J122">
        <f t="shared" si="15"/>
        <v>2030250</v>
      </c>
      <c r="K122" t="s">
        <v>66</v>
      </c>
      <c r="N122">
        <v>1</v>
      </c>
    </row>
    <row r="123" customFormat="1" ht="23" customHeight="1" spans="1:14">
      <c r="A123">
        <f t="shared" si="16"/>
        <v>1030251</v>
      </c>
      <c r="B123" s="7">
        <v>251</v>
      </c>
      <c r="C123">
        <f t="shared" si="17"/>
        <v>1300251</v>
      </c>
      <c r="D123" t="s">
        <v>160</v>
      </c>
      <c r="E123">
        <v>3</v>
      </c>
      <c r="F123" t="s">
        <v>47</v>
      </c>
      <c r="G123">
        <v>6</v>
      </c>
      <c r="H123">
        <v>1</v>
      </c>
      <c r="I123" t="s">
        <v>65</v>
      </c>
      <c r="J123">
        <f t="shared" si="15"/>
        <v>2030251</v>
      </c>
      <c r="K123" t="s">
        <v>66</v>
      </c>
      <c r="N123">
        <v>1</v>
      </c>
    </row>
    <row r="124" customFormat="1" ht="23" customHeight="1" spans="1:14">
      <c r="A124">
        <f t="shared" si="16"/>
        <v>1030252</v>
      </c>
      <c r="B124" s="7">
        <v>252</v>
      </c>
      <c r="C124">
        <f t="shared" si="17"/>
        <v>1300252</v>
      </c>
      <c r="D124" t="s">
        <v>161</v>
      </c>
      <c r="E124">
        <v>3</v>
      </c>
      <c r="F124" t="s">
        <v>47</v>
      </c>
      <c r="G124">
        <v>6</v>
      </c>
      <c r="H124">
        <v>1</v>
      </c>
      <c r="I124" t="s">
        <v>65</v>
      </c>
      <c r="J124">
        <f t="shared" si="15"/>
        <v>2030252</v>
      </c>
      <c r="K124" t="s">
        <v>66</v>
      </c>
      <c r="N124">
        <v>1</v>
      </c>
    </row>
    <row r="125" customFormat="1" ht="23" customHeight="1" spans="1:14">
      <c r="A125">
        <f t="shared" si="16"/>
        <v>1031001</v>
      </c>
      <c r="B125" s="7">
        <v>1001</v>
      </c>
      <c r="C125">
        <f t="shared" si="17"/>
        <v>1301001</v>
      </c>
      <c r="D125" s="7" t="s">
        <v>162</v>
      </c>
      <c r="E125">
        <v>3</v>
      </c>
      <c r="F125" t="s">
        <v>47</v>
      </c>
      <c r="G125">
        <v>1</v>
      </c>
      <c r="H125">
        <v>1</v>
      </c>
      <c r="I125" t="str">
        <f>"itemicon_"&amp;A125&amp;".png"</f>
        <v>itemicon_1031001.png</v>
      </c>
      <c r="J125">
        <f t="shared" si="15"/>
        <v>2031001</v>
      </c>
      <c r="L125">
        <v>2</v>
      </c>
      <c r="M125"/>
      <c r="N125">
        <v>1</v>
      </c>
    </row>
    <row r="126" customFormat="1" ht="23" customHeight="1" spans="1:14">
      <c r="A126">
        <f t="shared" si="16"/>
        <v>1031002</v>
      </c>
      <c r="B126" s="7">
        <v>1002</v>
      </c>
      <c r="C126">
        <f t="shared" si="17"/>
        <v>1301002</v>
      </c>
      <c r="D126" s="7" t="s">
        <v>163</v>
      </c>
      <c r="E126">
        <v>3</v>
      </c>
      <c r="F126" t="s">
        <v>47</v>
      </c>
      <c r="G126">
        <v>1</v>
      </c>
      <c r="H126">
        <v>1</v>
      </c>
      <c r="I126" t="str">
        <f>"itemicon_"&amp;A126&amp;".png"</f>
        <v>itemicon_1031002.png</v>
      </c>
      <c r="J126">
        <f t="shared" si="15"/>
        <v>2031002</v>
      </c>
      <c r="L126">
        <v>3</v>
      </c>
      <c r="M126"/>
      <c r="N126">
        <v>1</v>
      </c>
    </row>
    <row r="127" customFormat="1" ht="23" customHeight="1" spans="1:14">
      <c r="A127">
        <f t="shared" si="16"/>
        <v>1031201</v>
      </c>
      <c r="B127" s="7">
        <v>1201</v>
      </c>
      <c r="C127">
        <f t="shared" si="17"/>
        <v>1301201</v>
      </c>
      <c r="D127" t="s">
        <v>164</v>
      </c>
      <c r="E127">
        <v>3</v>
      </c>
      <c r="F127" t="s">
        <v>47</v>
      </c>
      <c r="G127">
        <v>1</v>
      </c>
      <c r="H127">
        <v>1</v>
      </c>
      <c r="I127" t="str">
        <f>"itemicon_"&amp;A127&amp;".png"</f>
        <v>itemicon_1031201.png</v>
      </c>
      <c r="J127">
        <f t="shared" si="15"/>
        <v>2031201</v>
      </c>
      <c r="L127">
        <v>1002</v>
      </c>
      <c r="M127"/>
      <c r="N127">
        <v>1</v>
      </c>
    </row>
    <row r="128" customFormat="1" ht="23" customHeight="1" spans="1:14">
      <c r="A128">
        <f t="shared" si="16"/>
        <v>1031202</v>
      </c>
      <c r="B128" s="7">
        <v>1202</v>
      </c>
      <c r="C128">
        <f t="shared" si="17"/>
        <v>1301202</v>
      </c>
      <c r="D128" t="s">
        <v>165</v>
      </c>
      <c r="E128">
        <v>3</v>
      </c>
      <c r="F128" t="s">
        <v>47</v>
      </c>
      <c r="G128">
        <v>1</v>
      </c>
      <c r="H128">
        <v>1</v>
      </c>
      <c r="I128" t="str">
        <f>"itemicon_"&amp;A128&amp;".png"</f>
        <v>itemicon_1031202.png</v>
      </c>
      <c r="J128">
        <f t="shared" si="15"/>
        <v>2031202</v>
      </c>
      <c r="L128">
        <v>1003</v>
      </c>
      <c r="M128"/>
      <c r="N128">
        <v>1</v>
      </c>
    </row>
    <row r="129" customFormat="1" ht="23" customHeight="1" spans="1:14">
      <c r="A129">
        <f t="shared" si="16"/>
        <v>1031350</v>
      </c>
      <c r="B129" s="7">
        <v>1350</v>
      </c>
      <c r="C129">
        <v>101801</v>
      </c>
      <c r="D129" t="s">
        <v>166</v>
      </c>
      <c r="E129">
        <v>3</v>
      </c>
      <c r="F129" t="s">
        <v>47</v>
      </c>
      <c r="G129">
        <v>1</v>
      </c>
      <c r="H129">
        <v>1</v>
      </c>
      <c r="I129" t="s">
        <v>167</v>
      </c>
      <c r="J129">
        <v>201801</v>
      </c>
      <c r="L129">
        <v>1801</v>
      </c>
      <c r="N129">
        <v>1</v>
      </c>
    </row>
    <row r="130" customFormat="1" ht="23" customHeight="1" spans="1:14">
      <c r="A130">
        <f t="shared" si="16"/>
        <v>1031351</v>
      </c>
      <c r="B130" s="7">
        <v>1351</v>
      </c>
      <c r="C130">
        <v>101802</v>
      </c>
      <c r="D130" t="s">
        <v>168</v>
      </c>
      <c r="E130">
        <v>3</v>
      </c>
      <c r="F130" t="s">
        <v>47</v>
      </c>
      <c r="G130">
        <v>1</v>
      </c>
      <c r="H130">
        <v>1</v>
      </c>
      <c r="I130" t="s">
        <v>169</v>
      </c>
      <c r="J130">
        <v>201802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3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>
        <v>1</v>
      </c>
      <c r="I131" t="str">
        <f t="shared" ref="I131:I144" si="20">"itemicon_"&amp;A131&amp;".png"</f>
        <v>itemicon_1021401.png</v>
      </c>
      <c r="J131">
        <f t="shared" ref="J131:J144" si="21">2000000+E131*10000+B131</f>
        <v>2021401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>
        <v>1</v>
      </c>
      <c r="I132" t="str">
        <f t="shared" si="20"/>
        <v>itemicon_1021402.png</v>
      </c>
      <c r="J132">
        <f t="shared" si="21"/>
        <v>2021402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1031601</v>
      </c>
      <c r="B133" s="7">
        <v>1601</v>
      </c>
      <c r="C133">
        <f t="shared" si="19"/>
        <v>1301601</v>
      </c>
      <c r="D133" s="11" t="s">
        <v>172</v>
      </c>
      <c r="E133">
        <v>3</v>
      </c>
      <c r="F133" t="s">
        <v>47</v>
      </c>
      <c r="G133">
        <v>1</v>
      </c>
      <c r="H133">
        <v>1</v>
      </c>
      <c r="I133" t="str">
        <f t="shared" si="20"/>
        <v>itemicon_1031601.png</v>
      </c>
      <c r="J133">
        <f t="shared" si="21"/>
        <v>2031601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1031602</v>
      </c>
      <c r="B134" s="7">
        <v>1602</v>
      </c>
      <c r="C134">
        <f t="shared" si="19"/>
        <v>1301602</v>
      </c>
      <c r="D134" s="11" t="s">
        <v>173</v>
      </c>
      <c r="E134">
        <v>3</v>
      </c>
      <c r="F134" t="s">
        <v>47</v>
      </c>
      <c r="G134">
        <v>1</v>
      </c>
      <c r="H134">
        <v>1</v>
      </c>
      <c r="I134" t="str">
        <f t="shared" si="20"/>
        <v>itemicon_1031602.png</v>
      </c>
      <c r="J134">
        <f t="shared" si="21"/>
        <v>2031602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1031801</v>
      </c>
      <c r="B135" s="7">
        <v>1801</v>
      </c>
      <c r="C135">
        <f t="shared" si="19"/>
        <v>1301801</v>
      </c>
      <c r="D135" s="12" t="s">
        <v>174</v>
      </c>
      <c r="E135">
        <v>3</v>
      </c>
      <c r="F135" t="s">
        <v>47</v>
      </c>
      <c r="G135">
        <v>1</v>
      </c>
      <c r="H135">
        <v>1</v>
      </c>
      <c r="I135" t="str">
        <f t="shared" si="20"/>
        <v>itemicon_1031801.png</v>
      </c>
      <c r="J135">
        <f t="shared" si="21"/>
        <v>2031801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1031802</v>
      </c>
      <c r="B136" s="7">
        <v>1802</v>
      </c>
      <c r="C136">
        <f t="shared" si="19"/>
        <v>1301802</v>
      </c>
      <c r="D136" s="12" t="s">
        <v>175</v>
      </c>
      <c r="E136">
        <v>3</v>
      </c>
      <c r="F136" t="s">
        <v>47</v>
      </c>
      <c r="G136">
        <v>1</v>
      </c>
      <c r="H136">
        <v>1</v>
      </c>
      <c r="I136" t="str">
        <f t="shared" si="20"/>
        <v>itemicon_1031802.png</v>
      </c>
      <c r="J136">
        <f t="shared" si="21"/>
        <v>2031802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1032001</v>
      </c>
      <c r="B137" s="7">
        <v>2001</v>
      </c>
      <c r="C137">
        <f t="shared" si="19"/>
        <v>1302001</v>
      </c>
      <c r="D137" s="13" t="s">
        <v>176</v>
      </c>
      <c r="E137">
        <v>3</v>
      </c>
      <c r="F137" t="s">
        <v>47</v>
      </c>
      <c r="G137">
        <v>1</v>
      </c>
      <c r="H137">
        <v>1</v>
      </c>
      <c r="I137" t="str">
        <f t="shared" si="20"/>
        <v>itemicon_1032001.png</v>
      </c>
      <c r="J137">
        <f t="shared" si="21"/>
        <v>2032001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1032002</v>
      </c>
      <c r="B138" s="7">
        <v>2002</v>
      </c>
      <c r="C138">
        <f t="shared" si="19"/>
        <v>1302002</v>
      </c>
      <c r="D138" s="13" t="s">
        <v>177</v>
      </c>
      <c r="E138">
        <v>3</v>
      </c>
      <c r="F138" t="s">
        <v>47</v>
      </c>
      <c r="G138">
        <v>1</v>
      </c>
      <c r="H138">
        <v>1</v>
      </c>
      <c r="I138" t="str">
        <f t="shared" si="20"/>
        <v>itemicon_1032002.png</v>
      </c>
      <c r="J138">
        <f t="shared" si="21"/>
        <v>2032002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1032201</v>
      </c>
      <c r="B139" s="7">
        <v>2201</v>
      </c>
      <c r="C139">
        <f t="shared" si="19"/>
        <v>1302201</v>
      </c>
      <c r="D139" s="14" t="s">
        <v>178</v>
      </c>
      <c r="E139">
        <v>3</v>
      </c>
      <c r="F139" t="s">
        <v>47</v>
      </c>
      <c r="G139">
        <v>1</v>
      </c>
      <c r="H139">
        <v>1</v>
      </c>
      <c r="I139" t="str">
        <f t="shared" si="20"/>
        <v>itemicon_1032201.png</v>
      </c>
      <c r="J139">
        <f t="shared" si="21"/>
        <v>2032201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1032202</v>
      </c>
      <c r="B140" s="7">
        <v>2202</v>
      </c>
      <c r="C140">
        <f t="shared" si="19"/>
        <v>1302202</v>
      </c>
      <c r="D140" s="14" t="s">
        <v>179</v>
      </c>
      <c r="E140">
        <v>3</v>
      </c>
      <c r="F140" t="s">
        <v>47</v>
      </c>
      <c r="G140">
        <v>1</v>
      </c>
      <c r="H140">
        <v>1</v>
      </c>
      <c r="I140" t="str">
        <f t="shared" si="20"/>
        <v>itemicon_1032202.png</v>
      </c>
      <c r="J140">
        <f t="shared" si="21"/>
        <v>2032202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>
        <v>0</v>
      </c>
      <c r="I141" t="str">
        <f t="shared" si="20"/>
        <v>itemicon_1022501.png</v>
      </c>
      <c r="J141">
        <f t="shared" si="21"/>
        <v>2022501</v>
      </c>
      <c r="K141" t="s">
        <v>181</v>
      </c>
      <c r="N141">
        <v>999</v>
      </c>
    </row>
    <row r="142" customFormat="1" ht="18" customHeight="1" spans="1:14">
      <c r="A142">
        <f t="shared" si="18"/>
        <v>1022502</v>
      </c>
      <c r="B142">
        <v>2502</v>
      </c>
      <c r="C142">
        <f t="shared" si="19"/>
        <v>1202502</v>
      </c>
      <c r="D142" t="s">
        <v>182</v>
      </c>
      <c r="E142">
        <v>2</v>
      </c>
      <c r="F142" t="s">
        <v>47</v>
      </c>
      <c r="G142">
        <v>1</v>
      </c>
      <c r="H142">
        <v>0</v>
      </c>
      <c r="I142" t="s">
        <v>183</v>
      </c>
      <c r="J142">
        <f t="shared" si="21"/>
        <v>2022502</v>
      </c>
      <c r="K142" t="s">
        <v>184</v>
      </c>
      <c r="N142">
        <v>999</v>
      </c>
    </row>
    <row r="143" customFormat="1" ht="18" customHeight="1" spans="1:14">
      <c r="A143">
        <f t="shared" si="18"/>
        <v>1022503</v>
      </c>
      <c r="B143">
        <v>2503</v>
      </c>
      <c r="C143">
        <f t="shared" si="19"/>
        <v>1202503</v>
      </c>
      <c r="D143" t="s">
        <v>185</v>
      </c>
      <c r="E143">
        <v>2</v>
      </c>
      <c r="F143" t="s">
        <v>47</v>
      </c>
      <c r="G143">
        <v>1</v>
      </c>
      <c r="H143">
        <v>0</v>
      </c>
      <c r="I143" t="s">
        <v>183</v>
      </c>
      <c r="J143">
        <f t="shared" si="21"/>
        <v>2022503</v>
      </c>
      <c r="K143" t="s">
        <v>184</v>
      </c>
      <c r="N143">
        <v>999</v>
      </c>
    </row>
    <row r="144" customFormat="1" ht="21" customHeight="1" spans="1:14">
      <c r="A144">
        <v>1023001</v>
      </c>
      <c r="B144" s="7"/>
      <c r="C144">
        <v>1023001</v>
      </c>
      <c r="D144" t="s">
        <v>186</v>
      </c>
      <c r="E144">
        <v>2</v>
      </c>
      <c r="F144" t="s">
        <v>47</v>
      </c>
      <c r="G144">
        <v>2</v>
      </c>
      <c r="H144">
        <v>0</v>
      </c>
      <c r="I144" t="s">
        <v>187</v>
      </c>
      <c r="J144">
        <v>2023001</v>
      </c>
      <c r="K144" t="s">
        <v>188</v>
      </c>
      <c r="N144">
        <v>999</v>
      </c>
    </row>
    <row r="145" customFormat="1" ht="21" customHeight="1" spans="1:14">
      <c r="A145">
        <v>1023002</v>
      </c>
      <c r="B145" s="7"/>
      <c r="C145">
        <v>1023002</v>
      </c>
      <c r="D145" t="s">
        <v>189</v>
      </c>
      <c r="E145">
        <v>2</v>
      </c>
      <c r="F145" t="s">
        <v>47</v>
      </c>
      <c r="G145">
        <v>3</v>
      </c>
      <c r="H145">
        <v>0</v>
      </c>
      <c r="I145" t="s">
        <v>190</v>
      </c>
      <c r="J145">
        <v>2023002</v>
      </c>
      <c r="K145" t="s">
        <v>188</v>
      </c>
      <c r="N145">
        <v>999</v>
      </c>
    </row>
    <row r="146" customFormat="1" ht="21" customHeight="1" spans="1:14">
      <c r="A146">
        <v>1023003</v>
      </c>
      <c r="B146" s="7"/>
      <c r="C146">
        <v>1023003</v>
      </c>
      <c r="D146" t="s">
        <v>191</v>
      </c>
      <c r="E146">
        <v>2</v>
      </c>
      <c r="F146" t="s">
        <v>47</v>
      </c>
      <c r="G146">
        <v>4</v>
      </c>
      <c r="H146">
        <v>0</v>
      </c>
      <c r="I146" t="s">
        <v>192</v>
      </c>
      <c r="J146">
        <v>2023003</v>
      </c>
      <c r="K146" t="s">
        <v>188</v>
      </c>
      <c r="N146">
        <v>999</v>
      </c>
    </row>
    <row r="147" customFormat="1" ht="21" customHeight="1" spans="1:14">
      <c r="A147">
        <v>1023004</v>
      </c>
      <c r="B147" s="7"/>
      <c r="C147">
        <v>1023004</v>
      </c>
      <c r="D147" t="s">
        <v>193</v>
      </c>
      <c r="E147">
        <v>2</v>
      </c>
      <c r="F147" t="s">
        <v>47</v>
      </c>
      <c r="G147">
        <v>5</v>
      </c>
      <c r="H147">
        <v>0</v>
      </c>
      <c r="I147" t="s">
        <v>194</v>
      </c>
      <c r="J147">
        <v>2023004</v>
      </c>
      <c r="K147" t="s">
        <v>188</v>
      </c>
      <c r="N147">
        <v>999</v>
      </c>
    </row>
    <row r="148" customFormat="1" ht="21" customHeight="1" spans="1:14">
      <c r="A148">
        <v>1023005</v>
      </c>
      <c r="B148" s="7"/>
      <c r="C148">
        <v>1023005</v>
      </c>
      <c r="D148" t="s">
        <v>195</v>
      </c>
      <c r="E148">
        <v>2</v>
      </c>
      <c r="F148" t="s">
        <v>47</v>
      </c>
      <c r="G148">
        <v>6</v>
      </c>
      <c r="H148">
        <v>0</v>
      </c>
      <c r="I148" t="s">
        <v>196</v>
      </c>
      <c r="J148">
        <v>2023005</v>
      </c>
      <c r="K148" t="s">
        <v>188</v>
      </c>
      <c r="N148">
        <v>999</v>
      </c>
    </row>
    <row r="149" customFormat="1" ht="21" customHeight="1" spans="1:14">
      <c r="A149">
        <v>1023101</v>
      </c>
      <c r="B149" s="7"/>
      <c r="C149">
        <v>1023101</v>
      </c>
      <c r="D149" t="s">
        <v>197</v>
      </c>
      <c r="E149">
        <v>2</v>
      </c>
      <c r="F149" t="s">
        <v>47</v>
      </c>
      <c r="G149">
        <v>2</v>
      </c>
      <c r="H149">
        <v>0</v>
      </c>
      <c r="I149" t="s">
        <v>198</v>
      </c>
      <c r="J149">
        <v>2023101</v>
      </c>
      <c r="K149" t="s">
        <v>199</v>
      </c>
      <c r="N149">
        <v>999</v>
      </c>
    </row>
    <row r="150" customFormat="1" ht="21" customHeight="1" spans="1:14">
      <c r="A150">
        <v>1023102</v>
      </c>
      <c r="B150" s="7"/>
      <c r="C150">
        <v>1023102</v>
      </c>
      <c r="D150" t="s">
        <v>200</v>
      </c>
      <c r="E150">
        <v>2</v>
      </c>
      <c r="F150" t="s">
        <v>47</v>
      </c>
      <c r="G150">
        <v>3</v>
      </c>
      <c r="H150">
        <v>0</v>
      </c>
      <c r="I150" t="s">
        <v>201</v>
      </c>
      <c r="J150">
        <v>2023102</v>
      </c>
      <c r="K150" t="s">
        <v>199</v>
      </c>
      <c r="N150">
        <v>999</v>
      </c>
    </row>
    <row r="151" customFormat="1" ht="21" customHeight="1" spans="1:14">
      <c r="A151">
        <v>1023103</v>
      </c>
      <c r="B151" s="7"/>
      <c r="C151">
        <v>1023103</v>
      </c>
      <c r="D151" t="s">
        <v>202</v>
      </c>
      <c r="E151">
        <v>2</v>
      </c>
      <c r="F151" t="s">
        <v>47</v>
      </c>
      <c r="G151">
        <v>4</v>
      </c>
      <c r="H151">
        <v>0</v>
      </c>
      <c r="I151" t="s">
        <v>203</v>
      </c>
      <c r="J151">
        <v>2023103</v>
      </c>
      <c r="K151" t="s">
        <v>199</v>
      </c>
      <c r="N151">
        <v>999</v>
      </c>
    </row>
    <row r="152" customFormat="1" ht="21" customHeight="1" spans="1:14">
      <c r="A152">
        <v>1023104</v>
      </c>
      <c r="B152" s="7"/>
      <c r="C152">
        <v>1023104</v>
      </c>
      <c r="D152" t="s">
        <v>204</v>
      </c>
      <c r="E152">
        <v>2</v>
      </c>
      <c r="F152" t="s">
        <v>47</v>
      </c>
      <c r="G152">
        <v>5</v>
      </c>
      <c r="H152">
        <v>0</v>
      </c>
      <c r="I152" t="s">
        <v>205</v>
      </c>
      <c r="J152">
        <v>2023104</v>
      </c>
      <c r="K152" t="s">
        <v>199</v>
      </c>
      <c r="N152">
        <v>999</v>
      </c>
    </row>
    <row r="153" customFormat="1" ht="21" customHeight="1" spans="1:14">
      <c r="A153">
        <v>1023105</v>
      </c>
      <c r="B153" s="7"/>
      <c r="C153">
        <v>1023105</v>
      </c>
      <c r="D153" t="s">
        <v>206</v>
      </c>
      <c r="E153">
        <v>2</v>
      </c>
      <c r="F153" t="s">
        <v>47</v>
      </c>
      <c r="G153">
        <v>6</v>
      </c>
      <c r="H153">
        <v>0</v>
      </c>
      <c r="I153" t="s">
        <v>207</v>
      </c>
      <c r="J153">
        <v>2023105</v>
      </c>
      <c r="K153" t="s">
        <v>199</v>
      </c>
      <c r="N153">
        <v>999</v>
      </c>
    </row>
    <row r="154" customFormat="1" ht="21" customHeight="1" spans="1:14">
      <c r="A154">
        <v>1023201</v>
      </c>
      <c r="B154" s="7"/>
      <c r="C154">
        <v>1023201</v>
      </c>
      <c r="D154" t="s">
        <v>208</v>
      </c>
      <c r="E154">
        <v>2</v>
      </c>
      <c r="F154" t="s">
        <v>47</v>
      </c>
      <c r="G154">
        <v>2</v>
      </c>
      <c r="H154">
        <v>0</v>
      </c>
      <c r="I154" t="s">
        <v>209</v>
      </c>
      <c r="J154">
        <v>2023201</v>
      </c>
      <c r="K154" t="s">
        <v>210</v>
      </c>
      <c r="N154">
        <v>999</v>
      </c>
    </row>
    <row r="155" customFormat="1" ht="21" customHeight="1" spans="1:14">
      <c r="A155">
        <v>1023202</v>
      </c>
      <c r="B155" s="7"/>
      <c r="C155">
        <v>1023202</v>
      </c>
      <c r="D155" t="s">
        <v>211</v>
      </c>
      <c r="E155">
        <v>2</v>
      </c>
      <c r="F155" t="s">
        <v>47</v>
      </c>
      <c r="G155">
        <v>3</v>
      </c>
      <c r="H155">
        <v>0</v>
      </c>
      <c r="I155" t="s">
        <v>212</v>
      </c>
      <c r="J155">
        <v>2023202</v>
      </c>
      <c r="K155" t="s">
        <v>210</v>
      </c>
      <c r="N155">
        <v>999</v>
      </c>
    </row>
    <row r="156" customFormat="1" ht="21" customHeight="1" spans="1:14">
      <c r="A156">
        <v>1023203</v>
      </c>
      <c r="B156" s="7"/>
      <c r="C156">
        <v>1023203</v>
      </c>
      <c r="D156" t="s">
        <v>213</v>
      </c>
      <c r="E156">
        <v>2</v>
      </c>
      <c r="F156" t="s">
        <v>47</v>
      </c>
      <c r="G156">
        <v>4</v>
      </c>
      <c r="H156">
        <v>0</v>
      </c>
      <c r="I156" t="s">
        <v>214</v>
      </c>
      <c r="J156">
        <v>2023203</v>
      </c>
      <c r="K156" t="s">
        <v>210</v>
      </c>
      <c r="N156">
        <v>999</v>
      </c>
    </row>
    <row r="157" customFormat="1" ht="21" customHeight="1" spans="1:14">
      <c r="A157">
        <v>1023204</v>
      </c>
      <c r="B157" s="7"/>
      <c r="C157">
        <v>1023204</v>
      </c>
      <c r="D157" t="s">
        <v>215</v>
      </c>
      <c r="E157">
        <v>2</v>
      </c>
      <c r="F157" t="s">
        <v>47</v>
      </c>
      <c r="G157">
        <v>5</v>
      </c>
      <c r="H157">
        <v>0</v>
      </c>
      <c r="I157" t="s">
        <v>216</v>
      </c>
      <c r="J157">
        <v>2023204</v>
      </c>
      <c r="K157" t="s">
        <v>210</v>
      </c>
      <c r="N157">
        <v>999</v>
      </c>
    </row>
    <row r="158" customFormat="1" ht="21" customHeight="1" spans="1:14">
      <c r="A158">
        <v>1023205</v>
      </c>
      <c r="B158" s="7"/>
      <c r="C158">
        <v>1023205</v>
      </c>
      <c r="D158" t="s">
        <v>217</v>
      </c>
      <c r="E158">
        <v>2</v>
      </c>
      <c r="F158" t="s">
        <v>47</v>
      </c>
      <c r="G158">
        <v>6</v>
      </c>
      <c r="H158">
        <v>0</v>
      </c>
      <c r="I158" t="s">
        <v>218</v>
      </c>
      <c r="J158">
        <v>2023205</v>
      </c>
      <c r="K158" t="s">
        <v>210</v>
      </c>
      <c r="N158">
        <v>999</v>
      </c>
    </row>
    <row r="159" customFormat="1" ht="21" customHeight="1" spans="1:14">
      <c r="A159">
        <v>1023301</v>
      </c>
      <c r="B159" s="7"/>
      <c r="C159">
        <v>1023301</v>
      </c>
      <c r="D159" t="s">
        <v>219</v>
      </c>
      <c r="E159">
        <v>2</v>
      </c>
      <c r="F159" t="s">
        <v>47</v>
      </c>
      <c r="G159">
        <v>2</v>
      </c>
      <c r="H159">
        <v>0</v>
      </c>
      <c r="I159" t="s">
        <v>220</v>
      </c>
      <c r="J159">
        <v>2023301</v>
      </c>
      <c r="K159" t="s">
        <v>221</v>
      </c>
      <c r="N159">
        <v>999</v>
      </c>
    </row>
    <row r="160" customFormat="1" ht="21" customHeight="1" spans="1:14">
      <c r="A160">
        <v>1023302</v>
      </c>
      <c r="B160" s="7"/>
      <c r="C160">
        <v>1023302</v>
      </c>
      <c r="D160" t="s">
        <v>222</v>
      </c>
      <c r="E160">
        <v>2</v>
      </c>
      <c r="F160" t="s">
        <v>47</v>
      </c>
      <c r="G160">
        <v>3</v>
      </c>
      <c r="H160">
        <v>0</v>
      </c>
      <c r="I160" t="s">
        <v>223</v>
      </c>
      <c r="J160">
        <v>2023302</v>
      </c>
      <c r="K160" t="s">
        <v>221</v>
      </c>
      <c r="N160">
        <v>999</v>
      </c>
    </row>
    <row r="161" customFormat="1" ht="21" customHeight="1" spans="1:14">
      <c r="A161">
        <v>1023303</v>
      </c>
      <c r="B161" s="7"/>
      <c r="C161">
        <v>1023303</v>
      </c>
      <c r="D161" t="s">
        <v>224</v>
      </c>
      <c r="E161">
        <v>2</v>
      </c>
      <c r="F161" t="s">
        <v>47</v>
      </c>
      <c r="G161">
        <v>4</v>
      </c>
      <c r="H161">
        <v>0</v>
      </c>
      <c r="I161" t="s">
        <v>225</v>
      </c>
      <c r="J161">
        <v>2023303</v>
      </c>
      <c r="K161" t="s">
        <v>221</v>
      </c>
      <c r="N161">
        <v>999</v>
      </c>
    </row>
    <row r="162" customFormat="1" ht="21" customHeight="1" spans="1:14">
      <c r="A162">
        <v>1023304</v>
      </c>
      <c r="B162" s="7"/>
      <c r="C162">
        <v>1023304</v>
      </c>
      <c r="D162" t="s">
        <v>226</v>
      </c>
      <c r="E162">
        <v>2</v>
      </c>
      <c r="F162" t="s">
        <v>47</v>
      </c>
      <c r="G162">
        <v>5</v>
      </c>
      <c r="H162">
        <v>0</v>
      </c>
      <c r="I162" t="s">
        <v>227</v>
      </c>
      <c r="J162">
        <v>2023304</v>
      </c>
      <c r="K162" t="s">
        <v>221</v>
      </c>
      <c r="N162">
        <v>999</v>
      </c>
    </row>
    <row r="163" customFormat="1" ht="21" customHeight="1" spans="1:14">
      <c r="A163">
        <v>1023305</v>
      </c>
      <c r="B163" s="7"/>
      <c r="C163">
        <v>1023305</v>
      </c>
      <c r="D163" t="s">
        <v>228</v>
      </c>
      <c r="E163">
        <v>2</v>
      </c>
      <c r="F163" t="s">
        <v>47</v>
      </c>
      <c r="G163">
        <v>6</v>
      </c>
      <c r="H163">
        <v>0</v>
      </c>
      <c r="I163" t="s">
        <v>229</v>
      </c>
      <c r="J163">
        <v>2023305</v>
      </c>
      <c r="K163" t="s">
        <v>221</v>
      </c>
      <c r="N163">
        <v>999</v>
      </c>
    </row>
    <row r="164" customFormat="1" ht="21" customHeight="1" spans="1:14">
      <c r="A164">
        <v>1023401</v>
      </c>
      <c r="B164" s="7"/>
      <c r="C164">
        <v>1023401</v>
      </c>
      <c r="D164" t="s">
        <v>230</v>
      </c>
      <c r="E164">
        <v>2</v>
      </c>
      <c r="F164" t="s">
        <v>47</v>
      </c>
      <c r="G164">
        <v>2</v>
      </c>
      <c r="H164">
        <v>0</v>
      </c>
      <c r="I164" t="s">
        <v>231</v>
      </c>
      <c r="J164">
        <v>2023401</v>
      </c>
      <c r="K164" t="s">
        <v>232</v>
      </c>
      <c r="N164">
        <v>999</v>
      </c>
    </row>
    <row r="165" customFormat="1" ht="21" customHeight="1" spans="1:14">
      <c r="A165">
        <v>1023402</v>
      </c>
      <c r="B165" s="7"/>
      <c r="C165">
        <v>1023402</v>
      </c>
      <c r="D165" t="s">
        <v>233</v>
      </c>
      <c r="E165">
        <v>2</v>
      </c>
      <c r="F165" t="s">
        <v>47</v>
      </c>
      <c r="G165">
        <v>3</v>
      </c>
      <c r="H165">
        <v>0</v>
      </c>
      <c r="I165" t="s">
        <v>234</v>
      </c>
      <c r="J165">
        <v>2023402</v>
      </c>
      <c r="K165" t="s">
        <v>232</v>
      </c>
      <c r="N165">
        <v>999</v>
      </c>
    </row>
    <row r="166" customFormat="1" ht="21" customHeight="1" spans="1:14">
      <c r="A166">
        <v>1023403</v>
      </c>
      <c r="B166" s="7"/>
      <c r="C166">
        <v>1023403</v>
      </c>
      <c r="D166" t="s">
        <v>235</v>
      </c>
      <c r="E166">
        <v>2</v>
      </c>
      <c r="F166" t="s">
        <v>47</v>
      </c>
      <c r="G166">
        <v>4</v>
      </c>
      <c r="H166">
        <v>0</v>
      </c>
      <c r="I166" t="s">
        <v>236</v>
      </c>
      <c r="J166">
        <v>2023403</v>
      </c>
      <c r="K166" t="s">
        <v>232</v>
      </c>
      <c r="N166">
        <v>999</v>
      </c>
    </row>
    <row r="167" customFormat="1" ht="21" customHeight="1" spans="1:14">
      <c r="A167">
        <v>1023404</v>
      </c>
      <c r="B167" s="7"/>
      <c r="C167">
        <v>1023404</v>
      </c>
      <c r="D167" t="s">
        <v>237</v>
      </c>
      <c r="E167">
        <v>2</v>
      </c>
      <c r="F167" t="s">
        <v>47</v>
      </c>
      <c r="G167">
        <v>5</v>
      </c>
      <c r="H167">
        <v>0</v>
      </c>
      <c r="I167" t="s">
        <v>238</v>
      </c>
      <c r="J167">
        <v>2023404</v>
      </c>
      <c r="K167" t="s">
        <v>232</v>
      </c>
      <c r="N167">
        <v>999</v>
      </c>
    </row>
    <row r="168" customFormat="1" ht="21" customHeight="1" spans="1:14">
      <c r="A168">
        <v>1023405</v>
      </c>
      <c r="B168" s="7"/>
      <c r="C168">
        <v>1023405</v>
      </c>
      <c r="D168" t="s">
        <v>239</v>
      </c>
      <c r="E168">
        <v>2</v>
      </c>
      <c r="F168" t="s">
        <v>47</v>
      </c>
      <c r="G168">
        <v>6</v>
      </c>
      <c r="H168">
        <v>0</v>
      </c>
      <c r="I168" t="s">
        <v>240</v>
      </c>
      <c r="J168">
        <v>2023405</v>
      </c>
      <c r="K168" t="s">
        <v>232</v>
      </c>
      <c r="N168">
        <v>999</v>
      </c>
    </row>
    <row r="169" ht="21" customHeight="1" spans="1:14">
      <c r="A169">
        <f>1000000+E169*10000+B169</f>
        <v>1990000</v>
      </c>
      <c r="B169" s="7">
        <v>0</v>
      </c>
      <c r="C169">
        <v>1990000</v>
      </c>
      <c r="D169" t="s">
        <v>241</v>
      </c>
      <c r="E169">
        <v>99</v>
      </c>
      <c r="F169" t="s">
        <v>242</v>
      </c>
      <c r="G169">
        <v>1</v>
      </c>
      <c r="H169">
        <v>0</v>
      </c>
      <c r="I169" t="str">
        <f>"itemicon_"&amp;A169&amp;".png"</f>
        <v>itemicon_1990000.png</v>
      </c>
      <c r="J169">
        <f>2000000+E169*10000+B169</f>
        <v>2990000</v>
      </c>
      <c r="K169" t="s">
        <v>243</v>
      </c>
      <c r="N169">
        <v>-1</v>
      </c>
    </row>
    <row r="170" ht="21" customHeight="1" spans="1:14">
      <c r="A170">
        <f>1000000+E170*10000+B170</f>
        <v>1980000</v>
      </c>
      <c r="B170" s="7">
        <v>0</v>
      </c>
      <c r="C170">
        <v>1980000</v>
      </c>
      <c r="D170" t="s">
        <v>244</v>
      </c>
      <c r="E170">
        <v>98</v>
      </c>
      <c r="F170" t="s">
        <v>242</v>
      </c>
      <c r="G170">
        <v>1</v>
      </c>
      <c r="H170">
        <v>0</v>
      </c>
      <c r="I170" t="str">
        <f>"itemicon_"&amp;A170&amp;".png"</f>
        <v>itemicon_1980000.png</v>
      </c>
      <c r="J170">
        <f>2000000+E170*10000+B170</f>
        <v>2980000</v>
      </c>
      <c r="K170" t="s">
        <v>245</v>
      </c>
      <c r="N170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2025-09-16T10:00:26Z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