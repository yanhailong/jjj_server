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96：赛季币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1、表示研究点总类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针对各类需要的指定条件，与服务器约定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填写：jumpData.xlsx 中的ID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2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2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2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<sst xmlns="http://schemas.openxmlformats.org/spreadsheetml/2006/main" count="1337" uniqueCount="825">
  <si>
    <t>道具ID</t>
  </si>
  <si>
    <t>名称多语言ID</t>
  </si>
  <si>
    <t>备注</t>
  </si>
  <si>
    <t>类型</t>
  </si>
  <si>
    <t>具体道具分类</t>
  </si>
  <si>
    <t>指定条件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</si>
  <si>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</si>
  <si>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</si>
  <si>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</si>
  <si>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</si>
  <si>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</si>
  <si>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</si>
  <si>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#备注</t>
  </si>
  <si>
    <t>激活的装扮</t>
  </si>
  <si>
    <t>自动激活的图鉴ID</t>
  </si>
  <si>
    <t>最大堆叠数量</t>
  </si>
  <si>
    <t>使用道具后获得固定道具</t>
  </si>
  <si>
    <t>使用道具后选择获得道具</t>
  </si>
  <si>
    <t>掉落ID</t>
  </si>
  <si>
    <t>价值/美元</t>
  </si>
  <si>
    <t>跳转ID</t>
  </si>
  <si>
    <t>int</t>
  </si>
  <si>
    <t>string</t>
  </si>
  <si>
    <t>bool</t>
  </si>
  <si>
    <t>map&lt;int{_}long&gt;{;}</t>
  </si>
  <si>
    <t>list&lt;int&gt;{_}</t>
  </si>
  <si>
    <t>id</t>
  </si>
  <si>
    <t>name</t>
  </si>
  <si>
    <t>type</t>
  </si>
  <si>
    <t>ItemType</t>
  </si>
  <si>
    <t>TargetCondition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</si>
  <si>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</si>
  <si>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</si>
  <si>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</si>
  <si>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</si>
  <si>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</si>
  <si>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</si>
  <si>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</si>
  <si>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</si>
  <si>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</si>
  <si>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</si>
  <si>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SelectGetItem</t>
  </si>
  <si>
    <t>dropId</t>
  </si>
  <si>
    <t>jumpId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</si>
  <si>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</si>
  <si>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</si>
  <si>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</si>
  <si>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</si>
  <si>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</si>
  <si>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</si>
  <si>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</si>
  <si>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</si>
  <si>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</si>
  <si>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</si>
  <si>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赛季币</t>
  </si>
  <si>
    <t>daoju_sjb.png</t>
  </si>
  <si>
    <t>在赛季玩法中使用的货币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</si>
  <si>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</si>
  <si>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</si>
  <si>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</si>
  <si>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</si>
  <si>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</si>
  <si>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</si>
  <si>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</si>
  <si>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</si>
  <si>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</si>
  <si>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</si>
  <si>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</si>
  <si>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</si>
  <si>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娱乐城经验</t>
  </si>
  <si>
    <t>daoju_jzsjjyz.png</t>
  </si>
  <si>
    <t>[SLOT游戏建筑]中每分钟产出一定数量</t>
  </si>
  <si>
    <t>赌场工具（普通）</t>
  </si>
  <si>
    <t>可使用道具</t>
  </si>
  <si>
    <t>wdcc_ccb_1.png</t>
  </si>
  <si>
    <t>使用后获得礼包内全部道具</t>
  </si>
  <si>
    <t>1023001_10;1023002_20;1023003_30</t>
  </si>
  <si>
    <t>赌场工具（精良）</t>
  </si>
  <si>
    <t>wdcc_ccb_2.png</t>
  </si>
  <si>
    <t>赌场工具（优秀）</t>
  </si>
  <si>
    <t>wdcc_ccb_3.png</t>
  </si>
  <si>
    <t>赌场工具（绝佳）</t>
  </si>
  <si>
    <t>itemicon_1010101.png</t>
  </si>
  <si>
    <t>赌场工具（传奇）</t>
  </si>
  <si>
    <t>公关经理碎片(普通)</t>
  </si>
  <si>
    <t>礼包内有公关经理雇员碎片[奥利维亚碎片*10;玛格丽特碎片*8;]，仅选择一种碎片获取。\n&lt;color=#00bfff&gt; 获取途径：&lt;/color&gt;&lt;color=#00ffff&gt;参加S1赛季并且获得前50排名可获得此道具。&lt;/color&gt;</t>
  </si>
  <si>
    <t>1028002_10;1028102_8</t>
  </si>
  <si>
    <t>游戏经理碎片(普通)</t>
  </si>
  <si>
    <t>礼包内有游戏经理雇员碎片[威廉碎片*10;艾娃碎片*6;]，仅选择一种碎片获取。\n&lt;color=#00bfff&gt; 获取途径：&lt;/color&gt;&lt;color=#00ffff&gt;参加S1赛季并且获得前50排名可获得此道具。&lt;/color&gt;</t>
  </si>
  <si>
    <t>1026001_10;1026202_6</t>
  </si>
  <si>
    <t>服务经理碎片(普通)</t>
  </si>
  <si>
    <t>礼包内有服务经理雇员碎片[拉斐尔碎片*10;克拉拉碎片*2]，仅选择一种碎片获取。\n&lt;color=#00bfff&gt; 获取途径：&lt;/color&gt;&lt;color=#00ffff&gt;参加S1赛季并且获得前50排名可获得此道具。&lt;/color&gt;</t>
  </si>
  <si>
    <t>1027001_10;1027402_2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</si>
  <si>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</si>
  <si>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</si>
  <si>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</si>
  <si>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</si>
  <si>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</si>
  <si>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</si>
  <si>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</si>
  <si>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</si>
  <si>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</si>
  <si>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</si>
  <si>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</si>
  <si>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</si>
  <si>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</si>
  <si>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</si>
  <si>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</si>
  <si>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</si>
  <si>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</si>
  <si>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</si>
  <si>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</si>
  <si>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</si>
  <si>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</si>
  <si>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</si>
  <si>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</si>
  <si>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</si>
  <si>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</si>
  <si>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</si>
  <si>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</si>
  <si>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</si>
  <si>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</si>
  <si>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</si>
  <si>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</si>
  <si>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</si>
  <si>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</si>
  <si>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</si>
  <si>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</si>
  <si>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</si>
  <si>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</si>
  <si>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</si>
  <si>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</si>
  <si>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</si>
  <si>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</si>
  <si>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</si>
  <si>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</si>
  <si>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</si>
  <si>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</si>
  <si>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</si>
  <si>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</si>
  <si>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</si>
  <si>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</si>
  <si>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</si>
  <si>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</si>
  <si>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</si>
  <si>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</si>
  <si>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</si>
  <si>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</si>
  <si>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</si>
  <si>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</si>
  <si>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</si>
  <si>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</si>
  <si>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</si>
  <si>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</si>
  <si>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</si>
  <si>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</si>
  <si>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</si>
  <si>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</si>
  <si>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</si>
  <si>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</si>
  <si>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</si>
  <si>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</si>
  <si>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</si>
  <si>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</si>
  <si>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</si>
  <si>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</si>
  <si>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</si>
  <si>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</si>
  <si>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</si>
  <si>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</si>
  <si>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</si>
  <si>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</si>
  <si>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</si>
  <si>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</si>
  <si>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</si>
  <si>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</si>
  <si>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</si>
  <si>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</si>
  <si>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</si>
  <si>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</si>
  <si>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</si>
  <si>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</si>
  <si>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</si>
  <si>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</si>
  <si>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</si>
  <si>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</si>
  <si>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</si>
  <si>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</si>
  <si>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</si>
  <si>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</si>
  <si>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</si>
  <si>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</si>
  <si>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</si>
  <si>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加速卡</t>
  </si>
  <si>
    <t>daoju_jsk.png</t>
  </si>
  <si>
    <t>加速建筑升级的CD时间</t>
  </si>
  <si>
    <t>胜运砾石</t>
  </si>
  <si>
    <t>daoju_cailiao_1.png</t>
  </si>
  <si>
    <t>雇员游戏经理升级所需要的经验材料
获取途径：游客在场景中进行交互概率掉落</t>
  </si>
  <si>
    <t>鸿运原石</t>
  </si>
  <si>
    <t>daoju_cailiao_2.png</t>
  </si>
  <si>
    <t>雇员服务经理升级所需要的经验材料
获取途径：游客在场景中进行交互概率掉落</t>
  </si>
  <si>
    <t>幸运宝石</t>
  </si>
  <si>
    <t>daoju_cailiao_3.png</t>
  </si>
  <si>
    <t>雇员管理经理升级所需要的经验材料
获取途径：游客在场景中进行交互概率掉落</t>
  </si>
  <si>
    <t>声誉值</t>
  </si>
  <si>
    <t>daoju_syz.png</t>
  </si>
  <si>
    <t>联盟的升级经验</t>
  </si>
  <si>
    <t>贡献值</t>
  </si>
  <si>
    <t>lm_sc_gxz.png</t>
  </si>
  <si>
    <t>联盟商店兑换商品的道具</t>
  </si>
  <si>
    <t>游客邀请函</t>
  </si>
  <si>
    <t>daoju_ykck.png</t>
  </si>
  <si>
    <t>用于游客卡池抽奖的道具
获取途径：可以通过完成多人任务奖励获得</t>
  </si>
  <si>
    <t>雇员邀请函</t>
  </si>
  <si>
    <t>daoju_gyck.png</t>
  </si>
  <si>
    <t>用于雇员卡池抽卡的道具
获取途径：可以通过完成多人任务奖励获得</t>
  </si>
  <si>
    <t>名流特邀卡</t>
  </si>
  <si>
    <t>daoju_ykryyqh.png</t>
  </si>
  <si>
    <t>用于指定生成游客人员的道具
获取途径：商城购买</t>
  </si>
  <si>
    <t>1025101_1;1025102_1;1025103_1;1025104_1;1025105_1;1025106_1;1025201_1;1025202_1;1025203_1;1025204_1;1025205_1;1025206_1;1025301_1;1025302_1;1025303_1;1025304_1;1025305_1;1025306_1;1025401_1;1025402_1;1025403_1;1025404_1;1025405_1;1025406_1;1025501_1;1025502_1;1025503_1;1025504_1;1025505_1;1025506_1</t>
  </si>
  <si>
    <t>富豪特邀卡</t>
  </si>
  <si>
    <t>daoju_ykpzyqh.png</t>
  </si>
  <si>
    <t>用于指定生成某类品质游客的道具
获取途径：商城购买</t>
  </si>
  <si>
    <t>1024019_1;1024020_1;1024021_1;1024022_1;1024023_1</t>
  </si>
  <si>
    <t>联盟任务补充券</t>
  </si>
  <si>
    <t>daoju_rwbcq.png</t>
  </si>
  <si>
    <t>用于补充联盟任务的道具
获取途径：钻石购买</t>
  </si>
  <si>
    <t>试玩体力</t>
  </si>
  <si>
    <t>daoju_swtl.png</t>
  </si>
  <si>
    <t>用于拜访时试玩别人游戏的需求材料</t>
  </si>
  <si>
    <t>白色品质游客</t>
  </si>
  <si>
    <t>daoju_fwnl.png</t>
  </si>
  <si>
    <t>用于指定生成白色品质游客所进行展示</t>
  </si>
  <si>
    <t>绿色品质游客</t>
  </si>
  <si>
    <t>用于指定生成绿色品质游客所进行展示</t>
  </si>
  <si>
    <t>蓝色品质游客</t>
  </si>
  <si>
    <t>用于指定生成蓝色品质游客所进行展示</t>
  </si>
  <si>
    <t>紫色品质游客</t>
  </si>
  <si>
    <t>用于指定生成紫色品质游客所进行展示</t>
  </si>
  <si>
    <t>金色品质游客</t>
  </si>
  <si>
    <t>用于指定生成金色品质游客所进行展示</t>
  </si>
  <si>
    <t>专属研究点</t>
  </si>
  <si>
    <t>daoju_cjmx.png</t>
  </si>
  <si>
    <t>升级超级明星游戏特殊词条</t>
  </si>
  <si>
    <t>daoju_smfy.png</t>
  </si>
  <si>
    <t>升级神马飞扬游戏特殊词条</t>
  </si>
  <si>
    <t>daoju_hhsc.png</t>
  </si>
  <si>
    <t>升级虎虎生财游戏特殊词条</t>
  </si>
  <si>
    <t>daoju_ajyh.png</t>
  </si>
  <si>
    <t>升级埃及延后游戏特殊词条</t>
  </si>
  <si>
    <t>daoju_jszc.png</t>
  </si>
  <si>
    <t>升级金蛇招财游戏特殊词条</t>
  </si>
  <si>
    <t>daoju_jqt.png</t>
  </si>
  <si>
    <t>升级金钱兔游戏特殊词条</t>
  </si>
  <si>
    <t>daoju_mjhl.png</t>
  </si>
  <si>
    <t>升级麻将胡了游戏特殊词条</t>
  </si>
  <si>
    <t>daoju_nqct.png</t>
  </si>
  <si>
    <t>升级牛气冲天游戏特殊词条</t>
  </si>
  <si>
    <t>daoju_ssff.png</t>
  </si>
  <si>
    <t>升级鼠鼠福福游戏特殊词条</t>
  </si>
  <si>
    <t>daoju_sdkhy.png</t>
  </si>
  <si>
    <t>升级圣诞狂欢夜游戏特殊词条</t>
  </si>
  <si>
    <t>镐</t>
  </si>
  <si>
    <t>wk_yx_xx_2.png</t>
  </si>
  <si>
    <t>挖矿小游戏的基础挖掘道具</t>
  </si>
  <si>
    <t>炸弹</t>
  </si>
  <si>
    <t>wk_yx_xx_1.png</t>
  </si>
  <si>
    <t>挖矿小游戏的特殊挖掘道具，可挖掘一横排；</t>
  </si>
  <si>
    <t>挖机</t>
  </si>
  <si>
    <t>wk_yx_xx_3.png</t>
  </si>
  <si>
    <t>挖矿小游戏的特殊挖掘道具，可挖掘3*3范围的格子</t>
  </si>
  <si>
    <t>铜矿</t>
  </si>
  <si>
    <t>wk_yx_tk.png</t>
  </si>
  <si>
    <t>挖矿小游戏中的低价值矿石，可在兑换商店中兑换道具</t>
  </si>
  <si>
    <t>银矿</t>
  </si>
  <si>
    <t>wk_yx_yk.png</t>
  </si>
  <si>
    <t>挖矿小游戏中的中价值矿石，可在兑换商店中兑换道具</t>
  </si>
  <si>
    <t>金矿</t>
  </si>
  <si>
    <t>wk_yx_jk.png</t>
  </si>
  <si>
    <t>挖矿小游戏中的高价值矿石，可在兑换商店中兑换道具</t>
  </si>
  <si>
    <t>daoju_cs.png</t>
  </si>
  <si>
    <t>升级财神游戏特殊词条</t>
  </si>
  <si>
    <t>daoju_yqh_1jtcr.png</t>
  </si>
  <si>
    <t>1025101_1</t>
  </si>
  <si>
    <t>daoju_yqh_2fgss.png</t>
  </si>
  <si>
    <t>1025102_1</t>
  </si>
  <si>
    <t>daoju_yqh_3kgsn.png</t>
  </si>
  <si>
    <t>1025103_1</t>
  </si>
  <si>
    <t>daoju_yqh_4clxf.png</t>
  </si>
  <si>
    <t>1025104_1</t>
  </si>
  <si>
    <t>daoju_yqh_5ssjz.png</t>
  </si>
  <si>
    <t>1025105_1</t>
  </si>
  <si>
    <t>daoju_yqh_6jpdr.png</t>
  </si>
  <si>
    <t>1025106_1</t>
  </si>
  <si>
    <t>daoju_yqh_7ydjj.png</t>
  </si>
  <si>
    <t>1025201_1</t>
  </si>
  <si>
    <t>daoju_yqh_8pksn.png</t>
  </si>
  <si>
    <t>1025202_1</t>
  </si>
  <si>
    <t>daoju_yqh_9hbgs.png</t>
  </si>
  <si>
    <t>1025203_1</t>
  </si>
  <si>
    <t>daoju_yqh_10txlm.png</t>
  </si>
  <si>
    <t>1025204_1</t>
  </si>
  <si>
    <t>daoju_yqh_11hlsn.png</t>
  </si>
  <si>
    <t>1025205_1</t>
  </si>
  <si>
    <t>daoju_yqh_12yyns.png</t>
  </si>
  <si>
    <t>1025206_1</t>
  </si>
  <si>
    <t>daoju_yqh_13jskm.png</t>
  </si>
  <si>
    <t>1025301_1</t>
  </si>
  <si>
    <t>daoju_yqh_14dcqs.png</t>
  </si>
  <si>
    <t>1025302_1</t>
  </si>
  <si>
    <t>daoju_yqh_15dsxzm.png</t>
  </si>
  <si>
    <t>1025303_1</t>
  </si>
  <si>
    <t>daoju_yqh_16wyqn.png</t>
  </si>
  <si>
    <t>1025304_1</t>
  </si>
  <si>
    <t>daoju_yqh_17sxsn.png</t>
  </si>
  <si>
    <t>1025305_1</t>
  </si>
  <si>
    <t>daoju_yqh_18mygs.png</t>
  </si>
  <si>
    <t>1025306_1</t>
  </si>
  <si>
    <t>daoju_yqh_19mlsk.png</t>
  </si>
  <si>
    <t>1025401_1</t>
  </si>
  <si>
    <t>daoju_yqh_20jxwj.png</t>
  </si>
  <si>
    <t>1025402_1</t>
  </si>
  <si>
    <t>daoju_yqh_21kjjk.png</t>
  </si>
  <si>
    <t>1025403_1</t>
  </si>
  <si>
    <t>daoju_yqh_22dlhj.png</t>
  </si>
  <si>
    <t>1025404_1</t>
  </si>
  <si>
    <t>daoju_yqh_23lmsr.png</t>
  </si>
  <si>
    <t>1025405_1</t>
  </si>
  <si>
    <t>daoju_yqh_24gdlm.png</t>
  </si>
  <si>
    <t>1025406_1</t>
  </si>
  <si>
    <t>daoju_yqh_25cyxg.png</t>
  </si>
  <si>
    <t>1025501_1</t>
  </si>
  <si>
    <t>daoju_yqh_26mjxw.png</t>
  </si>
  <si>
    <t>1025502_1</t>
  </si>
  <si>
    <t>daoju_yqh_27kjdl.png</t>
  </si>
  <si>
    <t>1025503_1</t>
  </si>
  <si>
    <t>daoju_yqh_28cdbz.png</t>
  </si>
  <si>
    <t>1025504_1</t>
  </si>
  <si>
    <t>daoju_yqh_29mzxx.png</t>
  </si>
  <si>
    <t>1025505_1</t>
  </si>
  <si>
    <t>daoju_yqh_30gdnw.png</t>
  </si>
  <si>
    <t>1025506_1</t>
  </si>
  <si>
    <t>游客招商卡.白</t>
  </si>
  <si>
    <t>使用该道具后可以指定生成白色品质游客中的任意一个</t>
  </si>
  <si>
    <t>游客招商卡.绿</t>
  </si>
  <si>
    <t>使用该道具后可以指定生成绿色品质游客中的任意一个</t>
  </si>
  <si>
    <t>游客招商卡.蓝</t>
  </si>
  <si>
    <t>使用该道具后可以指定生成蓝色品质游客中的任意一个</t>
  </si>
  <si>
    <t>游客招商卡.紫</t>
  </si>
  <si>
    <t>使用该道具后可以指定生成紫色品质游客中的任意一个</t>
  </si>
  <si>
    <t>游客招商卡.橙</t>
  </si>
  <si>
    <t>使用该道具后可以指定生成橙色品质游客中的任意一个</t>
  </si>
  <si>
    <t>101800</t>
  </si>
  <si>
    <t>daoju_lqjx.png</t>
  </si>
  <si>
    <t>升级篮球巨星游戏特殊词条</t>
  </si>
  <si>
    <t>102500</t>
  </si>
  <si>
    <t>daoju_hbwz.png</t>
  </si>
  <si>
    <t>升级寒冰王座游戏特殊词条</t>
  </si>
  <si>
    <t>103100</t>
  </si>
  <si>
    <t>daoju_ljr.png</t>
  </si>
  <si>
    <t>升级绿巨人游戏特殊词条</t>
  </si>
  <si>
    <t>102200</t>
  </si>
  <si>
    <t>daoju_ls.png</t>
  </si>
  <si>
    <t>升级雷神游戏特殊词条</t>
  </si>
  <si>
    <t>102100</t>
  </si>
  <si>
    <t>daoju_jkcz.png</t>
  </si>
  <si>
    <t>升级杰克船长游戏特殊词条</t>
  </si>
  <si>
    <t>103900</t>
  </si>
  <si>
    <t>daoju_fndxn.png</t>
  </si>
  <si>
    <t>升级愤怒的小鸟游戏特殊词条</t>
  </si>
  <si>
    <t>102000</t>
  </si>
  <si>
    <t>daoju_zsvshds.png</t>
  </si>
  <si>
    <t>升级宙斯VS哈迪斯游戏特殊词条</t>
  </si>
  <si>
    <t>102700</t>
  </si>
  <si>
    <t>daoju_xcs.png</t>
  </si>
  <si>
    <t>升级象财神游戏特殊词条</t>
  </si>
  <si>
    <t>101500</t>
  </si>
  <si>
    <t>daoju_ly.png</t>
  </si>
  <si>
    <t>升级l狼月游戏特殊词条</t>
  </si>
  <si>
    <t>金砂</t>
  </si>
  <si>
    <t>建筑提升大等级时需要的核心材料</t>
  </si>
  <si>
    <t>街头潮人</t>
  </si>
  <si>
    <t>yk_jtcr.png</t>
  </si>
  <si>
    <t>无拘无束，随性洒脱，热爱自由与冒险，独立而充满活力的生活态度。</t>
  </si>
  <si>
    <t>复古绅士</t>
  </si>
  <si>
    <t>yk_fgss.png</t>
  </si>
  <si>
    <t>温和内敛，对复古文化有着深厚情感，绅士风度和怀旧气息兼具。</t>
  </si>
  <si>
    <t>酷盖少年</t>
  </si>
  <si>
    <t>yk_kgsn.png</t>
  </si>
  <si>
    <t>叛逆不羁，果断有个性，外表冷酷内心火热，对主流规则有自己的态度。</t>
  </si>
  <si>
    <t>潮流先锋</t>
  </si>
  <si>
    <t>yk_clxf.png</t>
  </si>
  <si>
    <t>大胆前卫、个性鲜明，对时尚有着敏锐嗅觉，敢于尝试各种混搭风格。</t>
  </si>
  <si>
    <t>时尚教主</t>
  </si>
  <si>
    <t>yk_ssjz.png</t>
  </si>
  <si>
    <t>阳光积极，充满正能量，将运动与时尚完美融合，做事充满行动力。</t>
  </si>
  <si>
    <t>街拍达人</t>
  </si>
  <si>
    <t>yk_jpdr.png</t>
  </si>
  <si>
    <t>性格开朗，善于交流，对美有着独特视角，善于用镜头记录生活。</t>
  </si>
  <si>
    <t>运动健将</t>
  </si>
  <si>
    <t>yk_ydjj.png</t>
  </si>
  <si>
    <t>自律进取，意志坚定，性格直爽讲义气，对健身有着近乎执着的追求。</t>
  </si>
  <si>
    <t>跑酷少年</t>
  </si>
  <si>
    <t>yk_pksn.png</t>
  </si>
  <si>
    <t>性格坚韧不服输，骨子里流淌着冒险血液，追求极限与自由。</t>
  </si>
  <si>
    <t>滑板高手</t>
  </si>
  <si>
    <t>yk_hbgs.png</t>
  </si>
  <si>
    <t>开朗随和，随性洒脱，热爱滑板文化，善于用运动表达态度。</t>
  </si>
  <si>
    <t>甜心辣妹</t>
  </si>
  <si>
    <t>yk_txlm.png</t>
  </si>
  <si>
    <t>活泼开朗爱撒娇，对舞蹈和表演有天赋，善于用笑容感染他人。</t>
  </si>
  <si>
    <t>活力少女</t>
  </si>
  <si>
    <t>yk_hlsn.png</t>
  </si>
  <si>
    <t>温柔有耐心，热爱运动和自然，善于帮助和鼓励身边的人。</t>
  </si>
  <si>
    <t>优雅女神</t>
  </si>
  <si>
    <t>yk_yyns.png</t>
  </si>
  <si>
    <t>高贵内敛，沉稳大方，气质高雅，举手投足间散发独特魅力。</t>
  </si>
  <si>
    <t>健身狂魔</t>
  </si>
  <si>
    <t>yk_jskm.png</t>
  </si>
  <si>
    <t>豪爽直率，意志如钢铁般坚定，对健美有着近乎疯狂的执着。</t>
  </si>
  <si>
    <t>单车骑士</t>
  </si>
  <si>
    <t>yk_dcqs.png</t>
  </si>
  <si>
    <t>性格沉稳专注，对骑行有着纯粹热爱，追求速度与耐力极限。</t>
  </si>
  <si>
    <t>登山行者</t>
  </si>
  <si>
    <t>yk_dsxz.png</t>
  </si>
  <si>
    <t>坚韧乐观，骨子里流淌着探险血液，勇于挑战自然极限。</t>
  </si>
  <si>
    <t>文艺青年</t>
  </si>
  <si>
    <t>yk_wyqn.png</t>
  </si>
  <si>
    <t>性格安静沉思，对艺术有着敏锐感知力，内心世界丰富细腻。</t>
  </si>
  <si>
    <t>书香少女</t>
  </si>
  <si>
    <t>yk_sxsn.png</t>
  </si>
  <si>
    <t>知性浪漫，温柔细腻，对文学有着深厚热爱，内心世界如诗集般美好。</t>
  </si>
  <si>
    <t>民谣歌手</t>
  </si>
  <si>
    <t>yk_mygs.png</t>
  </si>
  <si>
    <t>温暖感性，对音乐有着纯粹热爱，用歌声讲述人生故事。</t>
  </si>
  <si>
    <t>马拉松客</t>
  </si>
  <si>
    <t>yk_mlsk.png</t>
  </si>
  <si>
    <t>坚韧不拔，对马拉松有着执着追求，意志力超群。</t>
  </si>
  <si>
    <t>极限玩家</t>
  </si>
  <si>
    <t>yk_jxwj.png</t>
  </si>
  <si>
    <t>大胆冒险，无所畏惧，追求极致刺激和冒险体验。</t>
  </si>
  <si>
    <t>科技极客</t>
  </si>
  <si>
    <t>yk_kjjk.png</t>
  </si>
  <si>
    <t>性格内向但才华横溢，对科技有着狂热追求，思维敏捷逻辑清晰。</t>
  </si>
  <si>
    <t>独立画家</t>
  </si>
  <si>
    <t>yk_dlhj.png</t>
  </si>
  <si>
    <t>性格敏感浪漫，善于用色彩表达情感，对艺术有着纯粹热爱。</t>
  </si>
  <si>
    <t>浪漫诗人</t>
  </si>
  <si>
    <t>yk_lmsr.png</t>
  </si>
  <si>
    <t>性格温柔浪漫，善于用文字记录感动，内心世界如诗歌般优美。</t>
  </si>
  <si>
    <t>古典乐迷</t>
  </si>
  <si>
    <t>yk_gdlm.png</t>
  </si>
  <si>
    <t>性格内敛深沉，品味高雅讲究，对古典音乐有着深厚造诣。</t>
  </si>
  <si>
    <t>创业新贵</t>
  </si>
  <si>
    <t>yk_cyxg.png</t>
  </si>
  <si>
    <t>自信强势，眼光敏锐决策果断，对商业成功有着强烈渴望。</t>
  </si>
  <si>
    <t>摸金校尉</t>
  </si>
  <si>
    <t>yk_mjxw.png</t>
  </si>
  <si>
    <t>行事低调内敛，性格沉稳睿智，对古董研究有着深厚学识。</t>
  </si>
  <si>
    <t>氪金大佬</t>
  </si>
  <si>
    <t>yk_kjdl.png</t>
  </si>
  <si>
    <t>性格直率豪爽，天生王者气场，出手阔绰毫不吝啬。</t>
  </si>
  <si>
    <t>穿搭博主</t>
  </si>
  <si>
    <t>yk_cdbz.png</t>
  </si>
  <si>
    <t>自信开朗，善于表达，对时尚有着极致追求，镜头感极强。</t>
  </si>
  <si>
    <t>美妆新秀</t>
  </si>
  <si>
    <t>yk_mzxx.png</t>
  </si>
  <si>
    <t>热情大方，对美妆有着专业热情，善于发现每个人的美。</t>
  </si>
  <si>
    <t>高定女王</t>
  </si>
  <si>
    <t>yk_gdnw.png</t>
  </si>
  <si>
    <t>高贵从容，举手投足间散发着贵族般的优雅与威严，对品质有极致追求。</t>
  </si>
  <si>
    <t>独立女士</t>
  </si>
  <si>
    <t>夜色女神</t>
  </si>
  <si>
    <t>优雅名媛</t>
  </si>
  <si>
    <t>时尚先锋</t>
  </si>
  <si>
    <t>商务精英</t>
  </si>
  <si>
    <t>daoju_yk_jtcr.png</t>
  </si>
  <si>
    <t>daoju_yk_fgss.png</t>
  </si>
  <si>
    <t>daoju_yk_kgsn.png</t>
  </si>
  <si>
    <t>daoju_yk_clxf.png</t>
  </si>
  <si>
    <t>daoju_yk_ssjz.png</t>
  </si>
  <si>
    <t>daoju_yk_jpdr.png</t>
  </si>
  <si>
    <t>daoju_yk_ydjj.png</t>
  </si>
  <si>
    <t>daoju_yk_pksn.png</t>
  </si>
  <si>
    <t>daoju_yk_hbgs.png</t>
  </si>
  <si>
    <t>daoju_yk_txlm.png</t>
  </si>
  <si>
    <t>daoju_yk_hlsn.png</t>
  </si>
  <si>
    <t>daoju_yk_yyns.png</t>
  </si>
  <si>
    <t>daoju_yk_jskm.png</t>
  </si>
  <si>
    <t>daoju_yk_dcqs.png</t>
  </si>
  <si>
    <t>daoju_yk_dsxz.png</t>
  </si>
  <si>
    <t>daoju_yk_wyqn.png</t>
  </si>
  <si>
    <t>daoju_yk_sxsn.png</t>
  </si>
  <si>
    <t>daoju_yk_mygs.png</t>
  </si>
  <si>
    <t>daoju_yk_mlsk.png</t>
  </si>
  <si>
    <t>daoju_yk_jxwj.png</t>
  </si>
  <si>
    <t>daoju_yk_kjjk.png</t>
  </si>
  <si>
    <t>daoju_yk_dlhj.png</t>
  </si>
  <si>
    <t>daoju_yk_lmsr.png</t>
  </si>
  <si>
    <t>daoju_yk_gdlm.png</t>
  </si>
  <si>
    <t>daoju_yk_cyxg.png</t>
  </si>
  <si>
    <t>daoju_yk_mjxw.png</t>
  </si>
  <si>
    <t>daoju_yk_kjdl.png</t>
  </si>
  <si>
    <t>daoju_yk_cdbz.png</t>
  </si>
  <si>
    <t>daoju_yk_mzxx.png</t>
  </si>
  <si>
    <t>daoju_yk_gdnw.png</t>
  </si>
  <si>
    <t>威廉</t>
  </si>
  <si>
    <t>gy_nan_wl.png</t>
  </si>
  <si>
    <t>遇到挑战时充满干劲，偶尔冲动但从不气馁。</t>
  </si>
  <si>
    <t>艾拉</t>
  </si>
  <si>
    <t>经验不足但学习力超强，永不言弃，像小太阳一样充满正能量。</t>
  </si>
  <si>
    <t>亨利</t>
  </si>
  <si>
    <t>做事细致周到，善于观察他人需求，是团队中最可靠的伙伴。</t>
  </si>
  <si>
    <t>艾玛</t>
  </si>
  <si>
    <t>大胆自信不拘小节，社交能力极强，热爱生活享受当下。</t>
  </si>
  <si>
    <t>乔治</t>
  </si>
  <si>
    <t>竞争意识强烈，追求速度与激情，做事果断且充满魄力。</t>
  </si>
  <si>
    <t>艾娃</t>
  </si>
  <si>
    <t>gy_nv_av.png</t>
  </si>
  <si>
    <t>待人温和有礼，内心有自己的坚持和标准，外柔内刚。</t>
  </si>
  <si>
    <t>亚瑟</t>
  </si>
  <si>
    <t>谈吐得体，情商极高，是天生的外交家。</t>
  </si>
  <si>
    <t>安娜</t>
  </si>
  <si>
    <t>气质如珍珠般温润内敛，善于倾听和理解他人。</t>
  </si>
  <si>
    <t>马修</t>
  </si>
  <si>
    <t>精于心理博弈，洞察人心，对胜利有着近乎偏执的追求。</t>
  </si>
  <si>
    <t>哈珀</t>
  </si>
  <si>
    <t>自信张扬光芒四射，善于调动全场气氛，是人群中最耀眼的存在。</t>
  </si>
  <si>
    <t>拉斐尔</t>
  </si>
  <si>
    <t>gy_nan_lfe.png</t>
  </si>
  <si>
    <t>虽然话不多但行动力强，用真诚的服务打动每一位客人。</t>
  </si>
  <si>
    <t>伊芙琳</t>
  </si>
  <si>
    <t>善于记住每位客人的喜好，做事细心周到，让人如沐春风。</t>
  </si>
  <si>
    <t>埃米尔</t>
  </si>
  <si>
    <t>总能在工作中找到乐趣，善于化解尴尬，是客人的开心果。</t>
  </si>
  <si>
    <t>夏洛特</t>
  </si>
  <si>
    <t>性格开朗直率，做事充满活力和热情。</t>
  </si>
  <si>
    <t>雷蒙德</t>
  </si>
  <si>
    <t>善于制造惊喜，外表酷帅内心温暖，总能给人留下深刻印象。</t>
  </si>
  <si>
    <t>斯嘉丽</t>
  </si>
  <si>
    <t>自信大胆魅力十足，善于社交和表达。</t>
  </si>
  <si>
    <t>丹尼尔</t>
  </si>
  <si>
    <t>外表神秘内心热情，做事专注且精益求精。</t>
  </si>
  <si>
    <t>莉莉安</t>
  </si>
  <si>
    <t>做事沉稳有条理，不张扬却令人印象深刻。</t>
  </si>
  <si>
    <t>卢卡斯</t>
  </si>
  <si>
    <t>谈吐不凡，对品质有极高要求，是天生的高端服务专家。</t>
  </si>
  <si>
    <t>克拉拉</t>
  </si>
  <si>
    <t>gy_nv_kll.png</t>
  </si>
  <si>
    <t>对服务艺术有极致追求，端庄大气，是天生的VIP服务女神。</t>
  </si>
  <si>
    <t>尼古拉斯</t>
  </si>
  <si>
    <t>虽然年轻但有着超越年龄的成熟，是团队中的稳定力量。</t>
  </si>
  <si>
    <t>奥利维亚</t>
  </si>
  <si>
    <t>gy_nv_olvy.png</t>
  </si>
  <si>
    <t>做事耐心细致，是团队的润滑剂。</t>
  </si>
  <si>
    <t>亚历山大</t>
  </si>
  <si>
    <t>做事果断有魄力，善于在挑战中找到机遇。</t>
  </si>
  <si>
    <t>玛格丽特</t>
  </si>
  <si>
    <t>gy_nv_mglt.png</t>
  </si>
  <si>
    <t>做事果断有执行力，性格直率坦诚，深受团队尊重。</t>
  </si>
  <si>
    <t>奥古斯特</t>
  </si>
  <si>
    <t>天生舞台魅力，善于将平凡事物变成精彩演出。</t>
  </si>
  <si>
    <t>维奥莱特</t>
  </si>
  <si>
    <t>善于处理公共关系和媒体事务，自信优雅，是赌场的门面担当。</t>
  </si>
  <si>
    <t>费利克斯</t>
  </si>
  <si>
    <t>谈吐深邃令人信服，是团队的智囊。</t>
  </si>
  <si>
    <t>维多利亚</t>
  </si>
  <si>
    <t>对管理有独到见解，外冷内热，是令人敬畏的管理者。</t>
  </si>
  <si>
    <t>阿尔弗雷德</t>
  </si>
  <si>
    <t>对品质有极致追求，睿智沉稳，是天生的领导者。</t>
  </si>
  <si>
    <t>伊丽莎白</t>
  </si>
  <si>
    <t>决策果断目光远大，精于商业运作和高端社交。</t>
  </si>
  <si>
    <t>daoju_gy_nan_wl.png</t>
  </si>
  <si>
    <t>daoju_gy_nv_al.png</t>
  </si>
  <si>
    <t>itemicon_1020006.png</t>
  </si>
  <si>
    <t>daoju_gy_nan_lfe.png</t>
  </si>
  <si>
    <t>daoju_gy_nv_lla.png</t>
  </si>
  <si>
    <t>daoju_gy_nv_kll.png</t>
  </si>
  <si>
    <t>挑战券</t>
  </si>
  <si>
    <t>daoju_tzj.png</t>
  </si>
  <si>
    <t>用于主动匹配所消耗的道具
获取途径：商城购买</t>
  </si>
  <si>
    <t>白色宝石箱</t>
  </si>
  <si>
    <t>daoju_baox_b.png</t>
  </si>
  <si>
    <t>可以指定开出任意白色宝石的箱子
获取途径：赛季商店进行兑换</t>
  </si>
  <si>
    <t>1131001_1;1131002_1;1131003_1;1131004_1;1131005_1;1131006_1</t>
  </si>
  <si>
    <t>绿色宝石箱</t>
  </si>
  <si>
    <t>daoju_baox_lv.png</t>
  </si>
  <si>
    <t>可以指定开出任意绿色宝石的箱子
获取途径：赛季商店进行兑换</t>
  </si>
  <si>
    <t>1131101_1;1131102_1;1131103_1;1131104_1;1131105_1;1131106_1</t>
  </si>
  <si>
    <t>蓝色宝石箱</t>
  </si>
  <si>
    <t>daoju_baox_lan.png</t>
  </si>
  <si>
    <t>可以指定开出任意蓝色宝石的箱子
获取途径：赛季商店进行兑换</t>
  </si>
  <si>
    <t>1131201_1;1131202_1;1131203_1;1131204_1;1131205_1;1131206_1</t>
  </si>
  <si>
    <t>紫色宝石箱</t>
  </si>
  <si>
    <t>daoju_baox_zi.png</t>
  </si>
  <si>
    <t>可以指定开出任意紫色宝石的箱子
获取途径：赛季商店进行兑换</t>
  </si>
  <si>
    <t>1131301_1;1131302_1;1131303_1;1131304_1;1131305_1;1131306_1</t>
  </si>
  <si>
    <t>金色宝石箱</t>
  </si>
  <si>
    <t>daoju_baox_ju.png</t>
  </si>
  <si>
    <t>可以指定开出任意金色宝石的箱子
获取途径：赛季商店进行兑换</t>
  </si>
  <si>
    <t>1131401_1;1131402_1;1131403_1;1131404_1;1131405_1;1131406_1</t>
  </si>
  <si>
    <t>基础命中.白</t>
  </si>
  <si>
    <t>sj_bs_tb_sj_b.png</t>
  </si>
  <si>
    <t>普通模式Spin基础中奖概率+%s%%</t>
  </si>
  <si>
    <t>免费命中.白</t>
  </si>
  <si>
    <t>sj_bs_tb_sj_b_1.png</t>
  </si>
  <si>
    <t>处于免费旋转模式时，该模式内50倍中奖概率+%s%%</t>
  </si>
  <si>
    <t>基础收益.白</t>
  </si>
  <si>
    <t>sj_bs_tb_f_b.png</t>
  </si>
  <si>
    <t>5-10倍区间的中奖概率+%s%%</t>
  </si>
  <si>
    <t>大奖冲刺.白</t>
  </si>
  <si>
    <t>sj_bs_tb_f_b_1.png</t>
  </si>
  <si>
    <t>20-50倍区间的触发概率+%s%%</t>
  </si>
  <si>
    <t>下注提升.白</t>
  </si>
  <si>
    <t>sj_bs_tb_sj_b-1.png</t>
  </si>
  <si>
    <t>下注的金额提升到%s</t>
  </si>
  <si>
    <t>免费模式.白</t>
  </si>
  <si>
    <t>sj_bs_tb_sj_b_1_1.png</t>
  </si>
  <si>
    <t>进入免费旋转模式的概率+%s%%</t>
  </si>
  <si>
    <t>挂机收益.白</t>
  </si>
  <si>
    <t>sj_bs_tb_sj_b_1_2.png</t>
  </si>
  <si>
    <t>镶嵌后每分钟收益10赛季币</t>
  </si>
  <si>
    <t>基础命中.绿</t>
  </si>
  <si>
    <t>sj_bs_tb_sj_lv.png</t>
  </si>
  <si>
    <t>免费命中.绿</t>
  </si>
  <si>
    <t>sj_bs_tb_sj_lv_1.png</t>
  </si>
  <si>
    <t>基础收益.绿</t>
  </si>
  <si>
    <t>sj_bs_tb_f_lv.png</t>
  </si>
  <si>
    <t>大奖冲刺.绿</t>
  </si>
  <si>
    <t>sj_bs_tb_f_lv_1.png</t>
  </si>
  <si>
    <t>下注提升.绿</t>
  </si>
  <si>
    <t>sj_bs_tb_sj_lv-1.png</t>
  </si>
  <si>
    <t>下注的金额提升到%s%%</t>
  </si>
  <si>
    <t>免费模式.绿</t>
  </si>
  <si>
    <t>sj_bs_tb_sj_lv_1_1.png</t>
  </si>
  <si>
    <t>挂机收益.绿</t>
  </si>
  <si>
    <t>sj_bs_tb_sj_lv_1_2.png</t>
  </si>
  <si>
    <t>镶嵌后每分钟收益12赛季币</t>
  </si>
  <si>
    <t>基础命中.蓝</t>
  </si>
  <si>
    <t>sj_bs_tb_sj_lan.png</t>
  </si>
  <si>
    <t>免费命中.蓝</t>
  </si>
  <si>
    <t>sj_bs_tb_sj_lan_1.png</t>
  </si>
  <si>
    <t>基础收益.蓝</t>
  </si>
  <si>
    <t>sj_bs_tb_f_lan.png</t>
  </si>
  <si>
    <t>大奖冲刺.蓝</t>
  </si>
  <si>
    <t>sj_bs_tb_f_lan_1.png</t>
  </si>
  <si>
    <t>下注提升.蓝</t>
  </si>
  <si>
    <t>sj_bs_tb_sj_lan-1.png</t>
  </si>
  <si>
    <t>免费模式.蓝</t>
  </si>
  <si>
    <t>sj_bs_tb_sj_lan_1_1.png</t>
  </si>
  <si>
    <t>挂机收益.蓝</t>
  </si>
  <si>
    <t>sj_bs_tb_sj_lan_1_2.png</t>
  </si>
  <si>
    <t>镶嵌后每分钟收益14赛季币</t>
  </si>
  <si>
    <t>基础命中.紫</t>
  </si>
  <si>
    <t>sj_bs_tb_sj_zi.png</t>
  </si>
  <si>
    <t>普通模式Spin基础中奖概率+%s%%s</t>
  </si>
  <si>
    <t>免费命中.紫</t>
  </si>
  <si>
    <t>sj_bs_tb_sj_zi_1.png</t>
  </si>
  <si>
    <t>基础收益.紫</t>
  </si>
  <si>
    <t>sj_bs_tb_f_zi.png</t>
  </si>
  <si>
    <t>大奖冲刺.紫</t>
  </si>
  <si>
    <t>sj_bs_tb_f_zi_1.png</t>
  </si>
  <si>
    <t>下注提升.紫</t>
  </si>
  <si>
    <t>sj_bs_tb_sj_zi-1.png</t>
  </si>
  <si>
    <t>免费模式.紫</t>
  </si>
  <si>
    <t>sj_bs_tb_sj_zi_1_1.png</t>
  </si>
  <si>
    <t>挂机收益.紫</t>
  </si>
  <si>
    <t>sj_bs_tb_sj_zi_1_2.png</t>
  </si>
  <si>
    <t>镶嵌后每分钟收益16赛季币</t>
  </si>
  <si>
    <t>基础命中.金</t>
  </si>
  <si>
    <t>sj_bs_tb_sj_c.png</t>
  </si>
  <si>
    <t>免费命中.金</t>
  </si>
  <si>
    <t>sj_bs_tb_sj_c_1.png</t>
  </si>
  <si>
    <t>基础收益.金</t>
  </si>
  <si>
    <t>sj_bs_tb_f_c.png</t>
  </si>
  <si>
    <t>大奖冲刺.金</t>
  </si>
  <si>
    <t>sj_bs_tb_f_c_1.png</t>
  </si>
  <si>
    <t>下注提升.金</t>
  </si>
  <si>
    <t>sj_bs_tb_sj_c-1.png</t>
  </si>
  <si>
    <t>免费模式.金</t>
  </si>
  <si>
    <t>sj_bs_tb_sj_c_1_1.png</t>
  </si>
  <si>
    <t>挂机收益.金</t>
  </si>
  <si>
    <t>sj_bs_tb_sj_c_1_2.png</t>
  </si>
  <si>
    <t>镶嵌后每分钟收益20赛季币</t>
  </si>
  <si>
    <t>倔强青铜</t>
  </si>
  <si>
    <t>daoju_sjdwhz_1.png</t>
  </si>
  <si>
    <t>赛季段位玩法中，达到青铜段位可获得此徽章成就；</t>
  </si>
  <si>
    <t>不屈白银</t>
  </si>
  <si>
    <t>daoju_sjdwhz_2.png</t>
  </si>
  <si>
    <t>赛季段位玩法中，达到白银段位可获得此徽章成就；</t>
  </si>
  <si>
    <t>荣耀黄金</t>
  </si>
  <si>
    <t>daoju_sjdwhz_3.png</t>
  </si>
  <si>
    <t>赛季段位玩法中，达到黄金段位可获得此徽章成就；</t>
  </si>
  <si>
    <t>华贵铂金</t>
  </si>
  <si>
    <t>daoju_sjdwhz_4.png</t>
  </si>
  <si>
    <t>赛季段位玩法中，达到铂金段位可获得此徽章成就；</t>
  </si>
  <si>
    <t>璀璨钻石</t>
  </si>
  <si>
    <t>daoju_sjdwhz_5.png</t>
  </si>
  <si>
    <t>赛季段位玩法中，达到钻石段位可获得此徽章成就；</t>
  </si>
  <si>
    <t>最强王者</t>
  </si>
  <si>
    <t>daoju_sjdwhz_6.png</t>
  </si>
  <si>
    <t>赛季段位玩法中，达到王者段位可获得此徽章成就；</t>
  </si>
  <si>
    <t>打卡卫士</t>
  </si>
  <si>
    <t>1150001.png</t>
  </si>
  <si>
    <t>成长之路</t>
  </si>
  <si>
    <t>1150002.png</t>
  </si>
  <si>
    <t>转轮高手</t>
  </si>
  <si>
    <t>1150003.png</t>
  </si>
  <si>
    <t>大赢家</t>
  </si>
  <si>
    <t>1150004.png</t>
  </si>
  <si>
    <t>转轮精英</t>
  </si>
  <si>
    <t>1150005.png</t>
  </si>
  <si>
    <t>幸运之星</t>
  </si>
  <si>
    <t>1150006.png</t>
  </si>
  <si>
    <t>游戏收集者</t>
  </si>
  <si>
    <t>1150007.png</t>
  </si>
  <si>
    <t>建筑能手</t>
  </si>
  <si>
    <t>1150008.png</t>
  </si>
  <si>
    <t>百万富豪</t>
  </si>
  <si>
    <t>1150009.png</t>
  </si>
  <si>
    <t>能量收集者</t>
  </si>
  <si>
    <t>1150010.png</t>
  </si>
  <si>
    <t>金币大师</t>
  </si>
  <si>
    <t>1150011.png</t>
  </si>
  <si>
    <t>钻石富豪</t>
  </si>
  <si>
    <t>1150012.png</t>
  </si>
  <si>
    <t>招商能手</t>
  </si>
  <si>
    <t>1150013.png</t>
  </si>
  <si>
    <t>娱乐CEO</t>
  </si>
  <si>
    <t>1150014.png</t>
  </si>
  <si>
    <t>人气爆棚</t>
  </si>
  <si>
    <t>1150015.png</t>
  </si>
  <si>
    <t>建筑大师</t>
  </si>
  <si>
    <t>1150016.png</t>
  </si>
  <si>
    <t>人气之王</t>
  </si>
  <si>
    <t>1150017.png</t>
  </si>
  <si>
    <t>团队高管</t>
  </si>
  <si>
    <t>1150018.png</t>
  </si>
  <si>
    <t>培养能手</t>
  </si>
  <si>
    <t>1150019.png</t>
  </si>
  <si>
    <t>培养大师</t>
  </si>
  <si>
    <t>1150020.png</t>
  </si>
  <si>
    <t>培养专家</t>
  </si>
  <si>
    <t>1150021.png</t>
  </si>
  <si>
    <t>有点小钱</t>
  </si>
  <si>
    <t>1150022.png</t>
  </si>
  <si>
    <t>小有成就</t>
  </si>
  <si>
    <t>1150023.png</t>
  </si>
  <si>
    <t>中奖能手</t>
  </si>
  <si>
    <t>1150024.png</t>
  </si>
  <si>
    <t>招财进宝</t>
  </si>
  <si>
    <t>1150025.png</t>
  </si>
  <si>
    <t>财富自由</t>
  </si>
  <si>
    <t>1150026.png</t>
  </si>
  <si>
    <t>超级赢家</t>
  </si>
  <si>
    <t>1150027.png</t>
  </si>
  <si>
    <t>VIP专享</t>
  </si>
  <si>
    <t>1150028.png</t>
  </si>
  <si>
    <t>研发院士</t>
  </si>
  <si>
    <t>1150029.png</t>
  </si>
  <si>
    <t>社交精英</t>
  </si>
  <si>
    <t>1150030.png</t>
  </si>
  <si>
    <t>精英团队</t>
  </si>
  <si>
    <t>1150031.png</t>
  </si>
  <si>
    <t>游戏大亨</t>
  </si>
  <si>
    <t>1150032.png</t>
  </si>
  <si>
    <t>营销高手</t>
  </si>
  <si>
    <t>1150033.png</t>
  </si>
  <si>
    <t>招商经理</t>
  </si>
  <si>
    <t>1150034.png</t>
  </si>
  <si>
    <t>广告精英</t>
  </si>
  <si>
    <t>1150035.png</t>
  </si>
  <si>
    <t>招募精英</t>
  </si>
  <si>
    <t>1150036.png</t>
  </si>
  <si>
    <t>商界精英</t>
  </si>
  <si>
    <t>1150037.png</t>
  </si>
  <si>
    <t>策略大师</t>
  </si>
  <si>
    <t>1150038.png</t>
  </si>
  <si>
    <t>幸运之神</t>
  </si>
  <si>
    <t>1150039.png</t>
  </si>
  <si>
    <t>大奖得主</t>
  </si>
  <si>
    <t>1150040.png</t>
  </si>
  <si>
    <t>最佳经理人</t>
  </si>
  <si>
    <t>1150041.png</t>
  </si>
  <si>
    <t>财富神话</t>
  </si>
  <si>
    <t>1150042.png</t>
  </si>
  <si>
    <t>财运亨通</t>
  </si>
  <si>
    <t>1150043.png</t>
  </si>
  <si>
    <t>亿万富豪</t>
  </si>
  <si>
    <t>1150044.png</t>
  </si>
  <si>
    <t>巨富大亨</t>
  </si>
  <si>
    <t>1150045.png</t>
  </si>
  <si>
    <t>传奇赢家</t>
  </si>
  <si>
    <t>1150046.png</t>
  </si>
  <si>
    <t>营销冠军</t>
  </si>
  <si>
    <t>1150047.png</t>
  </si>
  <si>
    <t>产业巨头</t>
  </si>
  <si>
    <t>1150048.png</t>
  </si>
  <si>
    <t>管理大师</t>
  </si>
  <si>
    <t>1150049.png</t>
  </si>
  <si>
    <t>娱乐大亨</t>
  </si>
  <si>
    <t>1150050.png</t>
  </si>
  <si>
    <t>商界奇才</t>
  </si>
  <si>
    <t>1150051.png</t>
  </si>
  <si>
    <t>商界传奇</t>
  </si>
  <si>
    <t>1150052.png</t>
  </si>
  <si>
    <t>科研之王</t>
  </si>
  <si>
    <t>1150053.png</t>
  </si>
  <si>
    <t>转轮之王</t>
  </si>
  <si>
    <t>1150054.png</t>
  </si>
  <si>
    <t>赌场之王</t>
  </si>
  <si>
    <t>1150055.png</t>
  </si>
  <si>
    <t>全服名人</t>
  </si>
  <si>
    <t>1150056.png</t>
  </si>
  <si>
    <t>富贵逼人</t>
  </si>
  <si>
    <t>1150057.png</t>
  </si>
  <si>
    <t>辉煌人生</t>
  </si>
  <si>
    <t>1150058.png</t>
  </si>
  <si>
    <t>风云人物</t>
  </si>
  <si>
    <t>1150059.png</t>
  </si>
  <si>
    <t>名震世界</t>
  </si>
  <si>
    <t>1150060.png</t>
  </si>
  <si>
    <t>时代传说</t>
  </si>
  <si>
    <t>1150061.png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</si>
</sst>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3" fontId="2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9"/>
  <sheetViews>
    <sheetView tabSelected="1" zoomScale="85" zoomScaleNormal="85" workbookViewId="0">
      <pane ySplit="4" topLeftCell="A70" activePane="bottomLeft" state="frozen"/>
      <selection/>
      <selection pane="bottomLeft" activeCell="H313" sqref="H313"/>
    </sheetView>
  </sheetViews>
  <sheetFormatPr defaultColWidth="9" defaultRowHeight="16.5"/>
  <cols>
    <col min="1" max="1" width="9.25" style="1" customWidth="1"/>
    <col min="2" max="2" width="5.875" style="1" customWidth="1"/>
    <col min="3" max="3" width="12.875" style="1" customWidth="1"/>
    <col min="4" max="4" width="19.125" style="1" customWidth="1"/>
    <col min="5" max="5" width="5.5" style="1" customWidth="1"/>
    <col min="6" max="6" width="10.875" style="1" customWidth="1"/>
    <col min="7" max="7" width="18.375" style="1" customWidth="1"/>
    <col min="8" max="8" width="18.375" style="3" customWidth="1"/>
    <col min="9" max="9" width="8.875" style="1" customWidth="1"/>
    <col min="10" max="10" width="10.875" style="1" customWidth="1"/>
    <col min="11" max="11" width="21.25" style="1" customWidth="1"/>
    <col min="12" max="12" width="27.75" style="1" customWidth="1"/>
    <col min="13" max="13" width="12.875" style="1" customWidth="1"/>
    <col min="14" max="14" width="19.125" style="1" customWidth="1"/>
    <col min="15" max="15" width="26.175" style="1" customWidth="1"/>
    <col min="16" max="16" width="10.875" style="1" customWidth="1"/>
    <col min="17" max="17" width="17.125" style="1" customWidth="1"/>
    <col min="18" max="18" width="12.875" style="1" customWidth="1"/>
    <col min="19" max="20" width="38.25" style="1" customWidth="1"/>
    <col min="21" max="21" width="9.25" style="1" customWidth="1"/>
    <col min="22" max="22" width="14.125" style="1" customWidth="1"/>
    <col min="23" max="23" width="17.375" style="1" customWidth="1"/>
    <col min="24" max="24" width="9" style="1"/>
    <col min="25" max="25" width="9.375" style="1"/>
    <col min="26" max="16384" width="9" style="1"/>
  </cols>
  <sheetData>
    <row r="1" spans="1:23">
      <c r="A1" s="4" t="s">
        <v>0</v>
      </c>
      <c r="B1" s="4"/>
      <c r="C1" s="5" t="s">
        <v>1</v>
      </c>
      <c r="D1" s="5" t="s">
        <v>2</v>
      </c>
      <c r="E1" s="5" t="s">
        <v>3</v>
      </c>
      <c r="F1" s="5"/>
      <c r="G1" s="5" t="s">
        <v>4</v>
      </c>
      <c r="H1" s="6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5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>
      <c r="A2" s="5" t="s">
        <v>21</v>
      </c>
      <c r="B2" s="5"/>
      <c r="C2" s="5" t="s">
        <v>21</v>
      </c>
      <c r="D2" s="5"/>
      <c r="E2" s="5" t="s">
        <v>21</v>
      </c>
      <c r="F2" s="7"/>
      <c r="G2" s="5" t="s">
        <v>21</v>
      </c>
      <c r="H2" s="6" t="s">
        <v>22</v>
      </c>
      <c r="I2" s="5" t="s">
        <v>21</v>
      </c>
      <c r="J2" s="5" t="s">
        <v>23</v>
      </c>
      <c r="K2" s="5" t="s">
        <v>23</v>
      </c>
      <c r="L2" s="5" t="s">
        <v>22</v>
      </c>
      <c r="M2" s="5" t="s">
        <v>21</v>
      </c>
      <c r="N2" s="5" t="s">
        <v>23</v>
      </c>
      <c r="O2" s="5"/>
      <c r="P2" s="5" t="s">
        <v>21</v>
      </c>
      <c r="Q2" s="5" t="s">
        <v>21</v>
      </c>
      <c r="R2" s="5" t="s">
        <v>21</v>
      </c>
      <c r="S2" s="1" t="s">
        <v>24</v>
      </c>
      <c r="T2" s="1" t="s">
        <v>24</v>
      </c>
      <c r="U2" s="1" t="s">
        <v>21</v>
      </c>
      <c r="W2" s="1" t="s">
        <v>25</v>
      </c>
    </row>
    <row r="3" spans="1:23">
      <c r="A3" s="4" t="s">
        <v>26</v>
      </c>
      <c r="B3" s="4"/>
      <c r="C3" s="5" t="s">
        <v>27</v>
      </c>
      <c r="D3" s="5"/>
      <c r="E3" s="5" t="s">
        <v>28</v>
      </c>
      <c r="F3" s="5"/>
      <c r="G3" s="5" t="s">
        <v>29</v>
      </c>
      <c r="H3" s="6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1" t="s">
        <v>35</v>
      </c>
      <c r="N3" s="1" t="s">
        <v>36</v>
      </c>
      <c r="P3" s="1" t="s">
        <v>37</v>
      </c>
      <c r="Q3" s="1" t="s">
        <v>38</v>
      </c>
      <c r="R3" s="5" t="s">
        <v>39</v>
      </c>
      <c r="S3" s="1" t="s">
        <v>40</v>
      </c>
      <c r="T3" s="1" t="s">
        <v>41</v>
      </c>
      <c r="U3" s="1" t="s">
        <v>42</v>
      </c>
      <c r="W3" s="1" t="s">
        <v>43</v>
      </c>
    </row>
    <row r="4" spans="1:23">
      <c r="A4" s="8"/>
      <c r="B4" s="8"/>
    </row>
    <row r="5" spans="1:23">
      <c r="A5" s="1">
        <v>1990000</v>
      </c>
      <c r="B5" s="1">
        <v>0</v>
      </c>
      <c r="C5" s="1">
        <v>1990000</v>
      </c>
      <c r="D5" s="1" t="s">
        <v>44</v>
      </c>
      <c r="E5" s="1">
        <v>99</v>
      </c>
      <c r="F5" s="1" t="s">
        <v>45</v>
      </c>
      <c r="I5" s="1">
        <v>1</v>
      </c>
      <c r="J5" s="1" t="b">
        <v>0</v>
      </c>
      <c r="K5" s="1" t="b">
        <v>0</v>
      </c>
      <c r="L5" s="1" t="s">
        <v>46</v>
      </c>
      <c r="M5" s="1">
        <v>2990000</v>
      </c>
      <c r="N5" s="1" t="b">
        <v>0</v>
      </c>
      <c r="O5" s="1" t="s">
        <v>47</v>
      </c>
      <c r="R5" s="1">
        <v>-1</v>
      </c>
      <c r="V5" s="1">
        <f>1/700000</f>
        <v>1.42857142857143e-6</v>
      </c>
    </row>
    <row r="6" spans="1:23">
      <c r="A6" s="1">
        <v>1980000</v>
      </c>
      <c r="B6" s="1">
        <v>0</v>
      </c>
      <c r="C6" s="1">
        <v>1980000</v>
      </c>
      <c r="D6" s="1" t="s">
        <v>48</v>
      </c>
      <c r="E6" s="1">
        <v>98</v>
      </c>
      <c r="F6" s="1" t="s">
        <v>45</v>
      </c>
      <c r="I6" s="1">
        <v>1</v>
      </c>
      <c r="J6" s="1" t="b">
        <v>0</v>
      </c>
      <c r="K6" s="1" t="b">
        <v>0</v>
      </c>
      <c r="L6" s="1" t="s">
        <v>49</v>
      </c>
      <c r="M6" s="1">
        <v>2980000</v>
      </c>
      <c r="N6" s="1" t="b">
        <v>0</v>
      </c>
      <c r="O6" s="1" t="s">
        <v>50</v>
      </c>
      <c r="R6" s="1">
        <v>-1</v>
      </c>
      <c r="V6" s="1">
        <f>1/700</f>
        <v>0.00142857142857143</v>
      </c>
      <c r="W6" s="1">
        <v>3153</v>
      </c>
    </row>
    <row r="7" spans="1:23">
      <c r="A7" s="1">
        <v>1970000</v>
      </c>
      <c r="B7" s="1">
        <v>0</v>
      </c>
      <c r="C7" s="1">
        <v>1970000</v>
      </c>
      <c r="D7" s="1" t="s">
        <v>51</v>
      </c>
      <c r="E7" s="1">
        <v>97</v>
      </c>
      <c r="F7" s="1" t="s">
        <v>45</v>
      </c>
      <c r="I7" s="1">
        <v>1</v>
      </c>
      <c r="J7" s="1" t="b">
        <v>0</v>
      </c>
      <c r="K7" s="1" t="b">
        <v>0</v>
      </c>
      <c r="L7" s="1" t="s">
        <v>52</v>
      </c>
      <c r="M7" s="1">
        <v>2970000</v>
      </c>
      <c r="N7" s="1" t="b">
        <v>0</v>
      </c>
      <c r="O7" s="1" t="s">
        <v>53</v>
      </c>
      <c r="R7" s="1">
        <v>-1</v>
      </c>
    </row>
    <row r="8" spans="1:23">
      <c r="A8" s="1">
        <v>1960000</v>
      </c>
      <c r="B8" s="1">
        <v>0</v>
      </c>
      <c r="C8" s="1">
        <v>1960000</v>
      </c>
      <c r="D8" s="1" t="s">
        <v>54</v>
      </c>
      <c r="E8" s="1">
        <v>96</v>
      </c>
      <c r="F8" s="1" t="s">
        <v>45</v>
      </c>
      <c r="I8" s="1">
        <v>1</v>
      </c>
      <c r="J8" s="1" t="b">
        <v>0</v>
      </c>
      <c r="K8" s="1" t="b">
        <v>0</v>
      </c>
      <c r="L8" s="1" t="s">
        <v>55</v>
      </c>
      <c r="M8" s="1">
        <v>2960000</v>
      </c>
      <c r="N8" s="1" t="b">
        <v>0</v>
      </c>
      <c r="O8" s="1" t="s">
        <v>56</v>
      </c>
      <c r="R8" s="1">
        <v>-1</v>
      </c>
    </row>
    <row r="9" spans="1:23">
      <c r="A9" s="1">
        <v>1020001</v>
      </c>
      <c r="B9" s="1">
        <v>1</v>
      </c>
      <c r="C9" s="1">
        <v>1020001</v>
      </c>
      <c r="D9" s="1" t="s">
        <v>57</v>
      </c>
      <c r="E9" s="1">
        <v>2</v>
      </c>
      <c r="F9" s="1" t="s">
        <v>58</v>
      </c>
      <c r="I9" s="1">
        <v>1</v>
      </c>
      <c r="J9" s="1" t="b">
        <v>1</v>
      </c>
      <c r="K9" s="1" t="b">
        <v>1</v>
      </c>
      <c r="L9" s="1" t="s">
        <v>59</v>
      </c>
      <c r="M9" s="1">
        <v>2020001</v>
      </c>
      <c r="N9" s="1" t="b">
        <v>0</v>
      </c>
      <c r="O9" s="1" t="s">
        <v>60</v>
      </c>
      <c r="R9" s="1">
        <v>999999</v>
      </c>
    </row>
    <row r="10" spans="1:23">
      <c r="A10" s="1">
        <v>1022501</v>
      </c>
      <c r="B10" s="1">
        <v>2501</v>
      </c>
      <c r="C10" s="1">
        <v>1202501</v>
      </c>
      <c r="D10" s="1" t="s">
        <v>61</v>
      </c>
      <c r="E10" s="1">
        <v>2</v>
      </c>
      <c r="F10" s="1" t="s">
        <v>58</v>
      </c>
      <c r="I10" s="1">
        <v>1</v>
      </c>
      <c r="J10" s="1" t="b">
        <v>1</v>
      </c>
      <c r="K10" s="1" t="b">
        <v>1</v>
      </c>
      <c r="L10" s="1" t="s">
        <v>62</v>
      </c>
      <c r="M10" s="1">
        <v>2022501</v>
      </c>
      <c r="N10" s="1" t="b">
        <v>0</v>
      </c>
      <c r="O10" s="1" t="s">
        <v>63</v>
      </c>
      <c r="R10" s="1">
        <v>999999</v>
      </c>
      <c r="V10" s="1">
        <v>0.05</v>
      </c>
    </row>
    <row r="11" spans="1:23">
      <c r="A11" s="1">
        <v>1022502</v>
      </c>
      <c r="B11" s="1">
        <v>2502</v>
      </c>
      <c r="C11" s="1">
        <v>1202502</v>
      </c>
      <c r="D11" s="1" t="s">
        <v>64</v>
      </c>
      <c r="E11" s="1">
        <v>2</v>
      </c>
      <c r="F11" s="1" t="s">
        <v>58</v>
      </c>
      <c r="I11" s="1">
        <v>1</v>
      </c>
      <c r="J11" s="1" t="b">
        <v>1</v>
      </c>
      <c r="K11" s="1" t="b">
        <v>1</v>
      </c>
      <c r="L11" s="1" t="s">
        <v>65</v>
      </c>
      <c r="M11" s="1">
        <v>2022502</v>
      </c>
      <c r="N11" s="1" t="b">
        <v>0</v>
      </c>
      <c r="O11" s="1" t="s">
        <v>66</v>
      </c>
      <c r="R11" s="1">
        <v>999999</v>
      </c>
      <c r="V11" s="1">
        <v>0.99</v>
      </c>
    </row>
    <row r="12" spans="1:23">
      <c r="A12" s="1">
        <v>1022503</v>
      </c>
      <c r="B12" s="1">
        <v>2503</v>
      </c>
      <c r="C12" s="1">
        <v>1202503</v>
      </c>
      <c r="D12" s="1" t="s">
        <v>67</v>
      </c>
      <c r="E12" s="1">
        <v>2</v>
      </c>
      <c r="F12" s="1" t="s">
        <v>58</v>
      </c>
      <c r="I12" s="1">
        <v>1</v>
      </c>
      <c r="J12" s="1" t="b">
        <v>1</v>
      </c>
      <c r="K12" s="1" t="b">
        <v>1</v>
      </c>
      <c r="L12" s="1" t="s">
        <v>68</v>
      </c>
      <c r="M12" s="1">
        <v>2022503</v>
      </c>
      <c r="N12" s="1" t="b">
        <v>0</v>
      </c>
      <c r="O12" s="1" t="s">
        <v>66</v>
      </c>
      <c r="R12" s="1">
        <v>999999</v>
      </c>
      <c r="V12" s="1">
        <v>0.99</v>
      </c>
    </row>
    <row r="13" customFormat="1" spans="1:23">
      <c r="A13" s="1">
        <v>1022505</v>
      </c>
      <c r="B13" s="1">
        <v>2505</v>
      </c>
      <c r="C13" s="1">
        <v>1022505</v>
      </c>
      <c r="D13" s="1" t="s">
        <v>69</v>
      </c>
      <c r="E13" s="1">
        <v>2</v>
      </c>
      <c r="F13" s="1" t="s">
        <v>58</v>
      </c>
      <c r="H13" s="3"/>
      <c r="I13" s="1">
        <v>1</v>
      </c>
      <c r="J13" s="1" t="b">
        <v>0</v>
      </c>
      <c r="K13" s="1" t="b">
        <v>0</v>
      </c>
      <c r="L13" s="1" t="s">
        <v>70</v>
      </c>
      <c r="M13" s="1">
        <v>2022505</v>
      </c>
      <c r="N13" s="1" t="b">
        <v>0</v>
      </c>
      <c r="O13" s="1" t="s">
        <v>71</v>
      </c>
      <c r="R13" s="1">
        <v>-1</v>
      </c>
      <c r="S13" s="1"/>
      <c r="V13" s="1"/>
    </row>
    <row r="14" s="1" customFormat="1" spans="1:23">
      <c r="A14" s="1">
        <v>1010301</v>
      </c>
      <c r="B14" s="1">
        <v>301</v>
      </c>
      <c r="C14" s="1">
        <v>1100301</v>
      </c>
      <c r="D14" s="1" t="s">
        <v>72</v>
      </c>
      <c r="E14" s="1">
        <v>1</v>
      </c>
      <c r="F14" s="1" t="s">
        <v>73</v>
      </c>
      <c r="H14" s="3"/>
      <c r="I14" s="1">
        <v>2</v>
      </c>
      <c r="J14" s="1" t="b">
        <v>1</v>
      </c>
      <c r="K14" s="1" t="b">
        <v>1</v>
      </c>
      <c r="L14" s="1" t="s">
        <v>74</v>
      </c>
      <c r="M14" s="1">
        <v>2010301</v>
      </c>
      <c r="N14" s="1" t="b">
        <v>0</v>
      </c>
      <c r="O14" s="1" t="s">
        <v>75</v>
      </c>
      <c r="R14" s="1">
        <v>999999</v>
      </c>
      <c r="S14" s="9" t="s">
        <v>76</v>
      </c>
      <c r="V14" s="1">
        <v>0.099</v>
      </c>
    </row>
    <row r="15" s="1" customFormat="1" spans="1:23">
      <c r="A15" s="1">
        <v>1010302</v>
      </c>
      <c r="B15" s="1">
        <v>302</v>
      </c>
      <c r="C15" s="1">
        <v>1100302</v>
      </c>
      <c r="D15" s="1" t="s">
        <v>77</v>
      </c>
      <c r="E15" s="1">
        <v>1</v>
      </c>
      <c r="F15" s="1" t="s">
        <v>73</v>
      </c>
      <c r="H15" s="3"/>
      <c r="I15" s="1">
        <v>3</v>
      </c>
      <c r="J15" s="1" t="b">
        <v>1</v>
      </c>
      <c r="K15" s="1" t="b">
        <v>1</v>
      </c>
      <c r="L15" s="1" t="s">
        <v>78</v>
      </c>
      <c r="M15" s="1">
        <v>2010302</v>
      </c>
      <c r="N15" s="1" t="b">
        <v>0</v>
      </c>
      <c r="O15" s="1" t="s">
        <v>75</v>
      </c>
      <c r="R15" s="1">
        <v>999999</v>
      </c>
      <c r="S15" s="9" t="s">
        <v>76</v>
      </c>
      <c r="V15" s="1">
        <f>V14*2</f>
        <v>0.198</v>
      </c>
    </row>
    <row r="16" s="1" customFormat="1" spans="1:23">
      <c r="A16" s="1">
        <v>1010303</v>
      </c>
      <c r="B16" s="1">
        <v>303</v>
      </c>
      <c r="C16" s="1">
        <v>1100303</v>
      </c>
      <c r="D16" s="1" t="s">
        <v>79</v>
      </c>
      <c r="E16" s="1">
        <v>1</v>
      </c>
      <c r="F16" s="1" t="s">
        <v>73</v>
      </c>
      <c r="H16" s="3"/>
      <c r="I16" s="1">
        <v>4</v>
      </c>
      <c r="J16" s="1" t="b">
        <v>1</v>
      </c>
      <c r="K16" s="1" t="b">
        <v>1</v>
      </c>
      <c r="L16" s="1" t="s">
        <v>80</v>
      </c>
      <c r="M16" s="1">
        <v>2010303</v>
      </c>
      <c r="N16" s="1" t="b">
        <v>0</v>
      </c>
      <c r="O16" s="1" t="s">
        <v>75</v>
      </c>
      <c r="R16" s="1">
        <v>999999</v>
      </c>
      <c r="S16" s="9" t="s">
        <v>76</v>
      </c>
      <c r="V16" s="1">
        <f>V14*6</f>
        <v>0.594</v>
      </c>
    </row>
    <row r="17" s="1" customFormat="1" spans="1:22">
      <c r="A17" s="1">
        <v>1010304</v>
      </c>
      <c r="B17" s="1">
        <v>304</v>
      </c>
      <c r="C17" s="1">
        <v>1100304</v>
      </c>
      <c r="D17" s="1" t="s">
        <v>81</v>
      </c>
      <c r="E17" s="1">
        <v>1</v>
      </c>
      <c r="F17" s="1" t="s">
        <v>73</v>
      </c>
      <c r="H17" s="3"/>
      <c r="I17" s="1">
        <v>5</v>
      </c>
      <c r="J17" s="1" t="b">
        <v>1</v>
      </c>
      <c r="K17" s="1" t="b">
        <v>1</v>
      </c>
      <c r="L17" s="1" t="s">
        <v>82</v>
      </c>
      <c r="M17" s="1">
        <v>2010304</v>
      </c>
      <c r="N17" s="1" t="b">
        <v>0</v>
      </c>
      <c r="O17" s="1" t="s">
        <v>75</v>
      </c>
      <c r="R17" s="1">
        <v>999999</v>
      </c>
      <c r="S17" s="9" t="s">
        <v>76</v>
      </c>
      <c r="V17" s="1">
        <f>V14*8</f>
        <v>0.792</v>
      </c>
    </row>
    <row r="18" s="1" customFormat="1" spans="1:22">
      <c r="A18" s="1">
        <v>1010305</v>
      </c>
      <c r="B18" s="1">
        <v>305</v>
      </c>
      <c r="C18" s="1">
        <v>1100305</v>
      </c>
      <c r="D18" s="1" t="s">
        <v>83</v>
      </c>
      <c r="E18" s="1">
        <v>1</v>
      </c>
      <c r="F18" s="1" t="s">
        <v>73</v>
      </c>
      <c r="H18" s="3"/>
      <c r="I18" s="1">
        <v>6</v>
      </c>
      <c r="J18" s="1" t="b">
        <v>1</v>
      </c>
      <c r="K18" s="1" t="b">
        <v>1</v>
      </c>
      <c r="L18" s="1" t="s">
        <v>82</v>
      </c>
      <c r="M18" s="1">
        <v>2010305</v>
      </c>
      <c r="N18" s="1" t="b">
        <v>0</v>
      </c>
      <c r="O18" s="1" t="s">
        <v>75</v>
      </c>
      <c r="R18" s="1">
        <v>999999</v>
      </c>
      <c r="S18" s="9" t="s">
        <v>76</v>
      </c>
      <c r="V18" s="1">
        <f>V14*10</f>
        <v>0.99</v>
      </c>
    </row>
    <row r="19" s="2" customFormat="1" spans="1:22">
      <c r="A19" s="2">
        <v>1010401</v>
      </c>
      <c r="B19" s="2">
        <v>401</v>
      </c>
      <c r="C19" s="2">
        <v>1100401</v>
      </c>
      <c r="D19" s="2" t="s">
        <v>84</v>
      </c>
      <c r="E19" s="2">
        <v>1</v>
      </c>
      <c r="F19" s="2" t="s">
        <v>73</v>
      </c>
      <c r="H19" s="10"/>
      <c r="I19" s="2">
        <v>2</v>
      </c>
      <c r="J19" s="2" t="b">
        <v>1</v>
      </c>
      <c r="K19" s="2" t="b">
        <v>1</v>
      </c>
      <c r="L19" s="2" t="s">
        <v>74</v>
      </c>
      <c r="M19" s="2">
        <v>2010401</v>
      </c>
      <c r="N19" s="2" t="b">
        <v>0</v>
      </c>
      <c r="O19" s="2" t="s">
        <v>85</v>
      </c>
      <c r="R19" s="2">
        <v>999999</v>
      </c>
      <c r="S19" s="11"/>
      <c r="T19" s="11" t="s">
        <v>86</v>
      </c>
    </row>
    <row r="20" s="2" customFormat="1" spans="1:22">
      <c r="A20" s="2">
        <v>1010501</v>
      </c>
      <c r="B20" s="2">
        <v>501</v>
      </c>
      <c r="C20" s="2">
        <v>1100501</v>
      </c>
      <c r="D20" s="2" t="s">
        <v>87</v>
      </c>
      <c r="E20" s="2">
        <v>1</v>
      </c>
      <c r="F20" s="2" t="s">
        <v>73</v>
      </c>
      <c r="H20" s="10"/>
      <c r="I20" s="2">
        <v>2</v>
      </c>
      <c r="J20" s="2" t="b">
        <v>1</v>
      </c>
      <c r="K20" s="2" t="b">
        <v>1</v>
      </c>
      <c r="L20" s="2" t="s">
        <v>78</v>
      </c>
      <c r="M20" s="2">
        <v>2010501</v>
      </c>
      <c r="N20" s="2" t="b">
        <v>0</v>
      </c>
      <c r="O20" s="2" t="s">
        <v>88</v>
      </c>
      <c r="R20" s="2">
        <v>999999</v>
      </c>
      <c r="S20" s="11"/>
      <c r="T20" s="11" t="s">
        <v>89</v>
      </c>
    </row>
    <row r="21" s="2" customFormat="1" spans="1:22">
      <c r="A21" s="2">
        <v>1010601</v>
      </c>
      <c r="B21" s="2">
        <v>601</v>
      </c>
      <c r="C21" s="2">
        <v>1100601</v>
      </c>
      <c r="D21" s="2" t="s">
        <v>90</v>
      </c>
      <c r="E21" s="2">
        <v>1</v>
      </c>
      <c r="F21" s="2" t="s">
        <v>73</v>
      </c>
      <c r="H21" s="10"/>
      <c r="I21" s="2">
        <v>2</v>
      </c>
      <c r="J21" s="2" t="b">
        <v>1</v>
      </c>
      <c r="K21" s="2" t="b">
        <v>1</v>
      </c>
      <c r="L21" s="2" t="s">
        <v>80</v>
      </c>
      <c r="M21" s="2">
        <v>2010601</v>
      </c>
      <c r="N21" s="2" t="b">
        <v>0</v>
      </c>
      <c r="O21" s="2" t="s">
        <v>91</v>
      </c>
      <c r="R21" s="2">
        <v>999999</v>
      </c>
      <c r="S21" s="11"/>
      <c r="T21" s="11" t="s">
        <v>92</v>
      </c>
    </row>
    <row r="22" spans="1:22">
      <c r="A22" s="1">
        <v>1031001</v>
      </c>
      <c r="B22" s="1">
        <v>1001</v>
      </c>
      <c r="C22" s="1">
        <v>1301001</v>
      </c>
      <c r="D22" s="1" t="s">
        <v>93</v>
      </c>
      <c r="E22" s="1">
        <v>3</v>
      </c>
      <c r="F22" s="1" t="s">
        <v>58</v>
      </c>
      <c r="I22" s="1">
        <v>1</v>
      </c>
      <c r="J22" s="1" t="b">
        <v>0</v>
      </c>
      <c r="K22" s="1" t="b">
        <v>0</v>
      </c>
      <c r="L22" s="1" t="s">
        <v>94</v>
      </c>
      <c r="M22" s="1">
        <v>2031001</v>
      </c>
      <c r="N22" s="1" t="b">
        <v>0</v>
      </c>
      <c r="P22" s="1">
        <v>2</v>
      </c>
      <c r="R22" s="1">
        <v>1</v>
      </c>
    </row>
    <row r="23" spans="1:22">
      <c r="A23" s="1">
        <v>1031002</v>
      </c>
      <c r="B23" s="1">
        <v>1002</v>
      </c>
      <c r="C23" s="1">
        <v>1301002</v>
      </c>
      <c r="D23" s="1" t="s">
        <v>95</v>
      </c>
      <c r="E23" s="1">
        <v>3</v>
      </c>
      <c r="F23" s="1" t="s">
        <v>58</v>
      </c>
      <c r="I23" s="1">
        <v>1</v>
      </c>
      <c r="J23" s="1" t="b">
        <v>0</v>
      </c>
      <c r="K23" s="1" t="b">
        <v>0</v>
      </c>
      <c r="L23" s="1" t="s">
        <v>96</v>
      </c>
      <c r="M23" s="1">
        <v>2031002</v>
      </c>
      <c r="N23" s="1" t="b">
        <v>0</v>
      </c>
      <c r="P23" s="1">
        <v>3</v>
      </c>
      <c r="R23" s="1">
        <v>1</v>
      </c>
    </row>
    <row r="24" spans="1:22">
      <c r="A24" s="1">
        <v>1031201</v>
      </c>
      <c r="B24" s="1">
        <v>1201</v>
      </c>
      <c r="C24" s="1">
        <v>1301201</v>
      </c>
      <c r="D24" s="1" t="s">
        <v>97</v>
      </c>
      <c r="E24" s="1">
        <v>3</v>
      </c>
      <c r="F24" s="1" t="s">
        <v>58</v>
      </c>
      <c r="I24" s="1">
        <v>1</v>
      </c>
      <c r="J24" s="1" t="b">
        <v>0</v>
      </c>
      <c r="K24" s="1" t="b">
        <v>0</v>
      </c>
      <c r="L24" s="1" t="s">
        <v>98</v>
      </c>
      <c r="M24" s="1">
        <v>2031201</v>
      </c>
      <c r="N24" s="1" t="b">
        <v>0</v>
      </c>
      <c r="P24" s="1">
        <v>1002</v>
      </c>
      <c r="R24" s="1">
        <v>1</v>
      </c>
    </row>
    <row r="25" spans="1:22">
      <c r="A25" s="1">
        <v>1031202</v>
      </c>
      <c r="B25" s="1">
        <v>1202</v>
      </c>
      <c r="C25" s="1">
        <v>1301202</v>
      </c>
      <c r="D25" s="1" t="s">
        <v>99</v>
      </c>
      <c r="E25" s="1">
        <v>3</v>
      </c>
      <c r="F25" s="1" t="s">
        <v>58</v>
      </c>
      <c r="I25" s="1">
        <v>1</v>
      </c>
      <c r="J25" s="1" t="b">
        <v>0</v>
      </c>
      <c r="K25" s="1" t="b">
        <v>0</v>
      </c>
      <c r="L25" s="1" t="s">
        <v>100</v>
      </c>
      <c r="M25" s="1">
        <v>2031202</v>
      </c>
      <c r="N25" s="1" t="b">
        <v>0</v>
      </c>
      <c r="P25" s="1">
        <v>1003</v>
      </c>
      <c r="R25" s="1">
        <v>1</v>
      </c>
    </row>
    <row r="26" spans="1:22">
      <c r="A26" s="1">
        <v>1031350</v>
      </c>
      <c r="B26" s="1">
        <v>1350</v>
      </c>
      <c r="C26" s="1">
        <v>101801</v>
      </c>
      <c r="D26" s="1" t="s">
        <v>101</v>
      </c>
      <c r="E26" s="1">
        <v>3</v>
      </c>
      <c r="F26" s="1" t="s">
        <v>58</v>
      </c>
      <c r="I26" s="1">
        <v>1</v>
      </c>
      <c r="J26" s="1" t="b">
        <v>0</v>
      </c>
      <c r="K26" s="1" t="b">
        <v>0</v>
      </c>
      <c r="L26" s="1" t="s">
        <v>102</v>
      </c>
      <c r="M26" s="1">
        <v>201801</v>
      </c>
      <c r="N26" s="1" t="b">
        <v>0</v>
      </c>
      <c r="P26" s="1">
        <v>1005</v>
      </c>
      <c r="R26" s="1">
        <v>1</v>
      </c>
    </row>
    <row r="27" spans="1:22">
      <c r="A27" s="1">
        <v>1031351</v>
      </c>
      <c r="B27" s="1">
        <v>1351</v>
      </c>
      <c r="C27" s="1">
        <v>101802</v>
      </c>
      <c r="D27" s="1" t="s">
        <v>103</v>
      </c>
      <c r="E27" s="1">
        <v>3</v>
      </c>
      <c r="F27" s="1" t="s">
        <v>58</v>
      </c>
      <c r="I27" s="1">
        <v>1</v>
      </c>
      <c r="J27" s="1" t="b">
        <v>0</v>
      </c>
      <c r="K27" s="1" t="b">
        <v>0</v>
      </c>
      <c r="L27" s="1" t="s">
        <v>104</v>
      </c>
      <c r="M27" s="1">
        <v>201802</v>
      </c>
      <c r="N27" s="1" t="b">
        <v>0</v>
      </c>
      <c r="P27" s="1">
        <v>1006</v>
      </c>
      <c r="R27" s="1">
        <v>1</v>
      </c>
    </row>
    <row r="28" spans="1:22">
      <c r="A28" s="1">
        <v>1021401</v>
      </c>
      <c r="B28" s="1">
        <v>1401</v>
      </c>
      <c r="C28" s="1">
        <v>1201401</v>
      </c>
      <c r="D28" s="1" t="s">
        <v>105</v>
      </c>
      <c r="E28" s="1">
        <v>2</v>
      </c>
      <c r="F28" s="1" t="s">
        <v>58</v>
      </c>
      <c r="I28" s="1">
        <v>1</v>
      </c>
      <c r="J28" s="1" t="b">
        <v>0</v>
      </c>
      <c r="K28" s="1" t="b">
        <v>0</v>
      </c>
      <c r="L28" s="1" t="s">
        <v>106</v>
      </c>
      <c r="M28" s="1">
        <v>2021401</v>
      </c>
      <c r="N28" s="1" t="b">
        <v>0</v>
      </c>
      <c r="P28" s="1">
        <v>2002</v>
      </c>
      <c r="R28" s="1">
        <v>1</v>
      </c>
    </row>
    <row r="29" spans="1:22">
      <c r="A29" s="1">
        <v>1021402</v>
      </c>
      <c r="B29" s="1">
        <v>1402</v>
      </c>
      <c r="C29" s="1">
        <v>1201402</v>
      </c>
      <c r="D29" s="1" t="s">
        <v>107</v>
      </c>
      <c r="E29" s="1">
        <v>2</v>
      </c>
      <c r="F29" s="1" t="s">
        <v>58</v>
      </c>
      <c r="I29" s="1">
        <v>1</v>
      </c>
      <c r="J29" s="1" t="b">
        <v>0</v>
      </c>
      <c r="K29" s="1" t="b">
        <v>0</v>
      </c>
      <c r="L29" s="1" t="s">
        <v>106</v>
      </c>
      <c r="M29" s="1">
        <v>2021402</v>
      </c>
      <c r="N29" s="1" t="b">
        <v>0</v>
      </c>
      <c r="P29" s="1">
        <v>2003</v>
      </c>
      <c r="R29" s="1">
        <v>1</v>
      </c>
    </row>
    <row r="30" s="1" customFormat="1" spans="1:22">
      <c r="A30" s="1">
        <v>1031600</v>
      </c>
      <c r="B30" s="1">
        <v>1600</v>
      </c>
      <c r="C30" s="1">
        <v>103001</v>
      </c>
      <c r="D30" s="1" t="s">
        <v>108</v>
      </c>
      <c r="E30" s="1">
        <v>3</v>
      </c>
      <c r="F30" s="1" t="s">
        <v>58</v>
      </c>
      <c r="H30" s="3"/>
      <c r="I30" s="1">
        <v>1</v>
      </c>
      <c r="J30" s="1" t="b">
        <v>0</v>
      </c>
      <c r="K30" s="1" t="b">
        <v>0</v>
      </c>
      <c r="L30" s="1" t="s">
        <v>109</v>
      </c>
      <c r="M30" s="1">
        <v>2031600</v>
      </c>
      <c r="N30" s="1" t="b">
        <v>1</v>
      </c>
      <c r="P30" s="1">
        <v>3001</v>
      </c>
      <c r="R30" s="1">
        <v>1</v>
      </c>
    </row>
    <row r="31" spans="1:22">
      <c r="A31" s="1">
        <v>1031601</v>
      </c>
      <c r="B31" s="1">
        <v>1601</v>
      </c>
      <c r="C31" s="1">
        <v>103002</v>
      </c>
      <c r="D31" s="1" t="s">
        <v>110</v>
      </c>
      <c r="E31" s="1">
        <v>3</v>
      </c>
      <c r="F31" s="1" t="s">
        <v>58</v>
      </c>
      <c r="I31" s="1">
        <v>1</v>
      </c>
      <c r="J31" s="1" t="b">
        <v>0</v>
      </c>
      <c r="K31" s="1" t="b">
        <v>0</v>
      </c>
      <c r="L31" s="1" t="s">
        <v>111</v>
      </c>
      <c r="M31" s="1">
        <v>2031601</v>
      </c>
      <c r="N31" s="1" t="b">
        <v>1</v>
      </c>
      <c r="P31" s="1">
        <v>3002</v>
      </c>
      <c r="R31" s="1">
        <v>1</v>
      </c>
    </row>
    <row r="32" spans="1:22">
      <c r="A32" s="1">
        <v>1031602</v>
      </c>
      <c r="B32" s="1">
        <v>1602</v>
      </c>
      <c r="C32" s="1">
        <v>103003</v>
      </c>
      <c r="D32" s="1" t="s">
        <v>112</v>
      </c>
      <c r="E32" s="1">
        <v>3</v>
      </c>
      <c r="F32" s="1" t="s">
        <v>58</v>
      </c>
      <c r="I32" s="1">
        <v>1</v>
      </c>
      <c r="J32" s="1" t="b">
        <v>0</v>
      </c>
      <c r="K32" s="1" t="b">
        <v>0</v>
      </c>
      <c r="L32" s="1" t="s">
        <v>113</v>
      </c>
      <c r="M32" s="1">
        <v>2031602</v>
      </c>
      <c r="N32" s="1" t="b">
        <v>1</v>
      </c>
      <c r="P32" s="1">
        <v>3003</v>
      </c>
      <c r="R32" s="1">
        <v>1</v>
      </c>
    </row>
    <row r="33" spans="1:22">
      <c r="A33" s="1">
        <v>1031801</v>
      </c>
      <c r="B33" s="1">
        <v>1801</v>
      </c>
      <c r="C33" s="1">
        <v>104002</v>
      </c>
      <c r="D33" s="1" t="s">
        <v>114</v>
      </c>
      <c r="E33" s="1">
        <v>3</v>
      </c>
      <c r="F33" s="1" t="s">
        <v>58</v>
      </c>
      <c r="I33" s="1">
        <v>1</v>
      </c>
      <c r="J33" s="1" t="b">
        <v>0</v>
      </c>
      <c r="K33" s="1" t="b">
        <v>0</v>
      </c>
      <c r="L33" s="1" t="s">
        <v>115</v>
      </c>
      <c r="M33" s="1">
        <v>2031801</v>
      </c>
      <c r="N33" s="1" t="b">
        <v>0</v>
      </c>
      <c r="P33" s="1">
        <v>4002</v>
      </c>
      <c r="R33" s="1">
        <v>1</v>
      </c>
    </row>
    <row r="34" spans="1:22">
      <c r="A34" s="1">
        <v>1031802</v>
      </c>
      <c r="B34" s="1">
        <v>1802</v>
      </c>
      <c r="C34" s="1">
        <v>104003</v>
      </c>
      <c r="D34" s="1" t="s">
        <v>116</v>
      </c>
      <c r="E34" s="1">
        <v>3</v>
      </c>
      <c r="F34" s="1" t="s">
        <v>58</v>
      </c>
      <c r="I34" s="1">
        <v>1</v>
      </c>
      <c r="J34" s="1" t="b">
        <v>0</v>
      </c>
      <c r="K34" s="1" t="b">
        <v>0</v>
      </c>
      <c r="L34" s="1" t="s">
        <v>117</v>
      </c>
      <c r="M34" s="1">
        <v>2031802</v>
      </c>
      <c r="N34" s="1" t="b">
        <v>0</v>
      </c>
      <c r="P34" s="1">
        <v>4003</v>
      </c>
      <c r="R34" s="1">
        <v>1</v>
      </c>
    </row>
    <row r="35" spans="1:22">
      <c r="A35" s="1">
        <v>1032001</v>
      </c>
      <c r="B35" s="1">
        <v>2001</v>
      </c>
      <c r="C35" s="1">
        <v>105002</v>
      </c>
      <c r="D35" s="1" t="s">
        <v>118</v>
      </c>
      <c r="E35" s="1">
        <v>3</v>
      </c>
      <c r="F35" s="1" t="s">
        <v>58</v>
      </c>
      <c r="I35" s="1">
        <v>1</v>
      </c>
      <c r="J35" s="1" t="b">
        <v>0</v>
      </c>
      <c r="K35" s="1" t="b">
        <v>0</v>
      </c>
      <c r="L35" s="1" t="s">
        <v>119</v>
      </c>
      <c r="M35" s="1">
        <v>2032001</v>
      </c>
      <c r="N35" s="1" t="b">
        <v>0</v>
      </c>
      <c r="P35" s="1">
        <v>5002</v>
      </c>
      <c r="R35" s="1">
        <v>1</v>
      </c>
    </row>
    <row r="36" spans="1:22">
      <c r="A36" s="1">
        <v>1032002</v>
      </c>
      <c r="B36" s="1">
        <v>2002</v>
      </c>
      <c r="C36" s="1">
        <v>105003</v>
      </c>
      <c r="D36" s="1" t="s">
        <v>120</v>
      </c>
      <c r="E36" s="1">
        <v>3</v>
      </c>
      <c r="F36" s="1" t="s">
        <v>58</v>
      </c>
      <c r="I36" s="1">
        <v>1</v>
      </c>
      <c r="J36" s="1" t="b">
        <v>0</v>
      </c>
      <c r="K36" s="1" t="b">
        <v>0</v>
      </c>
      <c r="L36" s="1" t="s">
        <v>121</v>
      </c>
      <c r="M36" s="1">
        <v>2032002</v>
      </c>
      <c r="N36" s="1" t="b">
        <v>0</v>
      </c>
      <c r="P36" s="1">
        <v>5003</v>
      </c>
      <c r="R36" s="1">
        <v>1</v>
      </c>
    </row>
    <row r="37" spans="1:22">
      <c r="A37" s="1">
        <v>1032201</v>
      </c>
      <c r="B37" s="1">
        <v>2201</v>
      </c>
      <c r="C37" s="1">
        <v>106002</v>
      </c>
      <c r="D37" s="1" t="s">
        <v>122</v>
      </c>
      <c r="E37" s="1">
        <v>3</v>
      </c>
      <c r="F37" s="1" t="s">
        <v>58</v>
      </c>
      <c r="I37" s="1">
        <v>1</v>
      </c>
      <c r="J37" s="1" t="b">
        <v>0</v>
      </c>
      <c r="K37" s="1" t="b">
        <v>0</v>
      </c>
      <c r="L37" s="1" t="s">
        <v>123</v>
      </c>
      <c r="M37" s="1">
        <v>2032201</v>
      </c>
      <c r="N37" s="1" t="b">
        <v>0</v>
      </c>
      <c r="P37" s="1">
        <v>6002</v>
      </c>
      <c r="R37" s="1">
        <v>1</v>
      </c>
    </row>
    <row r="38" spans="1:22">
      <c r="A38" s="1">
        <v>1032202</v>
      </c>
      <c r="B38" s="1">
        <v>2202</v>
      </c>
      <c r="C38" s="1">
        <v>106003</v>
      </c>
      <c r="D38" s="1" t="s">
        <v>124</v>
      </c>
      <c r="E38" s="1">
        <v>3</v>
      </c>
      <c r="F38" s="1" t="s">
        <v>58</v>
      </c>
      <c r="I38" s="1">
        <v>1</v>
      </c>
      <c r="J38" s="1" t="b">
        <v>0</v>
      </c>
      <c r="K38" s="1" t="b">
        <v>0</v>
      </c>
      <c r="L38" s="1" t="s">
        <v>125</v>
      </c>
      <c r="M38" s="1">
        <v>2032202</v>
      </c>
      <c r="N38" s="1" t="b">
        <v>0</v>
      </c>
      <c r="P38" s="1">
        <v>6003</v>
      </c>
      <c r="R38" s="1">
        <v>1</v>
      </c>
    </row>
    <row r="39" spans="1:22">
      <c r="A39" s="1">
        <v>1022504</v>
      </c>
      <c r="B39" s="1">
        <v>2504</v>
      </c>
      <c r="C39" s="1">
        <v>1202504</v>
      </c>
      <c r="D39" s="1" t="s">
        <v>126</v>
      </c>
      <c r="E39" s="1">
        <v>2</v>
      </c>
      <c r="F39" s="1" t="s">
        <v>58</v>
      </c>
      <c r="I39" s="1">
        <v>1</v>
      </c>
      <c r="J39" s="1" t="b">
        <v>0</v>
      </c>
      <c r="K39" s="1" t="b">
        <v>0</v>
      </c>
      <c r="L39" s="1" t="s">
        <v>127</v>
      </c>
      <c r="M39" s="1">
        <v>2022504</v>
      </c>
      <c r="N39" s="1" t="b">
        <v>0</v>
      </c>
      <c r="O39" s="1" t="s">
        <v>128</v>
      </c>
      <c r="R39" s="1">
        <v>999999999</v>
      </c>
    </row>
    <row r="40" spans="1:22">
      <c r="A40" s="1">
        <v>1023001</v>
      </c>
      <c r="C40" s="1">
        <v>1023001</v>
      </c>
      <c r="D40" s="1" t="s">
        <v>129</v>
      </c>
      <c r="E40" s="1">
        <v>2</v>
      </c>
      <c r="F40" s="1" t="s">
        <v>58</v>
      </c>
      <c r="I40" s="1">
        <v>2</v>
      </c>
      <c r="J40" s="1" t="b">
        <v>1</v>
      </c>
      <c r="K40" s="1" t="b">
        <v>1</v>
      </c>
      <c r="L40" s="1" t="s">
        <v>130</v>
      </c>
      <c r="M40" s="1">
        <v>2023001</v>
      </c>
      <c r="N40" s="1" t="b">
        <v>0</v>
      </c>
      <c r="O40" s="1" t="s">
        <v>131</v>
      </c>
      <c r="R40" s="1">
        <v>999999</v>
      </c>
      <c r="V40" s="1">
        <v>0.000544077728550903</v>
      </c>
    </row>
    <row r="41" spans="1:22">
      <c r="A41" s="1">
        <v>1023002</v>
      </c>
      <c r="C41" s="1">
        <v>1023002</v>
      </c>
      <c r="D41" s="1" t="s">
        <v>132</v>
      </c>
      <c r="E41" s="1">
        <v>2</v>
      </c>
      <c r="F41" s="1" t="s">
        <v>58</v>
      </c>
      <c r="I41" s="1">
        <v>3</v>
      </c>
      <c r="J41" s="1" t="b">
        <v>1</v>
      </c>
      <c r="K41" s="1" t="b">
        <v>1</v>
      </c>
      <c r="L41" s="1" t="s">
        <v>133</v>
      </c>
      <c r="M41" s="1">
        <v>2023002</v>
      </c>
      <c r="N41" s="1" t="b">
        <v>0</v>
      </c>
      <c r="O41" s="1" t="s">
        <v>131</v>
      </c>
      <c r="R41" s="1">
        <v>999999</v>
      </c>
      <c r="V41" s="1">
        <v>0.0045080726079932</v>
      </c>
    </row>
    <row r="42" spans="1:22">
      <c r="A42" s="1">
        <v>1023003</v>
      </c>
      <c r="C42" s="1">
        <v>1023003</v>
      </c>
      <c r="D42" s="1" t="s">
        <v>134</v>
      </c>
      <c r="E42" s="1">
        <v>2</v>
      </c>
      <c r="F42" s="1" t="s">
        <v>58</v>
      </c>
      <c r="I42" s="1">
        <v>4</v>
      </c>
      <c r="J42" s="1" t="b">
        <v>1</v>
      </c>
      <c r="K42" s="1" t="b">
        <v>1</v>
      </c>
      <c r="L42" s="1" t="s">
        <v>135</v>
      </c>
      <c r="M42" s="1">
        <v>2023003</v>
      </c>
      <c r="N42" s="1" t="b">
        <v>0</v>
      </c>
      <c r="O42" s="1" t="s">
        <v>131</v>
      </c>
      <c r="R42" s="1">
        <v>999999</v>
      </c>
      <c r="V42" s="1">
        <v>0.0067621089119898</v>
      </c>
    </row>
    <row r="43" spans="1:22">
      <c r="A43" s="1">
        <v>1023004</v>
      </c>
      <c r="C43" s="1">
        <v>1023004</v>
      </c>
      <c r="D43" s="1" t="s">
        <v>136</v>
      </c>
      <c r="E43" s="1">
        <v>2</v>
      </c>
      <c r="F43" s="1" t="s">
        <v>58</v>
      </c>
      <c r="I43" s="1">
        <v>5</v>
      </c>
      <c r="J43" s="1" t="b">
        <v>1</v>
      </c>
      <c r="K43" s="1" t="b">
        <v>1</v>
      </c>
      <c r="L43" s="1" t="s">
        <v>137</v>
      </c>
      <c r="M43" s="1">
        <v>2023004</v>
      </c>
      <c r="N43" s="1" t="b">
        <v>0</v>
      </c>
      <c r="O43" s="1" t="s">
        <v>131</v>
      </c>
      <c r="R43" s="1">
        <v>999999</v>
      </c>
      <c r="V43" s="1">
        <v>0.012622603302381</v>
      </c>
    </row>
    <row r="44" spans="1:22">
      <c r="A44" s="1">
        <v>1023005</v>
      </c>
      <c r="C44" s="1">
        <v>1023005</v>
      </c>
      <c r="D44" s="1" t="s">
        <v>138</v>
      </c>
      <c r="E44" s="1">
        <v>2</v>
      </c>
      <c r="F44" s="1" t="s">
        <v>58</v>
      </c>
      <c r="I44" s="1">
        <v>6</v>
      </c>
      <c r="J44" s="1" t="b">
        <v>1</v>
      </c>
      <c r="K44" s="1" t="b">
        <v>1</v>
      </c>
      <c r="L44" s="1" t="s">
        <v>139</v>
      </c>
      <c r="M44" s="1">
        <v>2023005</v>
      </c>
      <c r="N44" s="1" t="b">
        <v>0</v>
      </c>
      <c r="O44" s="1" t="s">
        <v>131</v>
      </c>
      <c r="R44" s="1">
        <v>999999</v>
      </c>
      <c r="V44" s="1">
        <v>0.0139155435712012</v>
      </c>
    </row>
    <row r="45" spans="1:22">
      <c r="A45" s="1">
        <v>1023101</v>
      </c>
      <c r="C45" s="1">
        <v>1023101</v>
      </c>
      <c r="D45" s="1" t="s">
        <v>140</v>
      </c>
      <c r="E45" s="1">
        <v>2</v>
      </c>
      <c r="F45" s="1" t="s">
        <v>58</v>
      </c>
      <c r="I45" s="1">
        <v>2</v>
      </c>
      <c r="J45" s="1" t="b">
        <v>1</v>
      </c>
      <c r="K45" s="1" t="b">
        <v>1</v>
      </c>
      <c r="L45" s="1" t="s">
        <v>141</v>
      </c>
      <c r="M45" s="1">
        <v>2023101</v>
      </c>
      <c r="N45" s="1" t="b">
        <v>0</v>
      </c>
      <c r="O45" s="1" t="s">
        <v>142</v>
      </c>
      <c r="R45" s="1">
        <v>999999</v>
      </c>
      <c r="V45" s="1">
        <v>0.00174104873136289</v>
      </c>
    </row>
    <row r="46" spans="1:22">
      <c r="A46" s="1">
        <v>1023102</v>
      </c>
      <c r="C46" s="1">
        <v>1023102</v>
      </c>
      <c r="D46" s="1" t="s">
        <v>143</v>
      </c>
      <c r="E46" s="1">
        <v>2</v>
      </c>
      <c r="F46" s="1" t="s">
        <v>58</v>
      </c>
      <c r="I46" s="1">
        <v>3</v>
      </c>
      <c r="J46" s="1" t="b">
        <v>1</v>
      </c>
      <c r="K46" s="1" t="b">
        <v>1</v>
      </c>
      <c r="L46" s="1" t="s">
        <v>144</v>
      </c>
      <c r="M46" s="1">
        <v>2023102</v>
      </c>
      <c r="N46" s="1" t="b">
        <v>0</v>
      </c>
      <c r="O46" s="1" t="s">
        <v>142</v>
      </c>
      <c r="R46" s="1">
        <v>999999</v>
      </c>
      <c r="V46" s="1">
        <v>0.0144258323455782</v>
      </c>
    </row>
    <row r="47" spans="1:22">
      <c r="A47" s="1">
        <v>1023103</v>
      </c>
      <c r="C47" s="1">
        <v>1023103</v>
      </c>
      <c r="D47" s="1" t="s">
        <v>145</v>
      </c>
      <c r="E47" s="1">
        <v>2</v>
      </c>
      <c r="F47" s="1" t="s">
        <v>58</v>
      </c>
      <c r="I47" s="1">
        <v>4</v>
      </c>
      <c r="J47" s="1" t="b">
        <v>1</v>
      </c>
      <c r="K47" s="1" t="b">
        <v>1</v>
      </c>
      <c r="L47" s="1" t="s">
        <v>146</v>
      </c>
      <c r="M47" s="1">
        <v>2023103</v>
      </c>
      <c r="N47" s="1" t="b">
        <v>0</v>
      </c>
      <c r="O47" s="1" t="s">
        <v>142</v>
      </c>
      <c r="R47" s="1">
        <v>999999</v>
      </c>
      <c r="V47" s="1">
        <v>0.0216387485183673</v>
      </c>
    </row>
    <row r="48" spans="1:22">
      <c r="A48" s="1">
        <v>1023104</v>
      </c>
      <c r="C48" s="1">
        <v>1023104</v>
      </c>
      <c r="D48" s="1" t="s">
        <v>147</v>
      </c>
      <c r="E48" s="1">
        <v>2</v>
      </c>
      <c r="F48" s="1" t="s">
        <v>58</v>
      </c>
      <c r="I48" s="1">
        <v>5</v>
      </c>
      <c r="J48" s="1" t="b">
        <v>1</v>
      </c>
      <c r="K48" s="1" t="b">
        <v>1</v>
      </c>
      <c r="L48" s="1" t="s">
        <v>148</v>
      </c>
      <c r="M48" s="1">
        <v>2023104</v>
      </c>
      <c r="N48" s="1" t="b">
        <v>0</v>
      </c>
      <c r="O48" s="1" t="s">
        <v>142</v>
      </c>
      <c r="R48" s="1">
        <v>999999</v>
      </c>
      <c r="V48" s="1">
        <v>0.0403923305676191</v>
      </c>
    </row>
    <row r="49" spans="1:22">
      <c r="A49" s="1">
        <v>1023105</v>
      </c>
      <c r="C49" s="1">
        <v>1023105</v>
      </c>
      <c r="D49" s="1" t="s">
        <v>149</v>
      </c>
      <c r="E49" s="1">
        <v>2</v>
      </c>
      <c r="F49" s="1" t="s">
        <v>58</v>
      </c>
      <c r="I49" s="1">
        <v>6</v>
      </c>
      <c r="J49" s="1" t="b">
        <v>1</v>
      </c>
      <c r="K49" s="1" t="b">
        <v>1</v>
      </c>
      <c r="L49" s="1" t="s">
        <v>150</v>
      </c>
      <c r="M49" s="1">
        <v>2023105</v>
      </c>
      <c r="N49" s="1" t="b">
        <v>0</v>
      </c>
      <c r="O49" s="1" t="s">
        <v>142</v>
      </c>
      <c r="R49" s="1">
        <v>999999</v>
      </c>
      <c r="V49" s="1">
        <v>0.0445297394278439</v>
      </c>
    </row>
    <row r="50" spans="1:22">
      <c r="A50" s="1">
        <v>1023201</v>
      </c>
      <c r="C50" s="1">
        <v>1023201</v>
      </c>
      <c r="D50" s="1" t="s">
        <v>151</v>
      </c>
      <c r="E50" s="1">
        <v>2</v>
      </c>
      <c r="F50" s="1" t="s">
        <v>58</v>
      </c>
      <c r="I50" s="1">
        <v>2</v>
      </c>
      <c r="J50" s="1" t="b">
        <v>1</v>
      </c>
      <c r="K50" s="1" t="b">
        <v>1</v>
      </c>
      <c r="L50" s="1" t="s">
        <v>152</v>
      </c>
      <c r="M50" s="1">
        <v>2023201</v>
      </c>
      <c r="N50" s="1" t="b">
        <v>0</v>
      </c>
      <c r="O50" s="1" t="s">
        <v>153</v>
      </c>
      <c r="R50" s="1">
        <v>999999</v>
      </c>
      <c r="V50" s="1">
        <v>0.00348209746272578</v>
      </c>
    </row>
    <row r="51" spans="1:22">
      <c r="A51" s="1">
        <v>1023202</v>
      </c>
      <c r="C51" s="1">
        <v>1023202</v>
      </c>
      <c r="D51" s="1" t="s">
        <v>154</v>
      </c>
      <c r="E51" s="1">
        <v>2</v>
      </c>
      <c r="F51" s="1" t="s">
        <v>58</v>
      </c>
      <c r="I51" s="1">
        <v>3</v>
      </c>
      <c r="J51" s="1" t="b">
        <v>1</v>
      </c>
      <c r="K51" s="1" t="b">
        <v>1</v>
      </c>
      <c r="L51" s="1" t="s">
        <v>155</v>
      </c>
      <c r="M51" s="1">
        <v>2023202</v>
      </c>
      <c r="N51" s="1" t="b">
        <v>0</v>
      </c>
      <c r="O51" s="1" t="s">
        <v>153</v>
      </c>
      <c r="R51" s="1">
        <v>999999</v>
      </c>
      <c r="V51" s="1">
        <v>0.0288516646911565</v>
      </c>
    </row>
    <row r="52" spans="1:22">
      <c r="A52" s="1">
        <v>1023203</v>
      </c>
      <c r="C52" s="1">
        <v>1023203</v>
      </c>
      <c r="D52" s="1" t="s">
        <v>156</v>
      </c>
      <c r="E52" s="1">
        <v>2</v>
      </c>
      <c r="F52" s="1" t="s">
        <v>58</v>
      </c>
      <c r="I52" s="1">
        <v>4</v>
      </c>
      <c r="J52" s="1" t="b">
        <v>1</v>
      </c>
      <c r="K52" s="1" t="b">
        <v>1</v>
      </c>
      <c r="L52" s="1" t="s">
        <v>157</v>
      </c>
      <c r="M52" s="1">
        <v>2023203</v>
      </c>
      <c r="N52" s="1" t="b">
        <v>0</v>
      </c>
      <c r="O52" s="1" t="s">
        <v>153</v>
      </c>
      <c r="R52" s="1">
        <v>999999</v>
      </c>
      <c r="V52" s="1">
        <v>0.0432774970367347</v>
      </c>
    </row>
    <row r="53" spans="1:22">
      <c r="A53" s="1">
        <v>1023204</v>
      </c>
      <c r="C53" s="1">
        <v>1023204</v>
      </c>
      <c r="D53" s="1" t="s">
        <v>158</v>
      </c>
      <c r="E53" s="1">
        <v>2</v>
      </c>
      <c r="F53" s="1" t="s">
        <v>58</v>
      </c>
      <c r="I53" s="1">
        <v>5</v>
      </c>
      <c r="J53" s="1" t="b">
        <v>1</v>
      </c>
      <c r="K53" s="1" t="b">
        <v>1</v>
      </c>
      <c r="L53" s="1" t="s">
        <v>159</v>
      </c>
      <c r="M53" s="1">
        <v>2023204</v>
      </c>
      <c r="N53" s="1" t="b">
        <v>0</v>
      </c>
      <c r="O53" s="1" t="s">
        <v>153</v>
      </c>
      <c r="R53" s="1">
        <v>999999</v>
      </c>
      <c r="V53" s="1">
        <v>0.0807846611352381</v>
      </c>
    </row>
    <row r="54" spans="1:22">
      <c r="A54" s="1">
        <v>1023205</v>
      </c>
      <c r="C54" s="1">
        <v>1023205</v>
      </c>
      <c r="D54" s="1" t="s">
        <v>160</v>
      </c>
      <c r="E54" s="1">
        <v>2</v>
      </c>
      <c r="F54" s="1" t="s">
        <v>58</v>
      </c>
      <c r="I54" s="1">
        <v>6</v>
      </c>
      <c r="J54" s="1" t="b">
        <v>1</v>
      </c>
      <c r="K54" s="1" t="b">
        <v>1</v>
      </c>
      <c r="L54" s="1" t="s">
        <v>161</v>
      </c>
      <c r="M54" s="1">
        <v>2023205</v>
      </c>
      <c r="N54" s="1" t="b">
        <v>0</v>
      </c>
      <c r="O54" s="1" t="s">
        <v>153</v>
      </c>
      <c r="R54" s="1">
        <v>999999</v>
      </c>
      <c r="V54" s="1">
        <v>0.0890594788556878</v>
      </c>
    </row>
    <row r="55" spans="1:22">
      <c r="A55" s="1">
        <v>1023301</v>
      </c>
      <c r="C55" s="1">
        <v>1023301</v>
      </c>
      <c r="D55" s="1" t="s">
        <v>162</v>
      </c>
      <c r="E55" s="1">
        <v>2</v>
      </c>
      <c r="F55" s="1" t="s">
        <v>58</v>
      </c>
      <c r="I55" s="1">
        <v>2</v>
      </c>
      <c r="J55" s="1" t="b">
        <v>1</v>
      </c>
      <c r="K55" s="1" t="b">
        <v>1</v>
      </c>
      <c r="L55" s="1" t="s">
        <v>163</v>
      </c>
      <c r="M55" s="1">
        <v>2023301</v>
      </c>
      <c r="N55" s="1" t="b">
        <v>0</v>
      </c>
      <c r="O55" s="1" t="s">
        <v>164</v>
      </c>
      <c r="R55" s="1">
        <v>999999</v>
      </c>
      <c r="V55" s="1">
        <v>0.0039173596455665</v>
      </c>
    </row>
    <row r="56" spans="1:22">
      <c r="A56" s="1">
        <v>1023302</v>
      </c>
      <c r="C56" s="1">
        <v>1023302</v>
      </c>
      <c r="D56" s="1" t="s">
        <v>165</v>
      </c>
      <c r="E56" s="1">
        <v>2</v>
      </c>
      <c r="F56" s="1" t="s">
        <v>58</v>
      </c>
      <c r="I56" s="1">
        <v>3</v>
      </c>
      <c r="J56" s="1" t="b">
        <v>1</v>
      </c>
      <c r="K56" s="1" t="b">
        <v>1</v>
      </c>
      <c r="L56" s="1" t="s">
        <v>166</v>
      </c>
      <c r="M56" s="1">
        <v>2023302</v>
      </c>
      <c r="N56" s="1" t="b">
        <v>0</v>
      </c>
      <c r="O56" s="1" t="s">
        <v>164</v>
      </c>
      <c r="R56" s="1">
        <v>999999</v>
      </c>
      <c r="V56" s="1">
        <v>0.032458122777551</v>
      </c>
    </row>
    <row r="57" spans="1:22">
      <c r="A57" s="1">
        <v>1023303</v>
      </c>
      <c r="C57" s="1">
        <v>1023303</v>
      </c>
      <c r="D57" s="1" t="s">
        <v>167</v>
      </c>
      <c r="E57" s="1">
        <v>2</v>
      </c>
      <c r="F57" s="1" t="s">
        <v>58</v>
      </c>
      <c r="I57" s="1">
        <v>4</v>
      </c>
      <c r="J57" s="1" t="b">
        <v>1</v>
      </c>
      <c r="K57" s="1" t="b">
        <v>1</v>
      </c>
      <c r="L57" s="1" t="s">
        <v>168</v>
      </c>
      <c r="M57" s="1">
        <v>2023303</v>
      </c>
      <c r="N57" s="1" t="b">
        <v>0</v>
      </c>
      <c r="O57" s="1" t="s">
        <v>164</v>
      </c>
      <c r="R57" s="1">
        <v>999999</v>
      </c>
      <c r="V57" s="1">
        <v>0.0486871841663265</v>
      </c>
    </row>
    <row r="58" spans="1:22">
      <c r="A58" s="1">
        <v>1023304</v>
      </c>
      <c r="C58" s="1">
        <v>1023304</v>
      </c>
      <c r="D58" s="1" t="s">
        <v>169</v>
      </c>
      <c r="E58" s="1">
        <v>2</v>
      </c>
      <c r="F58" s="1" t="s">
        <v>58</v>
      </c>
      <c r="I58" s="1">
        <v>5</v>
      </c>
      <c r="J58" s="1" t="b">
        <v>1</v>
      </c>
      <c r="K58" s="1" t="b">
        <v>1</v>
      </c>
      <c r="L58" s="1" t="s">
        <v>170</v>
      </c>
      <c r="M58" s="1">
        <v>2023304</v>
      </c>
      <c r="N58" s="1" t="b">
        <v>0</v>
      </c>
      <c r="O58" s="1" t="s">
        <v>164</v>
      </c>
      <c r="R58" s="1">
        <v>999999</v>
      </c>
      <c r="V58" s="1">
        <v>0.0908827437771429</v>
      </c>
    </row>
    <row r="59" spans="1:22">
      <c r="A59" s="1">
        <v>1023305</v>
      </c>
      <c r="C59" s="1">
        <v>1023305</v>
      </c>
      <c r="D59" s="1" t="s">
        <v>171</v>
      </c>
      <c r="E59" s="1">
        <v>2</v>
      </c>
      <c r="F59" s="1" t="s">
        <v>58</v>
      </c>
      <c r="I59" s="1">
        <v>6</v>
      </c>
      <c r="J59" s="1" t="b">
        <v>1</v>
      </c>
      <c r="K59" s="1" t="b">
        <v>1</v>
      </c>
      <c r="L59" s="1" t="s">
        <v>172</v>
      </c>
      <c r="M59" s="1">
        <v>2023305</v>
      </c>
      <c r="N59" s="1" t="b">
        <v>0</v>
      </c>
      <c r="O59" s="1" t="s">
        <v>164</v>
      </c>
      <c r="R59" s="1">
        <v>999999</v>
      </c>
      <c r="V59" s="1">
        <v>0.100191913712649</v>
      </c>
    </row>
    <row r="60" spans="1:22">
      <c r="A60" s="1">
        <v>1023401</v>
      </c>
      <c r="C60" s="1">
        <v>1023401</v>
      </c>
      <c r="D60" s="1" t="s">
        <v>173</v>
      </c>
      <c r="E60" s="1">
        <v>2</v>
      </c>
      <c r="F60" s="1" t="s">
        <v>58</v>
      </c>
      <c r="I60" s="1">
        <v>2</v>
      </c>
      <c r="J60" s="1" t="b">
        <v>1</v>
      </c>
      <c r="K60" s="1" t="b">
        <v>1</v>
      </c>
      <c r="L60" s="1" t="s">
        <v>174</v>
      </c>
      <c r="M60" s="1">
        <v>2023401</v>
      </c>
      <c r="N60" s="1" t="b">
        <v>0</v>
      </c>
      <c r="O60" s="1" t="s">
        <v>175</v>
      </c>
      <c r="R60" s="1">
        <v>999999</v>
      </c>
      <c r="V60" s="1">
        <v>0.00783471929113301</v>
      </c>
    </row>
    <row r="61" spans="1:22">
      <c r="A61" s="1">
        <v>1023402</v>
      </c>
      <c r="C61" s="1">
        <v>1023402</v>
      </c>
      <c r="D61" s="1" t="s">
        <v>176</v>
      </c>
      <c r="E61" s="1">
        <v>2</v>
      </c>
      <c r="F61" s="1" t="s">
        <v>58</v>
      </c>
      <c r="I61" s="1">
        <v>3</v>
      </c>
      <c r="J61" s="1" t="b">
        <v>1</v>
      </c>
      <c r="K61" s="1" t="b">
        <v>1</v>
      </c>
      <c r="L61" s="1" t="s">
        <v>177</v>
      </c>
      <c r="M61" s="1">
        <v>2023402</v>
      </c>
      <c r="N61" s="1" t="b">
        <v>0</v>
      </c>
      <c r="O61" s="1" t="s">
        <v>175</v>
      </c>
      <c r="R61" s="1">
        <v>999999</v>
      </c>
      <c r="V61" s="1">
        <v>0.064916245555102</v>
      </c>
    </row>
    <row r="62" spans="1:22">
      <c r="A62" s="1">
        <v>1023403</v>
      </c>
      <c r="C62" s="1">
        <v>1023403</v>
      </c>
      <c r="D62" s="1" t="s">
        <v>178</v>
      </c>
      <c r="E62" s="1">
        <v>2</v>
      </c>
      <c r="F62" s="1" t="s">
        <v>58</v>
      </c>
      <c r="I62" s="1">
        <v>4</v>
      </c>
      <c r="J62" s="1" t="b">
        <v>1</v>
      </c>
      <c r="K62" s="1" t="b">
        <v>1</v>
      </c>
      <c r="L62" s="1" t="s">
        <v>179</v>
      </c>
      <c r="M62" s="1">
        <v>2023403</v>
      </c>
      <c r="N62" s="1" t="b">
        <v>0</v>
      </c>
      <c r="O62" s="1" t="s">
        <v>175</v>
      </c>
      <c r="R62" s="1">
        <v>999999</v>
      </c>
      <c r="V62" s="1">
        <v>0.097374368332653</v>
      </c>
    </row>
    <row r="63" spans="1:22">
      <c r="A63" s="1">
        <v>1023404</v>
      </c>
      <c r="C63" s="1">
        <v>1023404</v>
      </c>
      <c r="D63" s="1" t="s">
        <v>180</v>
      </c>
      <c r="E63" s="1">
        <v>2</v>
      </c>
      <c r="F63" s="1" t="s">
        <v>58</v>
      </c>
      <c r="I63" s="1">
        <v>5</v>
      </c>
      <c r="J63" s="1" t="b">
        <v>1</v>
      </c>
      <c r="K63" s="1" t="b">
        <v>1</v>
      </c>
      <c r="L63" s="1" t="s">
        <v>181</v>
      </c>
      <c r="M63" s="1">
        <v>2023404</v>
      </c>
      <c r="N63" s="1" t="b">
        <v>0</v>
      </c>
      <c r="O63" s="1" t="s">
        <v>175</v>
      </c>
      <c r="R63" s="1">
        <v>999999</v>
      </c>
      <c r="V63" s="1">
        <v>0.181765487554286</v>
      </c>
    </row>
    <row r="64" spans="1:22">
      <c r="A64" s="1">
        <v>1023405</v>
      </c>
      <c r="C64" s="1">
        <v>1023405</v>
      </c>
      <c r="D64" s="1" t="s">
        <v>182</v>
      </c>
      <c r="E64" s="1">
        <v>2</v>
      </c>
      <c r="F64" s="1" t="s">
        <v>58</v>
      </c>
      <c r="I64" s="1">
        <v>6</v>
      </c>
      <c r="J64" s="1" t="b">
        <v>1</v>
      </c>
      <c r="K64" s="1" t="b">
        <v>1</v>
      </c>
      <c r="L64" s="1" t="s">
        <v>183</v>
      </c>
      <c r="M64" s="1">
        <v>2023405</v>
      </c>
      <c r="N64" s="1" t="b">
        <v>0</v>
      </c>
      <c r="O64" s="1" t="s">
        <v>175</v>
      </c>
      <c r="R64" s="1">
        <v>999999</v>
      </c>
      <c r="V64" s="1">
        <v>0.200383827425298</v>
      </c>
    </row>
    <row r="65" s="1" customFormat="1" spans="1:20">
      <c r="A65" s="1">
        <v>1024001</v>
      </c>
      <c r="C65" s="1">
        <v>1024001</v>
      </c>
      <c r="D65" s="1" t="s">
        <v>184</v>
      </c>
      <c r="E65" s="1">
        <v>2</v>
      </c>
      <c r="F65" s="1" t="s">
        <v>58</v>
      </c>
      <c r="H65" s="3"/>
      <c r="I65" s="1">
        <v>1</v>
      </c>
      <c r="J65" s="1" t="b">
        <v>0</v>
      </c>
      <c r="K65" s="1" t="b">
        <v>0</v>
      </c>
      <c r="L65" s="1" t="s">
        <v>185</v>
      </c>
      <c r="M65" s="1">
        <v>2024001</v>
      </c>
      <c r="N65" s="1" t="b">
        <v>0</v>
      </c>
      <c r="O65" s="1" t="s">
        <v>186</v>
      </c>
      <c r="R65" s="1">
        <v>-1</v>
      </c>
    </row>
    <row r="66" s="1" customFormat="1" spans="1:20">
      <c r="A66" s="1">
        <v>1024003</v>
      </c>
      <c r="C66" s="1">
        <v>1024003</v>
      </c>
      <c r="D66" s="1" t="s">
        <v>187</v>
      </c>
      <c r="E66" s="1">
        <v>2</v>
      </c>
      <c r="F66" s="1" t="s">
        <v>58</v>
      </c>
      <c r="H66" s="3"/>
      <c r="I66" s="1">
        <v>1</v>
      </c>
      <c r="J66" s="1" t="b">
        <v>0</v>
      </c>
      <c r="K66" s="1" t="b">
        <v>0</v>
      </c>
      <c r="L66" s="1" t="s">
        <v>188</v>
      </c>
      <c r="M66" s="1">
        <v>2024003</v>
      </c>
      <c r="N66" s="1" t="b">
        <v>0</v>
      </c>
      <c r="O66" s="1" t="s">
        <v>189</v>
      </c>
      <c r="R66" s="1">
        <v>-1</v>
      </c>
    </row>
    <row r="67" spans="1:20">
      <c r="A67" s="1">
        <v>1024005</v>
      </c>
      <c r="C67" s="1">
        <v>1024005</v>
      </c>
      <c r="D67" s="1" t="s">
        <v>190</v>
      </c>
      <c r="E67" s="1">
        <v>2</v>
      </c>
      <c r="F67" s="1" t="s">
        <v>58</v>
      </c>
      <c r="G67" s="1">
        <v>1</v>
      </c>
      <c r="I67" s="1">
        <v>1</v>
      </c>
      <c r="J67" s="1" t="b">
        <v>1</v>
      </c>
      <c r="K67" s="1" t="b">
        <v>0</v>
      </c>
      <c r="L67" s="1" t="s">
        <v>191</v>
      </c>
      <c r="M67" s="1">
        <v>2024005</v>
      </c>
      <c r="N67" s="1" t="b">
        <v>0</v>
      </c>
      <c r="O67" s="1" t="s">
        <v>192</v>
      </c>
      <c r="R67" s="1">
        <v>-1</v>
      </c>
    </row>
    <row r="68" s="1" customFormat="1" spans="1:20">
      <c r="A68" s="1">
        <v>1024007</v>
      </c>
      <c r="C68" s="1">
        <v>1024007</v>
      </c>
      <c r="D68" s="1" t="s">
        <v>193</v>
      </c>
      <c r="E68" s="1">
        <v>2</v>
      </c>
      <c r="F68" s="1" t="s">
        <v>58</v>
      </c>
      <c r="H68" s="3"/>
      <c r="I68" s="1">
        <v>1</v>
      </c>
      <c r="J68" s="1" t="b">
        <v>1</v>
      </c>
      <c r="K68" s="1" t="b">
        <v>1</v>
      </c>
      <c r="L68" s="1" t="s">
        <v>194</v>
      </c>
      <c r="M68" s="1">
        <v>2024007</v>
      </c>
      <c r="N68" s="1" t="b">
        <v>0</v>
      </c>
      <c r="O68" s="1" t="s">
        <v>195</v>
      </c>
      <c r="R68" s="1">
        <v>999999999</v>
      </c>
    </row>
    <row r="69" ht="21" customHeight="1" spans="1:20">
      <c r="A69" s="1">
        <v>1024008</v>
      </c>
      <c r="C69" s="1">
        <v>1024008</v>
      </c>
      <c r="D69" s="1" t="s">
        <v>196</v>
      </c>
      <c r="E69" s="1">
        <v>2</v>
      </c>
      <c r="F69" s="1" t="s">
        <v>58</v>
      </c>
      <c r="I69" s="1">
        <v>1</v>
      </c>
      <c r="J69" s="1" t="b">
        <v>1</v>
      </c>
      <c r="K69" s="1" t="b">
        <v>1</v>
      </c>
      <c r="L69" s="1" t="s">
        <v>197</v>
      </c>
      <c r="M69" s="1">
        <v>2024008</v>
      </c>
      <c r="N69" s="1" t="b">
        <v>0</v>
      </c>
      <c r="O69" s="12" t="s">
        <v>198</v>
      </c>
      <c r="R69" s="1">
        <v>999999</v>
      </c>
    </row>
    <row r="70" ht="22" customHeight="1" spans="1:20">
      <c r="A70" s="1">
        <v>1024009</v>
      </c>
      <c r="C70" s="1">
        <v>1024009</v>
      </c>
      <c r="D70" s="1" t="s">
        <v>199</v>
      </c>
      <c r="E70" s="1">
        <v>2</v>
      </c>
      <c r="F70" s="1" t="s">
        <v>58</v>
      </c>
      <c r="I70" s="1">
        <v>1</v>
      </c>
      <c r="J70" s="1" t="b">
        <v>1</v>
      </c>
      <c r="K70" s="1" t="b">
        <v>1</v>
      </c>
      <c r="L70" s="1" t="s">
        <v>200</v>
      </c>
      <c r="M70" s="1">
        <v>2024009</v>
      </c>
      <c r="N70" s="1" t="b">
        <v>0</v>
      </c>
      <c r="O70" s="12" t="s">
        <v>201</v>
      </c>
      <c r="R70" s="1">
        <v>999999</v>
      </c>
    </row>
    <row r="71" ht="19" customHeight="1" spans="1:20">
      <c r="A71" s="1">
        <v>1024010</v>
      </c>
      <c r="C71" s="1">
        <v>1024010</v>
      </c>
      <c r="D71" s="1" t="s">
        <v>202</v>
      </c>
      <c r="E71" s="1">
        <v>2</v>
      </c>
      <c r="F71" s="1" t="s">
        <v>58</v>
      </c>
      <c r="I71" s="1">
        <v>1</v>
      </c>
      <c r="J71" s="1" t="b">
        <v>1</v>
      </c>
      <c r="K71" s="1" t="b">
        <v>1</v>
      </c>
      <c r="L71" s="1" t="s">
        <v>203</v>
      </c>
      <c r="M71" s="1">
        <v>2024010</v>
      </c>
      <c r="N71" s="1" t="b">
        <v>0</v>
      </c>
      <c r="O71" s="12" t="s">
        <v>204</v>
      </c>
      <c r="R71" s="1">
        <v>999999</v>
      </c>
    </row>
    <row r="72" spans="1:20">
      <c r="A72" s="1">
        <v>1024011</v>
      </c>
      <c r="C72" s="1">
        <v>1024011</v>
      </c>
      <c r="D72" s="1" t="s">
        <v>205</v>
      </c>
      <c r="E72" s="1">
        <v>2</v>
      </c>
      <c r="F72" s="1" t="s">
        <v>58</v>
      </c>
      <c r="I72" s="1">
        <v>1</v>
      </c>
      <c r="J72" s="1" t="b">
        <v>0</v>
      </c>
      <c r="K72" s="1" t="b">
        <v>0</v>
      </c>
      <c r="L72" s="1" t="s">
        <v>206</v>
      </c>
      <c r="M72" s="1">
        <v>2024011</v>
      </c>
      <c r="N72" s="1" t="b">
        <v>0</v>
      </c>
      <c r="O72" s="1" t="s">
        <v>207</v>
      </c>
      <c r="R72" s="1">
        <v>-1</v>
      </c>
    </row>
    <row r="73" spans="1:20">
      <c r="A73" s="1">
        <v>1024012</v>
      </c>
      <c r="C73" s="1">
        <v>1024012</v>
      </c>
      <c r="D73" s="1" t="s">
        <v>208</v>
      </c>
      <c r="E73" s="1">
        <v>2</v>
      </c>
      <c r="F73" s="1" t="s">
        <v>58</v>
      </c>
      <c r="I73" s="1">
        <v>1</v>
      </c>
      <c r="J73" s="1" t="b">
        <v>0</v>
      </c>
      <c r="K73" s="1" t="b">
        <v>0</v>
      </c>
      <c r="L73" s="1" t="s">
        <v>209</v>
      </c>
      <c r="M73" s="1">
        <v>2024012</v>
      </c>
      <c r="N73" s="1" t="b">
        <v>0</v>
      </c>
      <c r="O73" s="1" t="s">
        <v>210</v>
      </c>
      <c r="R73" s="1">
        <v>-1</v>
      </c>
    </row>
    <row r="74" ht="19" customHeight="1" spans="1:20">
      <c r="A74" s="1">
        <v>1024013</v>
      </c>
      <c r="C74" s="1">
        <v>1024013</v>
      </c>
      <c r="D74" s="1" t="s">
        <v>211</v>
      </c>
      <c r="E74" s="1">
        <v>2</v>
      </c>
      <c r="F74" s="1" t="s">
        <v>58</v>
      </c>
      <c r="I74" s="1">
        <v>1</v>
      </c>
      <c r="J74" s="1" t="b">
        <v>1</v>
      </c>
      <c r="K74" s="1" t="b">
        <v>1</v>
      </c>
      <c r="L74" s="1" t="s">
        <v>212</v>
      </c>
      <c r="M74" s="1">
        <v>2024013</v>
      </c>
      <c r="N74" s="1" t="b">
        <v>0</v>
      </c>
      <c r="O74" s="12" t="s">
        <v>213</v>
      </c>
      <c r="R74" s="1">
        <v>999999</v>
      </c>
    </row>
    <row r="75" ht="16" customHeight="1" spans="1:20">
      <c r="A75" s="1">
        <v>1024014</v>
      </c>
      <c r="C75" s="1">
        <v>1024014</v>
      </c>
      <c r="D75" s="1" t="s">
        <v>214</v>
      </c>
      <c r="E75" s="1">
        <v>2</v>
      </c>
      <c r="F75" s="1" t="s">
        <v>58</v>
      </c>
      <c r="I75" s="1">
        <v>1</v>
      </c>
      <c r="J75" s="1" t="b">
        <v>1</v>
      </c>
      <c r="K75" s="1" t="b">
        <v>1</v>
      </c>
      <c r="L75" s="1" t="s">
        <v>215</v>
      </c>
      <c r="M75" s="1">
        <v>2024014</v>
      </c>
      <c r="N75" s="1" t="b">
        <v>0</v>
      </c>
      <c r="O75" s="12" t="s">
        <v>216</v>
      </c>
      <c r="R75" s="1">
        <v>999999</v>
      </c>
    </row>
    <row r="76" ht="23" customHeight="1" spans="1:20">
      <c r="A76" s="1">
        <v>1024015</v>
      </c>
      <c r="C76" s="1">
        <v>1024015</v>
      </c>
      <c r="D76" s="1" t="s">
        <v>217</v>
      </c>
      <c r="E76" s="1">
        <v>1</v>
      </c>
      <c r="F76" s="1" t="s">
        <v>58</v>
      </c>
      <c r="I76" s="1">
        <v>1</v>
      </c>
      <c r="J76" s="1" t="b">
        <v>1</v>
      </c>
      <c r="K76" s="1" t="b">
        <v>1</v>
      </c>
      <c r="L76" s="1" t="s">
        <v>218</v>
      </c>
      <c r="M76" s="1">
        <v>2024015</v>
      </c>
      <c r="N76" s="1" t="b">
        <v>0</v>
      </c>
      <c r="O76" s="12" t="s">
        <v>219</v>
      </c>
      <c r="R76" s="1">
        <v>999999</v>
      </c>
      <c r="T76" s="1" t="s">
        <v>220</v>
      </c>
    </row>
    <row r="77" ht="24" customHeight="1" spans="1:20">
      <c r="A77" s="1">
        <v>1024016</v>
      </c>
      <c r="C77" s="1">
        <v>1024016</v>
      </c>
      <c r="D77" s="1" t="s">
        <v>221</v>
      </c>
      <c r="E77" s="1">
        <v>1</v>
      </c>
      <c r="F77" s="1" t="s">
        <v>58</v>
      </c>
      <c r="I77" s="1">
        <v>1</v>
      </c>
      <c r="J77" s="1" t="b">
        <v>1</v>
      </c>
      <c r="K77" s="1" t="b">
        <v>1</v>
      </c>
      <c r="L77" s="1" t="s">
        <v>222</v>
      </c>
      <c r="M77" s="1">
        <v>2024016</v>
      </c>
      <c r="N77" s="1" t="b">
        <v>0</v>
      </c>
      <c r="O77" s="12" t="s">
        <v>223</v>
      </c>
      <c r="R77" s="1">
        <v>999999</v>
      </c>
      <c r="T77" s="1" t="s">
        <v>224</v>
      </c>
    </row>
    <row r="78" ht="24" customHeight="1" spans="1:20">
      <c r="A78" s="1">
        <v>1024017</v>
      </c>
      <c r="C78" s="1">
        <v>1024017</v>
      </c>
      <c r="D78" s="1" t="s">
        <v>225</v>
      </c>
      <c r="E78" s="1">
        <v>2</v>
      </c>
      <c r="F78" s="1" t="s">
        <v>58</v>
      </c>
      <c r="I78" s="1">
        <v>1</v>
      </c>
      <c r="J78" s="1" t="b">
        <v>1</v>
      </c>
      <c r="K78" s="1" t="b">
        <v>1</v>
      </c>
      <c r="L78" s="1" t="s">
        <v>226</v>
      </c>
      <c r="M78" s="1">
        <v>2024017</v>
      </c>
      <c r="N78" s="1" t="b">
        <v>0</v>
      </c>
      <c r="O78" s="12" t="s">
        <v>227</v>
      </c>
      <c r="R78" s="1">
        <v>999999</v>
      </c>
    </row>
    <row r="79" spans="1:20">
      <c r="A79" s="1">
        <v>1024018</v>
      </c>
      <c r="C79" s="1">
        <v>1024018</v>
      </c>
      <c r="D79" s="1" t="s">
        <v>228</v>
      </c>
      <c r="E79" s="1">
        <v>2</v>
      </c>
      <c r="F79" s="1" t="s">
        <v>58</v>
      </c>
      <c r="I79" s="1">
        <v>1</v>
      </c>
      <c r="J79" s="1" t="b">
        <v>0</v>
      </c>
      <c r="K79" s="1" t="b">
        <v>0</v>
      </c>
      <c r="L79" s="1" t="s">
        <v>229</v>
      </c>
      <c r="M79" s="1">
        <v>2024018</v>
      </c>
      <c r="N79" s="1" t="b">
        <v>0</v>
      </c>
      <c r="O79" s="1" t="s">
        <v>230</v>
      </c>
      <c r="R79" s="1">
        <v>-1</v>
      </c>
    </row>
    <row r="80" spans="1:20">
      <c r="A80" s="1">
        <v>1024019</v>
      </c>
      <c r="C80" s="1">
        <v>1024019</v>
      </c>
      <c r="D80" s="1" t="s">
        <v>231</v>
      </c>
      <c r="E80" s="1">
        <v>2</v>
      </c>
      <c r="F80" s="1" t="s">
        <v>58</v>
      </c>
      <c r="I80" s="1">
        <v>1</v>
      </c>
      <c r="J80" s="1" t="b">
        <v>0</v>
      </c>
      <c r="K80" s="1" t="b">
        <v>0</v>
      </c>
      <c r="L80" s="1" t="s">
        <v>232</v>
      </c>
      <c r="M80" s="1">
        <v>2024019</v>
      </c>
      <c r="N80" s="1" t="b">
        <v>0</v>
      </c>
      <c r="O80" s="1" t="s">
        <v>233</v>
      </c>
      <c r="R80" s="1">
        <v>-1</v>
      </c>
    </row>
    <row r="81" spans="1:18">
      <c r="A81" s="1">
        <v>1024020</v>
      </c>
      <c r="C81" s="1">
        <v>1024020</v>
      </c>
      <c r="D81" s="1" t="s">
        <v>234</v>
      </c>
      <c r="E81" s="1">
        <v>2</v>
      </c>
      <c r="F81" s="1" t="s">
        <v>58</v>
      </c>
      <c r="I81" s="1">
        <v>1</v>
      </c>
      <c r="J81" s="1" t="b">
        <v>0</v>
      </c>
      <c r="K81" s="1" t="b">
        <v>0</v>
      </c>
      <c r="L81" s="1" t="s">
        <v>232</v>
      </c>
      <c r="M81" s="1">
        <v>2024020</v>
      </c>
      <c r="N81" s="1" t="b">
        <v>0</v>
      </c>
      <c r="O81" s="1" t="s">
        <v>235</v>
      </c>
      <c r="R81" s="1">
        <v>-1</v>
      </c>
    </row>
    <row r="82" spans="1:18">
      <c r="A82" s="1">
        <v>1024021</v>
      </c>
      <c r="C82" s="1">
        <v>1024021</v>
      </c>
      <c r="D82" s="1" t="s">
        <v>236</v>
      </c>
      <c r="E82" s="1">
        <v>2</v>
      </c>
      <c r="F82" s="1" t="s">
        <v>58</v>
      </c>
      <c r="I82" s="1">
        <v>1</v>
      </c>
      <c r="J82" s="1" t="b">
        <v>0</v>
      </c>
      <c r="K82" s="1" t="b">
        <v>0</v>
      </c>
      <c r="L82" s="1" t="s">
        <v>232</v>
      </c>
      <c r="M82" s="1">
        <v>2024021</v>
      </c>
      <c r="N82" s="1" t="b">
        <v>0</v>
      </c>
      <c r="O82" s="1" t="s">
        <v>237</v>
      </c>
      <c r="R82" s="1">
        <v>-1</v>
      </c>
    </row>
    <row r="83" spans="1:18">
      <c r="A83" s="1">
        <v>1024022</v>
      </c>
      <c r="C83" s="1">
        <v>1024022</v>
      </c>
      <c r="D83" s="1" t="s">
        <v>238</v>
      </c>
      <c r="E83" s="1">
        <v>2</v>
      </c>
      <c r="F83" s="1" t="s">
        <v>58</v>
      </c>
      <c r="I83" s="1">
        <v>1</v>
      </c>
      <c r="J83" s="1" t="b">
        <v>0</v>
      </c>
      <c r="K83" s="1" t="b">
        <v>0</v>
      </c>
      <c r="L83" s="1" t="s">
        <v>232</v>
      </c>
      <c r="M83" s="1">
        <v>2024022</v>
      </c>
      <c r="N83" s="1" t="b">
        <v>0</v>
      </c>
      <c r="O83" s="1" t="s">
        <v>239</v>
      </c>
      <c r="R83" s="1">
        <v>-1</v>
      </c>
    </row>
    <row r="84" spans="1:18">
      <c r="A84" s="1">
        <v>1024023</v>
      </c>
      <c r="C84" s="1">
        <v>1024023</v>
      </c>
      <c r="D84" s="1" t="s">
        <v>240</v>
      </c>
      <c r="E84" s="1">
        <v>2</v>
      </c>
      <c r="F84" s="1" t="s">
        <v>58</v>
      </c>
      <c r="I84" s="1">
        <v>1</v>
      </c>
      <c r="J84" s="1" t="b">
        <v>0</v>
      </c>
      <c r="K84" s="1" t="b">
        <v>0</v>
      </c>
      <c r="L84" s="1" t="s">
        <v>232</v>
      </c>
      <c r="M84" s="1">
        <v>2024023</v>
      </c>
      <c r="N84" s="1" t="b">
        <v>0</v>
      </c>
      <c r="O84" s="1" t="s">
        <v>241</v>
      </c>
      <c r="R84" s="1">
        <v>-1</v>
      </c>
    </row>
    <row r="85" ht="17.25" spans="1:18">
      <c r="A85" s="1">
        <v>1024024</v>
      </c>
      <c r="C85" s="1">
        <v>1024024</v>
      </c>
      <c r="D85" s="1" t="s">
        <v>242</v>
      </c>
      <c r="E85" s="1">
        <v>2</v>
      </c>
      <c r="F85" s="1" t="s">
        <v>58</v>
      </c>
      <c r="G85" s="1">
        <v>1</v>
      </c>
      <c r="H85" s="13">
        <v>100300</v>
      </c>
      <c r="I85" s="1">
        <v>1</v>
      </c>
      <c r="J85" s="1" t="b">
        <v>1</v>
      </c>
      <c r="K85" s="1" t="b">
        <v>1</v>
      </c>
      <c r="L85" s="1" t="s">
        <v>243</v>
      </c>
      <c r="M85" s="1">
        <v>2024024</v>
      </c>
      <c r="N85" s="1" t="b">
        <v>0</v>
      </c>
      <c r="O85" s="1" t="s">
        <v>244</v>
      </c>
      <c r="R85" s="1">
        <v>999999</v>
      </c>
    </row>
    <row r="86" ht="17.25" spans="1:18">
      <c r="A86" s="1">
        <v>1024025</v>
      </c>
      <c r="C86" s="1">
        <v>1024024</v>
      </c>
      <c r="D86" s="1" t="s">
        <v>242</v>
      </c>
      <c r="E86" s="1">
        <v>2</v>
      </c>
      <c r="F86" s="1" t="s">
        <v>58</v>
      </c>
      <c r="G86" s="1">
        <v>1</v>
      </c>
      <c r="H86" s="13">
        <v>103400</v>
      </c>
      <c r="I86" s="1">
        <v>1</v>
      </c>
      <c r="J86" s="1" t="b">
        <v>1</v>
      </c>
      <c r="K86" s="1" t="b">
        <v>1</v>
      </c>
      <c r="L86" s="1" t="s">
        <v>245</v>
      </c>
      <c r="M86" s="1">
        <v>2024025</v>
      </c>
      <c r="N86" s="1" t="b">
        <v>0</v>
      </c>
      <c r="O86" s="1" t="s">
        <v>246</v>
      </c>
      <c r="R86" s="1">
        <v>999999</v>
      </c>
    </row>
    <row r="87" spans="1:18">
      <c r="A87" s="1">
        <v>1024026</v>
      </c>
      <c r="C87" s="1">
        <v>1024024</v>
      </c>
      <c r="D87" s="1" t="s">
        <v>242</v>
      </c>
      <c r="E87" s="1">
        <v>2</v>
      </c>
      <c r="F87" s="1" t="s">
        <v>58</v>
      </c>
      <c r="G87" s="1">
        <v>1</v>
      </c>
      <c r="H87" s="14">
        <v>103401</v>
      </c>
      <c r="I87" s="1">
        <v>1</v>
      </c>
      <c r="J87" s="1" t="b">
        <v>1</v>
      </c>
      <c r="K87" s="1" t="b">
        <v>1</v>
      </c>
      <c r="L87" s="1" t="s">
        <v>247</v>
      </c>
      <c r="M87" s="1">
        <v>2024026</v>
      </c>
      <c r="N87" s="1" t="b">
        <v>0</v>
      </c>
      <c r="O87" s="1" t="s">
        <v>248</v>
      </c>
      <c r="R87" s="1">
        <v>999999</v>
      </c>
    </row>
    <row r="88" spans="1:18">
      <c r="A88" s="1">
        <v>1024027</v>
      </c>
      <c r="C88" s="1">
        <v>1024024</v>
      </c>
      <c r="D88" s="1" t="s">
        <v>242</v>
      </c>
      <c r="E88" s="1">
        <v>2</v>
      </c>
      <c r="F88" s="1" t="s">
        <v>58</v>
      </c>
      <c r="G88" s="1">
        <v>1</v>
      </c>
      <c r="H88" s="14">
        <v>101400</v>
      </c>
      <c r="I88" s="1">
        <v>1</v>
      </c>
      <c r="J88" s="1" t="b">
        <v>1</v>
      </c>
      <c r="K88" s="1" t="b">
        <v>1</v>
      </c>
      <c r="L88" s="1" t="s">
        <v>249</v>
      </c>
      <c r="M88" s="1">
        <v>2024027</v>
      </c>
      <c r="N88" s="1" t="b">
        <v>0</v>
      </c>
      <c r="O88" s="1" t="s">
        <v>250</v>
      </c>
      <c r="R88" s="1">
        <v>999999</v>
      </c>
    </row>
    <row r="89" spans="1:18">
      <c r="A89" s="1">
        <v>1024028</v>
      </c>
      <c r="C89" s="1">
        <v>1024024</v>
      </c>
      <c r="D89" s="1" t="s">
        <v>242</v>
      </c>
      <c r="E89" s="1">
        <v>2</v>
      </c>
      <c r="F89" s="1" t="s">
        <v>58</v>
      </c>
      <c r="G89" s="1">
        <v>1</v>
      </c>
      <c r="H89" s="14">
        <v>103500</v>
      </c>
      <c r="I89" s="1">
        <v>1</v>
      </c>
      <c r="J89" s="1" t="b">
        <v>1</v>
      </c>
      <c r="K89" s="1" t="b">
        <v>1</v>
      </c>
      <c r="L89" s="1" t="s">
        <v>251</v>
      </c>
      <c r="M89" s="1">
        <v>2024028</v>
      </c>
      <c r="N89" s="1" t="b">
        <v>0</v>
      </c>
      <c r="O89" s="1" t="s">
        <v>252</v>
      </c>
      <c r="R89" s="1">
        <v>999999</v>
      </c>
    </row>
    <row r="90" spans="1:18">
      <c r="A90" s="1">
        <v>1024029</v>
      </c>
      <c r="C90" s="1">
        <v>1024024</v>
      </c>
      <c r="D90" s="1" t="s">
        <v>242</v>
      </c>
      <c r="E90" s="1">
        <v>2</v>
      </c>
      <c r="F90" s="1" t="s">
        <v>58</v>
      </c>
      <c r="G90" s="1">
        <v>1</v>
      </c>
      <c r="H90" s="14">
        <v>103501</v>
      </c>
      <c r="I90" s="1">
        <v>1</v>
      </c>
      <c r="J90" s="1" t="b">
        <v>1</v>
      </c>
      <c r="K90" s="1" t="b">
        <v>1</v>
      </c>
      <c r="L90" s="1" t="s">
        <v>253</v>
      </c>
      <c r="M90" s="1">
        <v>2024029</v>
      </c>
      <c r="N90" s="1" t="b">
        <v>0</v>
      </c>
      <c r="O90" s="1" t="s">
        <v>254</v>
      </c>
      <c r="R90" s="1">
        <v>999999</v>
      </c>
    </row>
    <row r="91" spans="1:18">
      <c r="A91" s="1">
        <v>1024030</v>
      </c>
      <c r="C91" s="1">
        <v>1024024</v>
      </c>
      <c r="D91" s="1" t="s">
        <v>242</v>
      </c>
      <c r="E91" s="1">
        <v>2</v>
      </c>
      <c r="F91" s="1" t="s">
        <v>58</v>
      </c>
      <c r="G91" s="1">
        <v>1</v>
      </c>
      <c r="H91" s="14">
        <v>100700</v>
      </c>
      <c r="I91" s="1">
        <v>1</v>
      </c>
      <c r="J91" s="1" t="b">
        <v>1</v>
      </c>
      <c r="K91" s="1" t="b">
        <v>1</v>
      </c>
      <c r="L91" s="1" t="s">
        <v>255</v>
      </c>
      <c r="M91" s="1">
        <v>2024030</v>
      </c>
      <c r="N91" s="1" t="b">
        <v>0</v>
      </c>
      <c r="O91" s="1" t="s">
        <v>256</v>
      </c>
      <c r="R91" s="1">
        <v>999999</v>
      </c>
    </row>
    <row r="92" spans="1:18">
      <c r="A92" s="1">
        <v>1024031</v>
      </c>
      <c r="C92" s="1">
        <v>1024024</v>
      </c>
      <c r="D92" s="1" t="s">
        <v>242</v>
      </c>
      <c r="E92" s="1">
        <v>2</v>
      </c>
      <c r="F92" s="1" t="s">
        <v>58</v>
      </c>
      <c r="G92" s="1">
        <v>1</v>
      </c>
      <c r="H92" s="14">
        <v>103700</v>
      </c>
      <c r="I92" s="1">
        <v>1</v>
      </c>
      <c r="J92" s="1" t="b">
        <v>1</v>
      </c>
      <c r="K92" s="1" t="b">
        <v>1</v>
      </c>
      <c r="L92" s="1" t="s">
        <v>257</v>
      </c>
      <c r="M92" s="1">
        <v>2024031</v>
      </c>
      <c r="N92" s="1" t="b">
        <v>0</v>
      </c>
      <c r="O92" s="1" t="s">
        <v>258</v>
      </c>
      <c r="R92" s="1">
        <v>999999</v>
      </c>
    </row>
    <row r="93" spans="1:18">
      <c r="A93" s="1">
        <v>1024032</v>
      </c>
      <c r="C93" s="1">
        <v>1024024</v>
      </c>
      <c r="D93" s="1" t="s">
        <v>242</v>
      </c>
      <c r="E93" s="1">
        <v>2</v>
      </c>
      <c r="F93" s="1" t="s">
        <v>58</v>
      </c>
      <c r="G93" s="1">
        <v>1</v>
      </c>
      <c r="H93" s="14">
        <v>103600</v>
      </c>
      <c r="I93" s="1">
        <v>1</v>
      </c>
      <c r="J93" s="1" t="b">
        <v>1</v>
      </c>
      <c r="K93" s="1" t="b">
        <v>1</v>
      </c>
      <c r="L93" s="1" t="s">
        <v>259</v>
      </c>
      <c r="M93" s="1">
        <v>2024032</v>
      </c>
      <c r="N93" s="1" t="b">
        <v>0</v>
      </c>
      <c r="O93" s="1" t="s">
        <v>260</v>
      </c>
      <c r="R93" s="1">
        <v>999999</v>
      </c>
    </row>
    <row r="94" spans="1:18">
      <c r="A94" s="1">
        <v>1024033</v>
      </c>
      <c r="C94" s="1">
        <v>1024024</v>
      </c>
      <c r="D94" s="1" t="s">
        <v>242</v>
      </c>
      <c r="E94" s="1">
        <v>2</v>
      </c>
      <c r="F94" s="1" t="s">
        <v>58</v>
      </c>
      <c r="G94" s="1">
        <v>1</v>
      </c>
      <c r="H94" s="14">
        <v>101700</v>
      </c>
      <c r="I94" s="1">
        <v>1</v>
      </c>
      <c r="J94" s="1" t="b">
        <v>1</v>
      </c>
      <c r="K94" s="1" t="b">
        <v>1</v>
      </c>
      <c r="L94" s="1" t="s">
        <v>261</v>
      </c>
      <c r="M94" s="1">
        <v>2024033</v>
      </c>
      <c r="N94" s="1" t="b">
        <v>0</v>
      </c>
      <c r="O94" s="1" t="s">
        <v>262</v>
      </c>
      <c r="R94" s="1">
        <v>999999</v>
      </c>
    </row>
    <row r="95" spans="1:18">
      <c r="A95" s="1">
        <v>1024034</v>
      </c>
      <c r="C95" s="1">
        <v>1024025</v>
      </c>
      <c r="D95" s="1" t="s">
        <v>263</v>
      </c>
      <c r="E95" s="1">
        <v>2</v>
      </c>
      <c r="F95" s="1" t="s">
        <v>58</v>
      </c>
      <c r="I95" s="1">
        <v>1</v>
      </c>
      <c r="J95" s="1" t="b">
        <v>1</v>
      </c>
      <c r="K95" s="1" t="b">
        <v>1</v>
      </c>
      <c r="L95" s="1" t="s">
        <v>264</v>
      </c>
      <c r="M95" s="1">
        <v>2024034</v>
      </c>
      <c r="N95" s="1" t="b">
        <v>0</v>
      </c>
      <c r="O95" s="1" t="s">
        <v>265</v>
      </c>
      <c r="R95" s="1">
        <v>999999</v>
      </c>
    </row>
    <row r="96" spans="1:18">
      <c r="A96" s="1">
        <v>1024035</v>
      </c>
      <c r="C96" s="1">
        <v>1024026</v>
      </c>
      <c r="D96" s="1" t="s">
        <v>266</v>
      </c>
      <c r="E96" s="1">
        <v>2</v>
      </c>
      <c r="F96" s="1" t="s">
        <v>58</v>
      </c>
      <c r="I96" s="1">
        <v>1</v>
      </c>
      <c r="J96" s="1" t="b">
        <v>1</v>
      </c>
      <c r="K96" s="1" t="b">
        <v>1</v>
      </c>
      <c r="L96" s="1" t="s">
        <v>267</v>
      </c>
      <c r="M96" s="1">
        <v>2024035</v>
      </c>
      <c r="N96" s="1" t="b">
        <v>0</v>
      </c>
      <c r="O96" s="1" t="s">
        <v>268</v>
      </c>
      <c r="R96" s="1">
        <v>999999</v>
      </c>
    </row>
    <row r="97" spans="1:19">
      <c r="A97" s="1">
        <v>1024036</v>
      </c>
      <c r="C97" s="1">
        <v>1024027</v>
      </c>
      <c r="D97" s="1" t="s">
        <v>269</v>
      </c>
      <c r="E97" s="1">
        <v>2</v>
      </c>
      <c r="F97" s="1" t="s">
        <v>58</v>
      </c>
      <c r="I97" s="1">
        <v>1</v>
      </c>
      <c r="J97" s="1" t="b">
        <v>1</v>
      </c>
      <c r="K97" s="1" t="b">
        <v>1</v>
      </c>
      <c r="L97" s="1" t="s">
        <v>270</v>
      </c>
      <c r="M97" s="1">
        <v>2024036</v>
      </c>
      <c r="N97" s="1" t="b">
        <v>0</v>
      </c>
      <c r="O97" s="1" t="s">
        <v>271</v>
      </c>
      <c r="R97" s="1">
        <v>999999</v>
      </c>
    </row>
    <row r="98" spans="1:19">
      <c r="A98" s="1">
        <v>1024037</v>
      </c>
      <c r="C98" s="1">
        <v>1024028</v>
      </c>
      <c r="D98" s="1" t="s">
        <v>272</v>
      </c>
      <c r="E98" s="1">
        <v>2</v>
      </c>
      <c r="F98" s="1" t="s">
        <v>58</v>
      </c>
      <c r="I98" s="1">
        <v>1</v>
      </c>
      <c r="J98" s="1" t="b">
        <v>1</v>
      </c>
      <c r="K98" s="1" t="b">
        <v>1</v>
      </c>
      <c r="L98" s="1" t="s">
        <v>273</v>
      </c>
      <c r="M98" s="1">
        <v>2024037</v>
      </c>
      <c r="N98" s="1" t="b">
        <v>0</v>
      </c>
      <c r="O98" s="1" t="s">
        <v>274</v>
      </c>
      <c r="R98" s="1">
        <v>999999</v>
      </c>
    </row>
    <row r="99" spans="1:19">
      <c r="A99" s="1">
        <v>1024038</v>
      </c>
      <c r="C99" s="1">
        <v>1024029</v>
      </c>
      <c r="D99" s="1" t="s">
        <v>275</v>
      </c>
      <c r="E99" s="1">
        <v>2</v>
      </c>
      <c r="F99" s="1" t="s">
        <v>58</v>
      </c>
      <c r="I99" s="1">
        <v>1</v>
      </c>
      <c r="J99" s="1" t="b">
        <v>1</v>
      </c>
      <c r="K99" s="1" t="b">
        <v>1</v>
      </c>
      <c r="L99" s="1" t="s">
        <v>276</v>
      </c>
      <c r="M99" s="1">
        <v>2024038</v>
      </c>
      <c r="N99" s="1" t="b">
        <v>0</v>
      </c>
      <c r="O99" s="1" t="s">
        <v>277</v>
      </c>
      <c r="R99" s="1">
        <v>999999</v>
      </c>
    </row>
    <row r="100" spans="1:19">
      <c r="A100" s="1">
        <v>1024039</v>
      </c>
      <c r="C100" s="1">
        <v>1024030</v>
      </c>
      <c r="D100" s="1" t="s">
        <v>278</v>
      </c>
      <c r="E100" s="1">
        <v>2</v>
      </c>
      <c r="F100" s="1" t="s">
        <v>58</v>
      </c>
      <c r="I100" s="1">
        <v>1</v>
      </c>
      <c r="J100" s="1" t="b">
        <v>1</v>
      </c>
      <c r="K100" s="1" t="b">
        <v>1</v>
      </c>
      <c r="L100" s="1" t="s">
        <v>279</v>
      </c>
      <c r="M100" s="1">
        <v>2024039</v>
      </c>
      <c r="N100" s="1" t="b">
        <v>0</v>
      </c>
      <c r="O100" s="1" t="s">
        <v>280</v>
      </c>
      <c r="R100" s="1">
        <v>999999</v>
      </c>
    </row>
    <row r="101" spans="1:19">
      <c r="A101" s="1">
        <v>1024040</v>
      </c>
      <c r="C101" s="1">
        <v>1024024</v>
      </c>
      <c r="D101" s="1" t="s">
        <v>242</v>
      </c>
      <c r="E101" s="1">
        <v>2</v>
      </c>
      <c r="F101" s="1" t="s">
        <v>58</v>
      </c>
      <c r="G101" s="1">
        <v>1</v>
      </c>
      <c r="H101" s="14">
        <v>101200</v>
      </c>
      <c r="I101" s="1">
        <v>1</v>
      </c>
      <c r="J101" s="1" t="b">
        <v>1</v>
      </c>
      <c r="K101" s="1" t="b">
        <v>1</v>
      </c>
      <c r="L101" s="1" t="s">
        <v>281</v>
      </c>
      <c r="M101" s="1">
        <v>2024040</v>
      </c>
      <c r="N101" s="1" t="b">
        <v>0</v>
      </c>
      <c r="O101" s="1" t="s">
        <v>282</v>
      </c>
      <c r="R101" s="1">
        <v>999999</v>
      </c>
    </row>
    <row r="102" spans="1:19">
      <c r="A102" s="1">
        <v>1024041</v>
      </c>
      <c r="C102" s="1">
        <v>1024031</v>
      </c>
      <c r="D102" s="1" t="str">
        <f>D147&amp;"招商卡"</f>
        <v>街头潮人招商卡</v>
      </c>
      <c r="E102" s="1">
        <v>1</v>
      </c>
      <c r="F102" s="1" t="s">
        <v>58</v>
      </c>
      <c r="I102" s="1">
        <v>1</v>
      </c>
      <c r="J102" s="1" t="b">
        <v>1</v>
      </c>
      <c r="K102" s="1" t="b">
        <v>1</v>
      </c>
      <c r="L102" s="1" t="s">
        <v>283</v>
      </c>
      <c r="M102" s="1">
        <v>2024041</v>
      </c>
      <c r="N102" s="1" t="b">
        <v>0</v>
      </c>
      <c r="O102" s="1" t="str">
        <f>"使用该道具后可以指定生成游客"&amp;D147</f>
        <v>使用该道具后可以指定生成游客街头潮人</v>
      </c>
      <c r="R102" s="1">
        <v>999999</v>
      </c>
      <c r="S102" s="1" t="s">
        <v>284</v>
      </c>
    </row>
    <row r="103" spans="1:19">
      <c r="A103" s="1">
        <v>1024042</v>
      </c>
      <c r="C103" s="1">
        <v>1024032</v>
      </c>
      <c r="D103" s="1" t="str">
        <f t="shared" ref="D103:D131" si="0">D148&amp;"招商卡"</f>
        <v>复古绅士招商卡</v>
      </c>
      <c r="E103" s="1">
        <v>1</v>
      </c>
      <c r="F103" s="1" t="s">
        <v>58</v>
      </c>
      <c r="I103" s="1">
        <v>1</v>
      </c>
      <c r="J103" s="1" t="b">
        <v>1</v>
      </c>
      <c r="K103" s="1" t="b">
        <v>1</v>
      </c>
      <c r="L103" s="1" t="s">
        <v>285</v>
      </c>
      <c r="M103" s="1">
        <v>2024042</v>
      </c>
      <c r="N103" s="1" t="b">
        <v>0</v>
      </c>
      <c r="O103" s="1" t="str">
        <f t="shared" ref="O103:O131" si="1">"使用该道具后可以指定生成游客"&amp;D148</f>
        <v>使用该道具后可以指定生成游客复古绅士</v>
      </c>
      <c r="R103" s="1">
        <v>999999</v>
      </c>
      <c r="S103" s="1" t="s">
        <v>286</v>
      </c>
    </row>
    <row r="104" spans="1:19">
      <c r="A104" s="1">
        <v>1024043</v>
      </c>
      <c r="C104" s="1">
        <v>1024033</v>
      </c>
      <c r="D104" s="1" t="str">
        <f t="shared" si="0"/>
        <v>酷盖少年招商卡</v>
      </c>
      <c r="E104" s="1">
        <v>1</v>
      </c>
      <c r="F104" s="1" t="s">
        <v>58</v>
      </c>
      <c r="I104" s="1">
        <v>1</v>
      </c>
      <c r="J104" s="1" t="b">
        <v>1</v>
      </c>
      <c r="K104" s="1" t="b">
        <v>1</v>
      </c>
      <c r="L104" s="1" t="s">
        <v>287</v>
      </c>
      <c r="M104" s="1">
        <v>2024043</v>
      </c>
      <c r="N104" s="1" t="b">
        <v>0</v>
      </c>
      <c r="O104" s="1" t="str">
        <f t="shared" si="1"/>
        <v>使用该道具后可以指定生成游客酷盖少年</v>
      </c>
      <c r="R104" s="1">
        <v>999999</v>
      </c>
      <c r="S104" s="1" t="s">
        <v>288</v>
      </c>
    </row>
    <row r="105" spans="1:19">
      <c r="A105" s="1">
        <v>1024044</v>
      </c>
      <c r="C105" s="1">
        <v>1024034</v>
      </c>
      <c r="D105" s="1" t="str">
        <f t="shared" si="0"/>
        <v>潮流先锋招商卡</v>
      </c>
      <c r="E105" s="1">
        <v>1</v>
      </c>
      <c r="F105" s="1" t="s">
        <v>58</v>
      </c>
      <c r="I105" s="1">
        <v>1</v>
      </c>
      <c r="J105" s="1" t="b">
        <v>1</v>
      </c>
      <c r="K105" s="1" t="b">
        <v>1</v>
      </c>
      <c r="L105" s="1" t="s">
        <v>289</v>
      </c>
      <c r="M105" s="1">
        <v>2024044</v>
      </c>
      <c r="N105" s="1" t="b">
        <v>0</v>
      </c>
      <c r="O105" s="1" t="str">
        <f t="shared" si="1"/>
        <v>使用该道具后可以指定生成游客潮流先锋</v>
      </c>
      <c r="R105" s="1">
        <v>999999</v>
      </c>
      <c r="S105" s="1" t="s">
        <v>290</v>
      </c>
    </row>
    <row r="106" spans="1:19">
      <c r="A106" s="1">
        <v>1024045</v>
      </c>
      <c r="C106" s="1">
        <v>1024035</v>
      </c>
      <c r="D106" s="1" t="str">
        <f t="shared" si="0"/>
        <v>时尚教主招商卡</v>
      </c>
      <c r="E106" s="1">
        <v>1</v>
      </c>
      <c r="F106" s="1" t="s">
        <v>58</v>
      </c>
      <c r="I106" s="1">
        <v>1</v>
      </c>
      <c r="J106" s="1" t="b">
        <v>1</v>
      </c>
      <c r="K106" s="1" t="b">
        <v>1</v>
      </c>
      <c r="L106" s="1" t="s">
        <v>291</v>
      </c>
      <c r="M106" s="1">
        <v>2024045</v>
      </c>
      <c r="N106" s="1" t="b">
        <v>0</v>
      </c>
      <c r="O106" s="1" t="str">
        <f t="shared" si="1"/>
        <v>使用该道具后可以指定生成游客时尚教主</v>
      </c>
      <c r="R106" s="1">
        <v>999999</v>
      </c>
      <c r="S106" s="1" t="s">
        <v>292</v>
      </c>
    </row>
    <row r="107" spans="1:19">
      <c r="A107" s="1">
        <v>1024046</v>
      </c>
      <c r="C107" s="1">
        <v>1024036</v>
      </c>
      <c r="D107" s="1" t="str">
        <f t="shared" si="0"/>
        <v>街拍达人招商卡</v>
      </c>
      <c r="E107" s="1">
        <v>1</v>
      </c>
      <c r="F107" s="1" t="s">
        <v>58</v>
      </c>
      <c r="I107" s="1">
        <v>1</v>
      </c>
      <c r="J107" s="1" t="b">
        <v>1</v>
      </c>
      <c r="K107" s="1" t="b">
        <v>1</v>
      </c>
      <c r="L107" s="1" t="s">
        <v>293</v>
      </c>
      <c r="M107" s="1">
        <v>2024046</v>
      </c>
      <c r="N107" s="1" t="b">
        <v>0</v>
      </c>
      <c r="O107" s="1" t="str">
        <f t="shared" si="1"/>
        <v>使用该道具后可以指定生成游客街拍达人</v>
      </c>
      <c r="R107" s="1">
        <v>999999</v>
      </c>
      <c r="S107" s="1" t="s">
        <v>294</v>
      </c>
    </row>
    <row r="108" spans="1:19">
      <c r="A108" s="1">
        <v>1024047</v>
      </c>
      <c r="C108" s="1">
        <v>1024037</v>
      </c>
      <c r="D108" s="1" t="str">
        <f t="shared" si="0"/>
        <v>运动健将招商卡</v>
      </c>
      <c r="E108" s="1">
        <v>1</v>
      </c>
      <c r="F108" s="1" t="s">
        <v>58</v>
      </c>
      <c r="I108" s="1">
        <v>2</v>
      </c>
      <c r="J108" s="1" t="b">
        <v>1</v>
      </c>
      <c r="K108" s="1" t="b">
        <v>1</v>
      </c>
      <c r="L108" s="1" t="s">
        <v>295</v>
      </c>
      <c r="M108" s="1">
        <v>2024047</v>
      </c>
      <c r="N108" s="1" t="b">
        <v>0</v>
      </c>
      <c r="O108" s="1" t="str">
        <f t="shared" si="1"/>
        <v>使用该道具后可以指定生成游客运动健将</v>
      </c>
      <c r="R108" s="1">
        <v>999999</v>
      </c>
      <c r="S108" s="1" t="s">
        <v>296</v>
      </c>
    </row>
    <row r="109" spans="1:19">
      <c r="A109" s="1">
        <v>1024048</v>
      </c>
      <c r="C109" s="1">
        <v>1024038</v>
      </c>
      <c r="D109" s="1" t="str">
        <f t="shared" si="0"/>
        <v>跑酷少年招商卡</v>
      </c>
      <c r="E109" s="1">
        <v>1</v>
      </c>
      <c r="F109" s="1" t="s">
        <v>58</v>
      </c>
      <c r="I109" s="1">
        <v>2</v>
      </c>
      <c r="J109" s="1" t="b">
        <v>1</v>
      </c>
      <c r="K109" s="1" t="b">
        <v>1</v>
      </c>
      <c r="L109" s="1" t="s">
        <v>297</v>
      </c>
      <c r="M109" s="1">
        <v>2024048</v>
      </c>
      <c r="N109" s="1" t="b">
        <v>0</v>
      </c>
      <c r="O109" s="1" t="str">
        <f t="shared" si="1"/>
        <v>使用该道具后可以指定生成游客跑酷少年</v>
      </c>
      <c r="R109" s="1">
        <v>999999</v>
      </c>
      <c r="S109" s="1" t="s">
        <v>298</v>
      </c>
    </row>
    <row r="110" spans="1:19">
      <c r="A110" s="1">
        <v>1024049</v>
      </c>
      <c r="C110" s="1">
        <v>1024039</v>
      </c>
      <c r="D110" s="1" t="str">
        <f t="shared" si="0"/>
        <v>滑板高手招商卡</v>
      </c>
      <c r="E110" s="1">
        <v>1</v>
      </c>
      <c r="F110" s="1" t="s">
        <v>58</v>
      </c>
      <c r="I110" s="1">
        <v>2</v>
      </c>
      <c r="J110" s="1" t="b">
        <v>1</v>
      </c>
      <c r="K110" s="1" t="b">
        <v>1</v>
      </c>
      <c r="L110" s="1" t="s">
        <v>299</v>
      </c>
      <c r="M110" s="1">
        <v>2024049</v>
      </c>
      <c r="N110" s="1" t="b">
        <v>0</v>
      </c>
      <c r="O110" s="1" t="str">
        <f t="shared" si="1"/>
        <v>使用该道具后可以指定生成游客滑板高手</v>
      </c>
      <c r="R110" s="1">
        <v>999999</v>
      </c>
      <c r="S110" s="1" t="s">
        <v>300</v>
      </c>
    </row>
    <row r="111" spans="1:19">
      <c r="A111" s="1">
        <v>1024050</v>
      </c>
      <c r="C111" s="1">
        <v>1024040</v>
      </c>
      <c r="D111" s="1" t="str">
        <f t="shared" si="0"/>
        <v>甜心辣妹招商卡</v>
      </c>
      <c r="E111" s="1">
        <v>1</v>
      </c>
      <c r="F111" s="1" t="s">
        <v>58</v>
      </c>
      <c r="I111" s="1">
        <v>2</v>
      </c>
      <c r="J111" s="1" t="b">
        <v>1</v>
      </c>
      <c r="K111" s="1" t="b">
        <v>1</v>
      </c>
      <c r="L111" s="1" t="s">
        <v>301</v>
      </c>
      <c r="M111" s="1">
        <v>2024050</v>
      </c>
      <c r="N111" s="1" t="b">
        <v>0</v>
      </c>
      <c r="O111" s="1" t="str">
        <f t="shared" si="1"/>
        <v>使用该道具后可以指定生成游客甜心辣妹</v>
      </c>
      <c r="R111" s="1">
        <v>999999</v>
      </c>
      <c r="S111" s="1" t="s">
        <v>302</v>
      </c>
    </row>
    <row r="112" spans="1:19">
      <c r="A112" s="1">
        <v>1024051</v>
      </c>
      <c r="C112" s="1">
        <v>1024041</v>
      </c>
      <c r="D112" s="1" t="str">
        <f t="shared" si="0"/>
        <v>活力少女招商卡</v>
      </c>
      <c r="E112" s="1">
        <v>1</v>
      </c>
      <c r="F112" s="1" t="s">
        <v>58</v>
      </c>
      <c r="I112" s="1">
        <v>2</v>
      </c>
      <c r="J112" s="1" t="b">
        <v>1</v>
      </c>
      <c r="K112" s="1" t="b">
        <v>1</v>
      </c>
      <c r="L112" s="1" t="s">
        <v>303</v>
      </c>
      <c r="M112" s="1">
        <v>2024051</v>
      </c>
      <c r="N112" s="1" t="b">
        <v>0</v>
      </c>
      <c r="O112" s="1" t="str">
        <f t="shared" si="1"/>
        <v>使用该道具后可以指定生成游客活力少女</v>
      </c>
      <c r="R112" s="1">
        <v>999999</v>
      </c>
      <c r="S112" s="1" t="s">
        <v>304</v>
      </c>
    </row>
    <row r="113" spans="1:19">
      <c r="A113" s="1">
        <v>1024052</v>
      </c>
      <c r="C113" s="1">
        <v>1024042</v>
      </c>
      <c r="D113" s="1" t="str">
        <f t="shared" si="0"/>
        <v>优雅女神招商卡</v>
      </c>
      <c r="E113" s="1">
        <v>1</v>
      </c>
      <c r="F113" s="1" t="s">
        <v>58</v>
      </c>
      <c r="I113" s="1">
        <v>2</v>
      </c>
      <c r="J113" s="1" t="b">
        <v>1</v>
      </c>
      <c r="K113" s="1" t="b">
        <v>1</v>
      </c>
      <c r="L113" s="1" t="s">
        <v>305</v>
      </c>
      <c r="M113" s="1">
        <v>2024052</v>
      </c>
      <c r="N113" s="1" t="b">
        <v>0</v>
      </c>
      <c r="O113" s="1" t="str">
        <f t="shared" si="1"/>
        <v>使用该道具后可以指定生成游客优雅女神</v>
      </c>
      <c r="R113" s="1">
        <v>999999</v>
      </c>
      <c r="S113" s="1" t="s">
        <v>306</v>
      </c>
    </row>
    <row r="114" spans="1:19">
      <c r="A114" s="1">
        <v>1024053</v>
      </c>
      <c r="C114" s="1">
        <v>1024043</v>
      </c>
      <c r="D114" s="1" t="str">
        <f t="shared" si="0"/>
        <v>健身狂魔招商卡</v>
      </c>
      <c r="E114" s="1">
        <v>1</v>
      </c>
      <c r="F114" s="1" t="s">
        <v>58</v>
      </c>
      <c r="I114" s="1">
        <v>3</v>
      </c>
      <c r="J114" s="1" t="b">
        <v>1</v>
      </c>
      <c r="K114" s="1" t="b">
        <v>1</v>
      </c>
      <c r="L114" s="1" t="s">
        <v>307</v>
      </c>
      <c r="M114" s="1">
        <v>2024053</v>
      </c>
      <c r="N114" s="1" t="b">
        <v>0</v>
      </c>
      <c r="O114" s="1" t="str">
        <f t="shared" si="1"/>
        <v>使用该道具后可以指定生成游客健身狂魔</v>
      </c>
      <c r="R114" s="1">
        <v>999999</v>
      </c>
      <c r="S114" s="1" t="s">
        <v>308</v>
      </c>
    </row>
    <row r="115" spans="1:19">
      <c r="A115" s="1">
        <v>1024054</v>
      </c>
      <c r="C115" s="1">
        <v>1024044</v>
      </c>
      <c r="D115" s="1" t="str">
        <f t="shared" si="0"/>
        <v>单车骑士招商卡</v>
      </c>
      <c r="E115" s="1">
        <v>1</v>
      </c>
      <c r="F115" s="1" t="s">
        <v>58</v>
      </c>
      <c r="I115" s="1">
        <v>3</v>
      </c>
      <c r="J115" s="1" t="b">
        <v>1</v>
      </c>
      <c r="K115" s="1" t="b">
        <v>1</v>
      </c>
      <c r="L115" s="1" t="s">
        <v>309</v>
      </c>
      <c r="M115" s="1">
        <v>2024054</v>
      </c>
      <c r="N115" s="1" t="b">
        <v>0</v>
      </c>
      <c r="O115" s="1" t="str">
        <f t="shared" si="1"/>
        <v>使用该道具后可以指定生成游客单车骑士</v>
      </c>
      <c r="R115" s="1">
        <v>999999</v>
      </c>
      <c r="S115" s="1" t="s">
        <v>310</v>
      </c>
    </row>
    <row r="116" spans="1:19">
      <c r="A116" s="1">
        <v>1024055</v>
      </c>
      <c r="C116" s="1">
        <v>1024045</v>
      </c>
      <c r="D116" s="1" t="str">
        <f t="shared" si="0"/>
        <v>登山行者招商卡</v>
      </c>
      <c r="E116" s="1">
        <v>1</v>
      </c>
      <c r="F116" s="1" t="s">
        <v>58</v>
      </c>
      <c r="I116" s="1">
        <v>3</v>
      </c>
      <c r="J116" s="1" t="b">
        <v>1</v>
      </c>
      <c r="K116" s="1" t="b">
        <v>1</v>
      </c>
      <c r="L116" s="1" t="s">
        <v>311</v>
      </c>
      <c r="M116" s="1">
        <v>2024055</v>
      </c>
      <c r="N116" s="1" t="b">
        <v>0</v>
      </c>
      <c r="O116" s="1" t="str">
        <f t="shared" si="1"/>
        <v>使用该道具后可以指定生成游客登山行者</v>
      </c>
      <c r="R116" s="1">
        <v>999999</v>
      </c>
      <c r="S116" s="1" t="s">
        <v>312</v>
      </c>
    </row>
    <row r="117" spans="1:19">
      <c r="A117" s="1">
        <v>1024056</v>
      </c>
      <c r="C117" s="1">
        <v>1024046</v>
      </c>
      <c r="D117" s="1" t="str">
        <f t="shared" si="0"/>
        <v>文艺青年招商卡</v>
      </c>
      <c r="E117" s="1">
        <v>1</v>
      </c>
      <c r="F117" s="1" t="s">
        <v>58</v>
      </c>
      <c r="I117" s="1">
        <v>3</v>
      </c>
      <c r="J117" s="1" t="b">
        <v>1</v>
      </c>
      <c r="K117" s="1" t="b">
        <v>1</v>
      </c>
      <c r="L117" s="1" t="s">
        <v>313</v>
      </c>
      <c r="M117" s="1">
        <v>2024056</v>
      </c>
      <c r="N117" s="1" t="b">
        <v>0</v>
      </c>
      <c r="O117" s="1" t="str">
        <f t="shared" si="1"/>
        <v>使用该道具后可以指定生成游客文艺青年</v>
      </c>
      <c r="R117" s="1">
        <v>999999</v>
      </c>
      <c r="S117" s="1" t="s">
        <v>314</v>
      </c>
    </row>
    <row r="118" spans="1:19">
      <c r="A118" s="1">
        <v>1024057</v>
      </c>
      <c r="C118" s="1">
        <v>1024047</v>
      </c>
      <c r="D118" s="1" t="str">
        <f t="shared" si="0"/>
        <v>书香少女招商卡</v>
      </c>
      <c r="E118" s="1">
        <v>1</v>
      </c>
      <c r="F118" s="1" t="s">
        <v>58</v>
      </c>
      <c r="I118" s="1">
        <v>3</v>
      </c>
      <c r="J118" s="1" t="b">
        <v>1</v>
      </c>
      <c r="K118" s="1" t="b">
        <v>1</v>
      </c>
      <c r="L118" s="1" t="s">
        <v>315</v>
      </c>
      <c r="M118" s="1">
        <v>2024057</v>
      </c>
      <c r="N118" s="1" t="b">
        <v>0</v>
      </c>
      <c r="O118" s="1" t="str">
        <f t="shared" si="1"/>
        <v>使用该道具后可以指定生成游客书香少女</v>
      </c>
      <c r="R118" s="1">
        <v>999999</v>
      </c>
      <c r="S118" s="1" t="s">
        <v>316</v>
      </c>
    </row>
    <row r="119" spans="1:19">
      <c r="A119" s="1">
        <v>1024058</v>
      </c>
      <c r="C119" s="1">
        <v>1024048</v>
      </c>
      <c r="D119" s="1" t="str">
        <f t="shared" si="0"/>
        <v>民谣歌手招商卡</v>
      </c>
      <c r="E119" s="1">
        <v>1</v>
      </c>
      <c r="F119" s="1" t="s">
        <v>58</v>
      </c>
      <c r="I119" s="1">
        <v>3</v>
      </c>
      <c r="J119" s="1" t="b">
        <v>1</v>
      </c>
      <c r="K119" s="1" t="b">
        <v>1</v>
      </c>
      <c r="L119" s="1" t="s">
        <v>317</v>
      </c>
      <c r="M119" s="1">
        <v>2024058</v>
      </c>
      <c r="N119" s="1" t="b">
        <v>0</v>
      </c>
      <c r="O119" s="1" t="str">
        <f t="shared" si="1"/>
        <v>使用该道具后可以指定生成游客民谣歌手</v>
      </c>
      <c r="R119" s="1">
        <v>999999</v>
      </c>
      <c r="S119" s="1" t="s">
        <v>318</v>
      </c>
    </row>
    <row r="120" spans="1:19">
      <c r="A120" s="1">
        <v>1024059</v>
      </c>
      <c r="C120" s="1">
        <v>1024049</v>
      </c>
      <c r="D120" s="1" t="str">
        <f t="shared" si="0"/>
        <v>马拉松客招商卡</v>
      </c>
      <c r="E120" s="1">
        <v>1</v>
      </c>
      <c r="F120" s="1" t="s">
        <v>58</v>
      </c>
      <c r="I120" s="1">
        <v>4</v>
      </c>
      <c r="J120" s="1" t="b">
        <v>1</v>
      </c>
      <c r="K120" s="1" t="b">
        <v>1</v>
      </c>
      <c r="L120" s="1" t="s">
        <v>319</v>
      </c>
      <c r="M120" s="1">
        <v>2024059</v>
      </c>
      <c r="N120" s="1" t="b">
        <v>0</v>
      </c>
      <c r="O120" s="1" t="str">
        <f t="shared" si="1"/>
        <v>使用该道具后可以指定生成游客马拉松客</v>
      </c>
      <c r="R120" s="1">
        <v>999999</v>
      </c>
      <c r="S120" s="1" t="s">
        <v>320</v>
      </c>
    </row>
    <row r="121" spans="1:19">
      <c r="A121" s="1">
        <v>1024060</v>
      </c>
      <c r="C121" s="1">
        <v>1024050</v>
      </c>
      <c r="D121" s="1" t="str">
        <f t="shared" si="0"/>
        <v>极限玩家招商卡</v>
      </c>
      <c r="E121" s="1">
        <v>1</v>
      </c>
      <c r="F121" s="1" t="s">
        <v>58</v>
      </c>
      <c r="I121" s="1">
        <v>4</v>
      </c>
      <c r="J121" s="1" t="b">
        <v>1</v>
      </c>
      <c r="K121" s="1" t="b">
        <v>1</v>
      </c>
      <c r="L121" s="1" t="s">
        <v>321</v>
      </c>
      <c r="M121" s="1">
        <v>2024060</v>
      </c>
      <c r="N121" s="1" t="b">
        <v>0</v>
      </c>
      <c r="O121" s="1" t="str">
        <f t="shared" si="1"/>
        <v>使用该道具后可以指定生成游客极限玩家</v>
      </c>
      <c r="R121" s="1">
        <v>999999</v>
      </c>
      <c r="S121" s="1" t="s">
        <v>322</v>
      </c>
    </row>
    <row r="122" spans="1:19">
      <c r="A122" s="1">
        <v>1024061</v>
      </c>
      <c r="C122" s="1">
        <v>1024051</v>
      </c>
      <c r="D122" s="1" t="str">
        <f t="shared" si="0"/>
        <v>科技极客招商卡</v>
      </c>
      <c r="E122" s="1">
        <v>1</v>
      </c>
      <c r="F122" s="1" t="s">
        <v>58</v>
      </c>
      <c r="I122" s="1">
        <v>4</v>
      </c>
      <c r="J122" s="1" t="b">
        <v>1</v>
      </c>
      <c r="K122" s="1" t="b">
        <v>1</v>
      </c>
      <c r="L122" s="1" t="s">
        <v>323</v>
      </c>
      <c r="M122" s="1">
        <v>2024061</v>
      </c>
      <c r="N122" s="1" t="b">
        <v>0</v>
      </c>
      <c r="O122" s="1" t="str">
        <f t="shared" si="1"/>
        <v>使用该道具后可以指定生成游客科技极客</v>
      </c>
      <c r="R122" s="1">
        <v>999999</v>
      </c>
      <c r="S122" s="1" t="s">
        <v>324</v>
      </c>
    </row>
    <row r="123" spans="1:19">
      <c r="A123" s="1">
        <v>1024062</v>
      </c>
      <c r="C123" s="1">
        <v>1024052</v>
      </c>
      <c r="D123" s="1" t="str">
        <f t="shared" si="0"/>
        <v>独立画家招商卡</v>
      </c>
      <c r="E123" s="1">
        <v>1</v>
      </c>
      <c r="F123" s="1" t="s">
        <v>58</v>
      </c>
      <c r="I123" s="1">
        <v>4</v>
      </c>
      <c r="J123" s="1" t="b">
        <v>1</v>
      </c>
      <c r="K123" s="1" t="b">
        <v>1</v>
      </c>
      <c r="L123" s="1" t="s">
        <v>325</v>
      </c>
      <c r="M123" s="1">
        <v>2024062</v>
      </c>
      <c r="N123" s="1" t="b">
        <v>0</v>
      </c>
      <c r="O123" s="1" t="str">
        <f t="shared" si="1"/>
        <v>使用该道具后可以指定生成游客独立画家</v>
      </c>
      <c r="R123" s="1">
        <v>999999</v>
      </c>
      <c r="S123" s="1" t="s">
        <v>326</v>
      </c>
    </row>
    <row r="124" spans="1:19">
      <c r="A124" s="1">
        <v>1024063</v>
      </c>
      <c r="C124" s="1">
        <v>1024053</v>
      </c>
      <c r="D124" s="1" t="str">
        <f t="shared" si="0"/>
        <v>浪漫诗人招商卡</v>
      </c>
      <c r="E124" s="1">
        <v>1</v>
      </c>
      <c r="F124" s="1" t="s">
        <v>58</v>
      </c>
      <c r="I124" s="1">
        <v>4</v>
      </c>
      <c r="J124" s="1" t="b">
        <v>1</v>
      </c>
      <c r="K124" s="1" t="b">
        <v>1</v>
      </c>
      <c r="L124" s="1" t="s">
        <v>327</v>
      </c>
      <c r="M124" s="1">
        <v>2024063</v>
      </c>
      <c r="N124" s="1" t="b">
        <v>0</v>
      </c>
      <c r="O124" s="1" t="str">
        <f t="shared" si="1"/>
        <v>使用该道具后可以指定生成游客浪漫诗人</v>
      </c>
      <c r="R124" s="1">
        <v>999999</v>
      </c>
      <c r="S124" s="1" t="s">
        <v>328</v>
      </c>
    </row>
    <row r="125" spans="1:19">
      <c r="A125" s="1">
        <v>1024064</v>
      </c>
      <c r="C125" s="1">
        <v>1024054</v>
      </c>
      <c r="D125" s="1" t="str">
        <f t="shared" si="0"/>
        <v>古典乐迷招商卡</v>
      </c>
      <c r="E125" s="1">
        <v>1</v>
      </c>
      <c r="F125" s="1" t="s">
        <v>58</v>
      </c>
      <c r="I125" s="1">
        <v>4</v>
      </c>
      <c r="J125" s="1" t="b">
        <v>1</v>
      </c>
      <c r="K125" s="1" t="b">
        <v>1</v>
      </c>
      <c r="L125" s="1" t="s">
        <v>329</v>
      </c>
      <c r="M125" s="1">
        <v>2024064</v>
      </c>
      <c r="N125" s="1" t="b">
        <v>0</v>
      </c>
      <c r="O125" s="1" t="str">
        <f t="shared" si="1"/>
        <v>使用该道具后可以指定生成游客古典乐迷</v>
      </c>
      <c r="R125" s="1">
        <v>999999</v>
      </c>
      <c r="S125" s="1" t="s">
        <v>330</v>
      </c>
    </row>
    <row r="126" spans="1:19">
      <c r="A126" s="1">
        <v>1024065</v>
      </c>
      <c r="C126" s="1">
        <v>1024055</v>
      </c>
      <c r="D126" s="1" t="str">
        <f t="shared" si="0"/>
        <v>创业新贵招商卡</v>
      </c>
      <c r="E126" s="1">
        <v>1</v>
      </c>
      <c r="F126" s="1" t="s">
        <v>58</v>
      </c>
      <c r="I126" s="1">
        <v>5</v>
      </c>
      <c r="J126" s="1" t="b">
        <v>1</v>
      </c>
      <c r="K126" s="1" t="b">
        <v>1</v>
      </c>
      <c r="L126" s="1" t="s">
        <v>331</v>
      </c>
      <c r="M126" s="1">
        <v>2024065</v>
      </c>
      <c r="N126" s="1" t="b">
        <v>0</v>
      </c>
      <c r="O126" s="1" t="str">
        <f t="shared" si="1"/>
        <v>使用该道具后可以指定生成游客创业新贵</v>
      </c>
      <c r="R126" s="1">
        <v>999999</v>
      </c>
      <c r="S126" s="1" t="s">
        <v>332</v>
      </c>
    </row>
    <row r="127" spans="1:19">
      <c r="A127" s="1">
        <v>1024066</v>
      </c>
      <c r="C127" s="1">
        <v>1024056</v>
      </c>
      <c r="D127" s="1" t="str">
        <f t="shared" si="0"/>
        <v>摸金校尉招商卡</v>
      </c>
      <c r="E127" s="1">
        <v>1</v>
      </c>
      <c r="F127" s="1" t="s">
        <v>58</v>
      </c>
      <c r="I127" s="1">
        <v>5</v>
      </c>
      <c r="J127" s="1" t="b">
        <v>1</v>
      </c>
      <c r="K127" s="1" t="b">
        <v>1</v>
      </c>
      <c r="L127" s="1" t="s">
        <v>333</v>
      </c>
      <c r="M127" s="1">
        <v>2024066</v>
      </c>
      <c r="N127" s="1" t="b">
        <v>0</v>
      </c>
      <c r="O127" s="1" t="str">
        <f t="shared" si="1"/>
        <v>使用该道具后可以指定生成游客摸金校尉</v>
      </c>
      <c r="R127" s="1">
        <v>999999</v>
      </c>
      <c r="S127" s="1" t="s">
        <v>334</v>
      </c>
    </row>
    <row r="128" spans="1:19">
      <c r="A128" s="1">
        <v>1024067</v>
      </c>
      <c r="C128" s="1">
        <v>1024057</v>
      </c>
      <c r="D128" s="1" t="str">
        <f t="shared" si="0"/>
        <v>氪金大佬招商卡</v>
      </c>
      <c r="E128" s="1">
        <v>1</v>
      </c>
      <c r="F128" s="1" t="s">
        <v>58</v>
      </c>
      <c r="I128" s="1">
        <v>5</v>
      </c>
      <c r="J128" s="1" t="b">
        <v>1</v>
      </c>
      <c r="K128" s="1" t="b">
        <v>1</v>
      </c>
      <c r="L128" s="1" t="s">
        <v>335</v>
      </c>
      <c r="M128" s="1">
        <v>2024067</v>
      </c>
      <c r="N128" s="1" t="b">
        <v>0</v>
      </c>
      <c r="O128" s="1" t="str">
        <f t="shared" si="1"/>
        <v>使用该道具后可以指定生成游客氪金大佬</v>
      </c>
      <c r="R128" s="1">
        <v>999999</v>
      </c>
      <c r="S128" s="1" t="s">
        <v>336</v>
      </c>
    </row>
    <row r="129" spans="1:19">
      <c r="A129" s="1">
        <v>1024068</v>
      </c>
      <c r="C129" s="1">
        <v>1024058</v>
      </c>
      <c r="D129" s="1" t="str">
        <f t="shared" si="0"/>
        <v>穿搭博主招商卡</v>
      </c>
      <c r="E129" s="1">
        <v>1</v>
      </c>
      <c r="F129" s="1" t="s">
        <v>58</v>
      </c>
      <c r="I129" s="1">
        <v>5</v>
      </c>
      <c r="J129" s="1" t="b">
        <v>1</v>
      </c>
      <c r="K129" s="1" t="b">
        <v>1</v>
      </c>
      <c r="L129" s="1" t="s">
        <v>337</v>
      </c>
      <c r="M129" s="1">
        <v>2024068</v>
      </c>
      <c r="N129" s="1" t="b">
        <v>0</v>
      </c>
      <c r="O129" s="1" t="str">
        <f t="shared" si="1"/>
        <v>使用该道具后可以指定生成游客穿搭博主</v>
      </c>
      <c r="R129" s="1">
        <v>999999</v>
      </c>
      <c r="S129" s="1" t="s">
        <v>338</v>
      </c>
    </row>
    <row r="130" spans="1:19">
      <c r="A130" s="1">
        <v>1024069</v>
      </c>
      <c r="C130" s="1">
        <v>1024059</v>
      </c>
      <c r="D130" s="1" t="str">
        <f t="shared" si="0"/>
        <v>美妆新秀招商卡</v>
      </c>
      <c r="E130" s="1">
        <v>1</v>
      </c>
      <c r="F130" s="1" t="s">
        <v>58</v>
      </c>
      <c r="I130" s="1">
        <v>5</v>
      </c>
      <c r="J130" s="1" t="b">
        <v>1</v>
      </c>
      <c r="K130" s="1" t="b">
        <v>1</v>
      </c>
      <c r="L130" s="1" t="s">
        <v>339</v>
      </c>
      <c r="M130" s="1">
        <v>2024069</v>
      </c>
      <c r="N130" s="1" t="b">
        <v>0</v>
      </c>
      <c r="O130" s="1" t="str">
        <f t="shared" si="1"/>
        <v>使用该道具后可以指定生成游客美妆新秀</v>
      </c>
      <c r="R130" s="1">
        <v>999999</v>
      </c>
      <c r="S130" s="1" t="s">
        <v>340</v>
      </c>
    </row>
    <row r="131" spans="1:19">
      <c r="A131" s="1">
        <v>1024070</v>
      </c>
      <c r="C131" s="1">
        <v>1024060</v>
      </c>
      <c r="D131" s="1" t="str">
        <f t="shared" si="0"/>
        <v>高定女王招商卡</v>
      </c>
      <c r="E131" s="1">
        <v>1</v>
      </c>
      <c r="F131" s="1" t="s">
        <v>58</v>
      </c>
      <c r="I131" s="1">
        <v>5</v>
      </c>
      <c r="J131" s="1" t="b">
        <v>1</v>
      </c>
      <c r="K131" s="1" t="b">
        <v>1</v>
      </c>
      <c r="L131" s="1" t="s">
        <v>341</v>
      </c>
      <c r="M131" s="1">
        <v>2024070</v>
      </c>
      <c r="N131" s="1" t="b">
        <v>0</v>
      </c>
      <c r="O131" s="1" t="str">
        <f t="shared" si="1"/>
        <v>使用该道具后可以指定生成游客高定女王</v>
      </c>
      <c r="R131" s="1">
        <v>999999</v>
      </c>
      <c r="S131" s="1" t="s">
        <v>342</v>
      </c>
    </row>
    <row r="132" spans="1:19">
      <c r="A132" s="1">
        <v>1024071</v>
      </c>
      <c r="C132" s="1">
        <v>1024061</v>
      </c>
      <c r="D132" s="1" t="s">
        <v>343</v>
      </c>
      <c r="E132" s="1">
        <v>1</v>
      </c>
      <c r="F132" s="1" t="s">
        <v>58</v>
      </c>
      <c r="I132" s="1">
        <v>1</v>
      </c>
      <c r="J132" s="1" t="b">
        <v>1</v>
      </c>
      <c r="K132" s="1" t="b">
        <v>1</v>
      </c>
      <c r="M132" s="1">
        <v>2024071</v>
      </c>
      <c r="N132" s="1" t="b">
        <v>0</v>
      </c>
      <c r="O132" s="1" t="s">
        <v>344</v>
      </c>
      <c r="R132" s="1">
        <v>999999</v>
      </c>
    </row>
    <row r="133" spans="1:19">
      <c r="A133" s="1">
        <v>1024072</v>
      </c>
      <c r="C133" s="1">
        <v>1024062</v>
      </c>
      <c r="D133" s="1" t="s">
        <v>345</v>
      </c>
      <c r="E133" s="1">
        <v>1</v>
      </c>
      <c r="F133" s="1" t="s">
        <v>58</v>
      </c>
      <c r="I133" s="1">
        <v>1</v>
      </c>
      <c r="J133" s="1" t="b">
        <v>1</v>
      </c>
      <c r="K133" s="1" t="b">
        <v>1</v>
      </c>
      <c r="M133" s="1">
        <v>2024072</v>
      </c>
      <c r="N133" s="1" t="b">
        <v>0</v>
      </c>
      <c r="O133" s="1" t="s">
        <v>346</v>
      </c>
      <c r="R133" s="1">
        <v>999999</v>
      </c>
    </row>
    <row r="134" spans="1:19">
      <c r="A134" s="1">
        <v>1024073</v>
      </c>
      <c r="C134" s="1">
        <v>1024063</v>
      </c>
      <c r="D134" s="1" t="s">
        <v>347</v>
      </c>
      <c r="E134" s="1">
        <v>1</v>
      </c>
      <c r="F134" s="1" t="s">
        <v>58</v>
      </c>
      <c r="I134" s="1">
        <v>1</v>
      </c>
      <c r="J134" s="1" t="b">
        <v>1</v>
      </c>
      <c r="K134" s="1" t="b">
        <v>1</v>
      </c>
      <c r="M134" s="1">
        <v>2024073</v>
      </c>
      <c r="N134" s="1" t="b">
        <v>0</v>
      </c>
      <c r="O134" s="1" t="s">
        <v>348</v>
      </c>
      <c r="R134" s="1">
        <v>999999</v>
      </c>
    </row>
    <row r="135" spans="1:19">
      <c r="A135" s="1">
        <v>1024074</v>
      </c>
      <c r="C135" s="1">
        <v>1024064</v>
      </c>
      <c r="D135" s="1" t="s">
        <v>349</v>
      </c>
      <c r="E135" s="1">
        <v>1</v>
      </c>
      <c r="F135" s="1" t="s">
        <v>58</v>
      </c>
      <c r="I135" s="1">
        <v>1</v>
      </c>
      <c r="J135" s="1" t="b">
        <v>1</v>
      </c>
      <c r="K135" s="1" t="b">
        <v>1</v>
      </c>
      <c r="M135" s="1">
        <v>2024074</v>
      </c>
      <c r="N135" s="1" t="b">
        <v>0</v>
      </c>
      <c r="O135" s="1" t="s">
        <v>350</v>
      </c>
      <c r="R135" s="1">
        <v>999999</v>
      </c>
    </row>
    <row r="136" spans="1:19">
      <c r="A136" s="1">
        <v>1024075</v>
      </c>
      <c r="C136" s="1">
        <v>1024065</v>
      </c>
      <c r="D136" s="1" t="s">
        <v>351</v>
      </c>
      <c r="E136" s="1">
        <v>1</v>
      </c>
      <c r="F136" s="1" t="s">
        <v>58</v>
      </c>
      <c r="I136" s="1">
        <v>1</v>
      </c>
      <c r="J136" s="1" t="b">
        <v>1</v>
      </c>
      <c r="K136" s="1" t="b">
        <v>1</v>
      </c>
      <c r="M136" s="1">
        <v>2024075</v>
      </c>
      <c r="N136" s="1" t="b">
        <v>0</v>
      </c>
      <c r="O136" s="1" t="s">
        <v>352</v>
      </c>
      <c r="R136" s="1">
        <v>999999</v>
      </c>
    </row>
    <row r="137" ht="17.25" spans="1:19">
      <c r="A137" s="1">
        <v>1024076</v>
      </c>
      <c r="C137" s="1">
        <v>1024024</v>
      </c>
      <c r="D137" s="1" t="s">
        <v>242</v>
      </c>
      <c r="E137" s="1">
        <v>2</v>
      </c>
      <c r="F137" s="1" t="s">
        <v>58</v>
      </c>
      <c r="G137" s="1">
        <v>1</v>
      </c>
      <c r="H137" s="13" t="s">
        <v>353</v>
      </c>
      <c r="I137" s="1">
        <v>1</v>
      </c>
      <c r="J137" s="1" t="b">
        <v>1</v>
      </c>
      <c r="K137" s="1" t="b">
        <v>1</v>
      </c>
      <c r="L137" s="1" t="s">
        <v>354</v>
      </c>
      <c r="M137" s="1">
        <v>2024076</v>
      </c>
      <c r="N137" s="1" t="b">
        <v>0</v>
      </c>
      <c r="O137" s="1" t="s">
        <v>355</v>
      </c>
      <c r="R137" s="1">
        <v>999999</v>
      </c>
    </row>
    <row r="138" ht="17.25" spans="1:19">
      <c r="A138" s="1">
        <v>1024077</v>
      </c>
      <c r="C138" s="1">
        <v>1024024</v>
      </c>
      <c r="D138" s="1" t="s">
        <v>242</v>
      </c>
      <c r="E138" s="1">
        <v>2</v>
      </c>
      <c r="F138" s="1" t="s">
        <v>58</v>
      </c>
      <c r="G138" s="1">
        <v>1</v>
      </c>
      <c r="H138" s="13" t="s">
        <v>356</v>
      </c>
      <c r="I138" s="1">
        <v>1</v>
      </c>
      <c r="J138" s="1" t="b">
        <v>1</v>
      </c>
      <c r="K138" s="1" t="b">
        <v>1</v>
      </c>
      <c r="L138" s="1" t="s">
        <v>357</v>
      </c>
      <c r="M138" s="1">
        <v>2024077</v>
      </c>
      <c r="N138" s="1" t="b">
        <v>0</v>
      </c>
      <c r="O138" s="1" t="s">
        <v>358</v>
      </c>
      <c r="R138" s="1">
        <v>999999</v>
      </c>
    </row>
    <row r="139" spans="1:19">
      <c r="A139" s="1">
        <v>1024078</v>
      </c>
      <c r="C139" s="1">
        <v>1024024</v>
      </c>
      <c r="D139" s="1" t="s">
        <v>242</v>
      </c>
      <c r="E139" s="1">
        <v>2</v>
      </c>
      <c r="F139" s="1" t="s">
        <v>58</v>
      </c>
      <c r="G139" s="1">
        <v>1</v>
      </c>
      <c r="H139" s="14" t="s">
        <v>359</v>
      </c>
      <c r="I139" s="1">
        <v>1</v>
      </c>
      <c r="J139" s="1" t="b">
        <v>1</v>
      </c>
      <c r="K139" s="1" t="b">
        <v>1</v>
      </c>
      <c r="L139" s="1" t="s">
        <v>360</v>
      </c>
      <c r="M139" s="1">
        <v>2024078</v>
      </c>
      <c r="N139" s="1" t="b">
        <v>0</v>
      </c>
      <c r="O139" s="1" t="s">
        <v>361</v>
      </c>
      <c r="R139" s="1">
        <v>999999</v>
      </c>
    </row>
    <row r="140" spans="1:19">
      <c r="A140" s="1">
        <v>1024079</v>
      </c>
      <c r="C140" s="1">
        <v>1024024</v>
      </c>
      <c r="D140" s="1" t="s">
        <v>242</v>
      </c>
      <c r="E140" s="1">
        <v>2</v>
      </c>
      <c r="F140" s="1" t="s">
        <v>58</v>
      </c>
      <c r="G140" s="1">
        <v>1</v>
      </c>
      <c r="H140" s="14" t="s">
        <v>362</v>
      </c>
      <c r="I140" s="1">
        <v>1</v>
      </c>
      <c r="J140" s="1" t="b">
        <v>1</v>
      </c>
      <c r="K140" s="1" t="b">
        <v>1</v>
      </c>
      <c r="L140" s="1" t="s">
        <v>363</v>
      </c>
      <c r="M140" s="1">
        <v>2024079</v>
      </c>
      <c r="N140" s="1" t="b">
        <v>0</v>
      </c>
      <c r="O140" s="1" t="s">
        <v>364</v>
      </c>
      <c r="R140" s="1">
        <v>999999</v>
      </c>
    </row>
    <row r="141" spans="1:19">
      <c r="A141" s="1">
        <v>1024080</v>
      </c>
      <c r="C141" s="1">
        <v>1024024</v>
      </c>
      <c r="D141" s="1" t="s">
        <v>242</v>
      </c>
      <c r="E141" s="1">
        <v>2</v>
      </c>
      <c r="F141" s="1" t="s">
        <v>58</v>
      </c>
      <c r="G141" s="1">
        <v>1</v>
      </c>
      <c r="H141" s="14" t="s">
        <v>365</v>
      </c>
      <c r="I141" s="1">
        <v>1</v>
      </c>
      <c r="J141" s="1" t="b">
        <v>1</v>
      </c>
      <c r="K141" s="1" t="b">
        <v>1</v>
      </c>
      <c r="L141" s="1" t="s">
        <v>366</v>
      </c>
      <c r="M141" s="1">
        <v>2024080</v>
      </c>
      <c r="N141" s="1" t="b">
        <v>0</v>
      </c>
      <c r="O141" s="1" t="s">
        <v>367</v>
      </c>
      <c r="R141" s="1">
        <v>999999</v>
      </c>
    </row>
    <row r="142" spans="1:19">
      <c r="A142" s="1">
        <v>1024081</v>
      </c>
      <c r="C142" s="1">
        <v>1024024</v>
      </c>
      <c r="D142" s="1" t="s">
        <v>242</v>
      </c>
      <c r="E142" s="1">
        <v>2</v>
      </c>
      <c r="F142" s="1" t="s">
        <v>58</v>
      </c>
      <c r="G142" s="1">
        <v>1</v>
      </c>
      <c r="H142" s="14" t="s">
        <v>368</v>
      </c>
      <c r="I142" s="1">
        <v>1</v>
      </c>
      <c r="J142" s="1" t="b">
        <v>1</v>
      </c>
      <c r="K142" s="1" t="b">
        <v>1</v>
      </c>
      <c r="L142" s="1" t="s">
        <v>369</v>
      </c>
      <c r="M142" s="1">
        <v>2024081</v>
      </c>
      <c r="N142" s="1" t="b">
        <v>0</v>
      </c>
      <c r="O142" s="1" t="s">
        <v>370</v>
      </c>
      <c r="R142" s="1">
        <v>999999</v>
      </c>
    </row>
    <row r="143" spans="1:19">
      <c r="A143" s="1">
        <v>1024082</v>
      </c>
      <c r="C143" s="1">
        <v>1024024</v>
      </c>
      <c r="D143" s="1" t="s">
        <v>242</v>
      </c>
      <c r="E143" s="1">
        <v>2</v>
      </c>
      <c r="F143" s="1" t="s">
        <v>58</v>
      </c>
      <c r="G143" s="1">
        <v>1</v>
      </c>
      <c r="H143" s="14" t="s">
        <v>371</v>
      </c>
      <c r="I143" s="1">
        <v>1</v>
      </c>
      <c r="J143" s="1" t="b">
        <v>1</v>
      </c>
      <c r="K143" s="1" t="b">
        <v>1</v>
      </c>
      <c r="L143" s="1" t="s">
        <v>372</v>
      </c>
      <c r="M143" s="1">
        <v>2024082</v>
      </c>
      <c r="N143" s="1" t="b">
        <v>0</v>
      </c>
      <c r="O143" s="1" t="s">
        <v>373</v>
      </c>
      <c r="R143" s="1">
        <v>999999</v>
      </c>
    </row>
    <row r="144" spans="1:19">
      <c r="A144" s="1">
        <v>1024083</v>
      </c>
      <c r="C144" s="1">
        <v>1024024</v>
      </c>
      <c r="D144" s="1" t="s">
        <v>242</v>
      </c>
      <c r="E144" s="1">
        <v>2</v>
      </c>
      <c r="F144" s="1" t="s">
        <v>58</v>
      </c>
      <c r="G144" s="1">
        <v>1</v>
      </c>
      <c r="H144" s="3" t="s">
        <v>374</v>
      </c>
      <c r="I144" s="1">
        <v>1</v>
      </c>
      <c r="J144" s="1" t="b">
        <v>1</v>
      </c>
      <c r="K144" s="1" t="b">
        <v>1</v>
      </c>
      <c r="L144" s="1" t="s">
        <v>375</v>
      </c>
      <c r="M144" s="1">
        <v>2024083</v>
      </c>
      <c r="N144" s="1" t="b">
        <v>0</v>
      </c>
      <c r="O144" s="1" t="s">
        <v>376</v>
      </c>
      <c r="R144" s="1">
        <v>999999</v>
      </c>
    </row>
    <row r="145" spans="1:18">
      <c r="A145" s="1">
        <v>1024084</v>
      </c>
      <c r="C145" s="1">
        <v>1024024</v>
      </c>
      <c r="D145" s="1" t="s">
        <v>242</v>
      </c>
      <c r="E145" s="1">
        <v>2</v>
      </c>
      <c r="F145" s="1" t="s">
        <v>58</v>
      </c>
      <c r="G145" s="1">
        <v>1</v>
      </c>
      <c r="H145" s="3" t="s">
        <v>377</v>
      </c>
      <c r="I145" s="1">
        <v>1</v>
      </c>
      <c r="J145" s="1" t="b">
        <v>1</v>
      </c>
      <c r="K145" s="1" t="b">
        <v>1</v>
      </c>
      <c r="L145" s="1" t="s">
        <v>378</v>
      </c>
      <c r="M145" s="1">
        <v>2024084</v>
      </c>
      <c r="N145" s="1" t="b">
        <v>0</v>
      </c>
      <c r="O145" s="1" t="s">
        <v>379</v>
      </c>
      <c r="R145" s="1">
        <v>999999</v>
      </c>
    </row>
    <row r="146" spans="1:18">
      <c r="A146" s="1">
        <v>1024085</v>
      </c>
      <c r="C146" s="1">
        <v>1024066</v>
      </c>
      <c r="D146" s="1" t="s">
        <v>380</v>
      </c>
      <c r="E146" s="1">
        <v>2</v>
      </c>
      <c r="F146" s="1" t="s">
        <v>58</v>
      </c>
      <c r="I146" s="1">
        <v>1</v>
      </c>
      <c r="J146" s="1" t="b">
        <v>1</v>
      </c>
      <c r="K146" s="1" t="b">
        <v>1</v>
      </c>
      <c r="M146" s="1">
        <v>2024083</v>
      </c>
      <c r="N146" s="1" t="b">
        <v>0</v>
      </c>
      <c r="O146" s="15" t="s">
        <v>381</v>
      </c>
      <c r="R146" s="1">
        <v>999999</v>
      </c>
    </row>
    <row r="147" spans="1:18">
      <c r="A147" s="1">
        <v>1025101</v>
      </c>
      <c r="C147" s="1">
        <v>1025101</v>
      </c>
      <c r="D147" s="1" t="s">
        <v>382</v>
      </c>
      <c r="E147" s="1">
        <v>2</v>
      </c>
      <c r="F147" s="1" t="s">
        <v>58</v>
      </c>
      <c r="I147" s="1">
        <v>1</v>
      </c>
      <c r="J147" s="1" t="b">
        <v>0</v>
      </c>
      <c r="K147" s="1" t="b">
        <v>0</v>
      </c>
      <c r="L147" s="1" t="s">
        <v>383</v>
      </c>
      <c r="M147" s="1">
        <v>2025101</v>
      </c>
      <c r="N147" s="1" t="b">
        <v>0</v>
      </c>
      <c r="O147" s="15" t="s">
        <v>384</v>
      </c>
      <c r="R147" s="1">
        <v>-1</v>
      </c>
    </row>
    <row r="148" spans="1:18">
      <c r="A148" s="1">
        <v>1025102</v>
      </c>
      <c r="C148" s="1">
        <v>1025102</v>
      </c>
      <c r="D148" s="1" t="s">
        <v>385</v>
      </c>
      <c r="E148" s="1">
        <v>2</v>
      </c>
      <c r="F148" s="1" t="s">
        <v>58</v>
      </c>
      <c r="I148" s="1">
        <v>1</v>
      </c>
      <c r="J148" s="1" t="b">
        <v>0</v>
      </c>
      <c r="K148" s="1" t="b">
        <v>0</v>
      </c>
      <c r="L148" s="1" t="s">
        <v>386</v>
      </c>
      <c r="M148" s="1">
        <v>2025102</v>
      </c>
      <c r="N148" s="1" t="b">
        <v>0</v>
      </c>
      <c r="O148" s="15" t="s">
        <v>387</v>
      </c>
      <c r="R148" s="1">
        <v>-1</v>
      </c>
    </row>
    <row r="149" spans="1:18">
      <c r="A149" s="1">
        <v>1025103</v>
      </c>
      <c r="C149" s="1">
        <v>1025103</v>
      </c>
      <c r="D149" s="1" t="s">
        <v>388</v>
      </c>
      <c r="E149" s="1">
        <v>2</v>
      </c>
      <c r="F149" s="1" t="s">
        <v>58</v>
      </c>
      <c r="I149" s="1">
        <v>1</v>
      </c>
      <c r="J149" s="1" t="b">
        <v>0</v>
      </c>
      <c r="K149" s="1" t="b">
        <v>0</v>
      </c>
      <c r="L149" s="1" t="s">
        <v>389</v>
      </c>
      <c r="M149" s="1">
        <v>2025103</v>
      </c>
      <c r="N149" s="1" t="b">
        <v>0</v>
      </c>
      <c r="O149" s="15" t="s">
        <v>390</v>
      </c>
      <c r="R149" s="1">
        <v>-1</v>
      </c>
    </row>
    <row r="150" spans="1:18">
      <c r="A150" s="1">
        <v>1025104</v>
      </c>
      <c r="C150" s="1">
        <v>1025104</v>
      </c>
      <c r="D150" s="1" t="s">
        <v>391</v>
      </c>
      <c r="E150" s="1">
        <v>2</v>
      </c>
      <c r="F150" s="1" t="s">
        <v>58</v>
      </c>
      <c r="I150" s="1">
        <v>1</v>
      </c>
      <c r="J150" s="1" t="b">
        <v>0</v>
      </c>
      <c r="K150" s="1" t="b">
        <v>0</v>
      </c>
      <c r="L150" s="1" t="s">
        <v>392</v>
      </c>
      <c r="M150" s="1">
        <v>2025104</v>
      </c>
      <c r="N150" s="1" t="b">
        <v>0</v>
      </c>
      <c r="O150" s="15" t="s">
        <v>393</v>
      </c>
      <c r="R150" s="1">
        <v>-1</v>
      </c>
    </row>
    <row r="151" spans="1:18">
      <c r="A151" s="1">
        <v>1025105</v>
      </c>
      <c r="C151" s="1">
        <v>1025105</v>
      </c>
      <c r="D151" s="1" t="s">
        <v>394</v>
      </c>
      <c r="E151" s="1">
        <v>2</v>
      </c>
      <c r="F151" s="1" t="s">
        <v>58</v>
      </c>
      <c r="I151" s="1">
        <v>1</v>
      </c>
      <c r="J151" s="1" t="b">
        <v>0</v>
      </c>
      <c r="K151" s="1" t="b">
        <v>0</v>
      </c>
      <c r="L151" s="1" t="s">
        <v>395</v>
      </c>
      <c r="M151" s="1">
        <v>2025105</v>
      </c>
      <c r="N151" s="1" t="b">
        <v>0</v>
      </c>
      <c r="O151" s="15" t="s">
        <v>396</v>
      </c>
      <c r="R151" s="1">
        <v>-1</v>
      </c>
    </row>
    <row r="152" spans="1:18">
      <c r="A152" s="1">
        <v>1025106</v>
      </c>
      <c r="C152" s="1">
        <v>1025106</v>
      </c>
      <c r="D152" s="1" t="s">
        <v>397</v>
      </c>
      <c r="E152" s="1">
        <v>2</v>
      </c>
      <c r="F152" s="1" t="s">
        <v>58</v>
      </c>
      <c r="I152" s="1">
        <v>1</v>
      </c>
      <c r="J152" s="1" t="b">
        <v>0</v>
      </c>
      <c r="K152" s="1" t="b">
        <v>0</v>
      </c>
      <c r="L152" s="1" t="s">
        <v>398</v>
      </c>
      <c r="M152" s="1">
        <v>2025106</v>
      </c>
      <c r="N152" s="1" t="b">
        <v>0</v>
      </c>
      <c r="O152" s="15" t="s">
        <v>399</v>
      </c>
      <c r="R152" s="1">
        <v>-1</v>
      </c>
    </row>
    <row r="153" spans="1:18">
      <c r="A153" s="1">
        <v>1025201</v>
      </c>
      <c r="C153" s="1">
        <v>1025201</v>
      </c>
      <c r="D153" s="1" t="s">
        <v>400</v>
      </c>
      <c r="E153" s="1">
        <v>2</v>
      </c>
      <c r="F153" s="1" t="s">
        <v>58</v>
      </c>
      <c r="I153" s="1">
        <v>2</v>
      </c>
      <c r="J153" s="1" t="b">
        <v>0</v>
      </c>
      <c r="K153" s="1" t="b">
        <v>0</v>
      </c>
      <c r="L153" s="1" t="s">
        <v>401</v>
      </c>
      <c r="M153" s="1">
        <v>2025201</v>
      </c>
      <c r="N153" s="1" t="b">
        <v>0</v>
      </c>
      <c r="O153" s="15" t="s">
        <v>402</v>
      </c>
      <c r="R153" s="1">
        <v>-1</v>
      </c>
    </row>
    <row r="154" spans="1:18">
      <c r="A154" s="1">
        <v>1025202</v>
      </c>
      <c r="C154" s="1">
        <v>1025202</v>
      </c>
      <c r="D154" s="1" t="s">
        <v>403</v>
      </c>
      <c r="E154" s="1">
        <v>2</v>
      </c>
      <c r="F154" s="1" t="s">
        <v>58</v>
      </c>
      <c r="I154" s="1">
        <v>2</v>
      </c>
      <c r="J154" s="1" t="b">
        <v>0</v>
      </c>
      <c r="K154" s="1" t="b">
        <v>0</v>
      </c>
      <c r="L154" s="1" t="s">
        <v>404</v>
      </c>
      <c r="M154" s="1">
        <v>2025202</v>
      </c>
      <c r="N154" s="1" t="b">
        <v>0</v>
      </c>
      <c r="O154" s="15" t="s">
        <v>405</v>
      </c>
      <c r="R154" s="1">
        <v>-1</v>
      </c>
    </row>
    <row r="155" spans="1:18">
      <c r="A155" s="1">
        <v>1025203</v>
      </c>
      <c r="C155" s="1">
        <v>1025203</v>
      </c>
      <c r="D155" s="1" t="s">
        <v>406</v>
      </c>
      <c r="E155" s="1">
        <v>2</v>
      </c>
      <c r="F155" s="1" t="s">
        <v>58</v>
      </c>
      <c r="I155" s="1">
        <v>2</v>
      </c>
      <c r="J155" s="1" t="b">
        <v>0</v>
      </c>
      <c r="K155" s="1" t="b">
        <v>0</v>
      </c>
      <c r="L155" s="1" t="s">
        <v>407</v>
      </c>
      <c r="M155" s="1">
        <v>2025203</v>
      </c>
      <c r="N155" s="1" t="b">
        <v>0</v>
      </c>
      <c r="O155" s="15" t="s">
        <v>408</v>
      </c>
      <c r="R155" s="1">
        <v>-1</v>
      </c>
    </row>
    <row r="156" spans="1:18">
      <c r="A156" s="1">
        <v>1025204</v>
      </c>
      <c r="C156" s="1">
        <v>1025204</v>
      </c>
      <c r="D156" s="1" t="s">
        <v>409</v>
      </c>
      <c r="E156" s="1">
        <v>2</v>
      </c>
      <c r="F156" s="1" t="s">
        <v>58</v>
      </c>
      <c r="I156" s="1">
        <v>2</v>
      </c>
      <c r="J156" s="1" t="b">
        <v>0</v>
      </c>
      <c r="K156" s="1" t="b">
        <v>0</v>
      </c>
      <c r="L156" s="1" t="s">
        <v>410</v>
      </c>
      <c r="M156" s="1">
        <v>2025204</v>
      </c>
      <c r="N156" s="1" t="b">
        <v>0</v>
      </c>
      <c r="O156" s="15" t="s">
        <v>411</v>
      </c>
      <c r="R156" s="1">
        <v>-1</v>
      </c>
    </row>
    <row r="157" spans="1:18">
      <c r="A157" s="1">
        <v>1025205</v>
      </c>
      <c r="C157" s="1">
        <v>1025205</v>
      </c>
      <c r="D157" s="1" t="s">
        <v>412</v>
      </c>
      <c r="E157" s="1">
        <v>2</v>
      </c>
      <c r="F157" s="1" t="s">
        <v>58</v>
      </c>
      <c r="I157" s="1">
        <v>2</v>
      </c>
      <c r="J157" s="1" t="b">
        <v>0</v>
      </c>
      <c r="K157" s="1" t="b">
        <v>0</v>
      </c>
      <c r="L157" s="1" t="s">
        <v>413</v>
      </c>
      <c r="M157" s="1">
        <v>2025205</v>
      </c>
      <c r="N157" s="1" t="b">
        <v>0</v>
      </c>
      <c r="O157" s="15" t="s">
        <v>414</v>
      </c>
      <c r="R157" s="1">
        <v>-1</v>
      </c>
    </row>
    <row r="158" spans="1:18">
      <c r="A158" s="1">
        <v>1025206</v>
      </c>
      <c r="C158" s="1">
        <v>1025206</v>
      </c>
      <c r="D158" s="1" t="s">
        <v>415</v>
      </c>
      <c r="E158" s="1">
        <v>2</v>
      </c>
      <c r="F158" s="1" t="s">
        <v>58</v>
      </c>
      <c r="I158" s="1">
        <v>2</v>
      </c>
      <c r="J158" s="1" t="b">
        <v>0</v>
      </c>
      <c r="K158" s="1" t="b">
        <v>0</v>
      </c>
      <c r="L158" s="1" t="s">
        <v>416</v>
      </c>
      <c r="M158" s="1">
        <v>2025206</v>
      </c>
      <c r="N158" s="1" t="b">
        <v>0</v>
      </c>
      <c r="O158" s="15" t="s">
        <v>417</v>
      </c>
      <c r="R158" s="1">
        <v>-1</v>
      </c>
    </row>
    <row r="159" spans="1:18">
      <c r="A159" s="1">
        <v>1025301</v>
      </c>
      <c r="C159" s="1">
        <v>1025301</v>
      </c>
      <c r="D159" s="1" t="s">
        <v>418</v>
      </c>
      <c r="E159" s="1">
        <v>2</v>
      </c>
      <c r="F159" s="1" t="s">
        <v>58</v>
      </c>
      <c r="I159" s="1">
        <v>3</v>
      </c>
      <c r="J159" s="1" t="b">
        <v>0</v>
      </c>
      <c r="K159" s="1" t="b">
        <v>0</v>
      </c>
      <c r="L159" s="1" t="s">
        <v>419</v>
      </c>
      <c r="M159" s="1">
        <v>2025301</v>
      </c>
      <c r="N159" s="1" t="b">
        <v>0</v>
      </c>
      <c r="O159" s="15" t="s">
        <v>420</v>
      </c>
      <c r="R159" s="1">
        <v>-1</v>
      </c>
    </row>
    <row r="160" spans="1:18">
      <c r="A160" s="1">
        <v>1025302</v>
      </c>
      <c r="C160" s="1">
        <v>1025302</v>
      </c>
      <c r="D160" s="1" t="s">
        <v>421</v>
      </c>
      <c r="E160" s="1">
        <v>2</v>
      </c>
      <c r="F160" s="1" t="s">
        <v>58</v>
      </c>
      <c r="I160" s="1">
        <v>3</v>
      </c>
      <c r="J160" s="1" t="b">
        <v>0</v>
      </c>
      <c r="K160" s="1" t="b">
        <v>0</v>
      </c>
      <c r="L160" s="1" t="s">
        <v>422</v>
      </c>
      <c r="M160" s="1">
        <v>2025302</v>
      </c>
      <c r="N160" s="1" t="b">
        <v>0</v>
      </c>
      <c r="O160" s="15" t="s">
        <v>423</v>
      </c>
      <c r="R160" s="1">
        <v>-1</v>
      </c>
    </row>
    <row r="161" spans="1:18">
      <c r="A161" s="1">
        <v>1025303</v>
      </c>
      <c r="C161" s="1">
        <v>1025303</v>
      </c>
      <c r="D161" s="1" t="s">
        <v>424</v>
      </c>
      <c r="E161" s="1">
        <v>2</v>
      </c>
      <c r="F161" s="1" t="s">
        <v>58</v>
      </c>
      <c r="I161" s="1">
        <v>3</v>
      </c>
      <c r="J161" s="1" t="b">
        <v>0</v>
      </c>
      <c r="K161" s="1" t="b">
        <v>0</v>
      </c>
      <c r="L161" s="1" t="s">
        <v>425</v>
      </c>
      <c r="M161" s="1">
        <v>2025303</v>
      </c>
      <c r="N161" s="1" t="b">
        <v>0</v>
      </c>
      <c r="O161" s="15" t="s">
        <v>426</v>
      </c>
      <c r="R161" s="1">
        <v>-1</v>
      </c>
    </row>
    <row r="162" spans="1:18">
      <c r="A162" s="1">
        <v>1025304</v>
      </c>
      <c r="C162" s="1">
        <v>1025304</v>
      </c>
      <c r="D162" s="1" t="s">
        <v>427</v>
      </c>
      <c r="E162" s="1">
        <v>2</v>
      </c>
      <c r="F162" s="1" t="s">
        <v>58</v>
      </c>
      <c r="I162" s="1">
        <v>3</v>
      </c>
      <c r="J162" s="1" t="b">
        <v>0</v>
      </c>
      <c r="K162" s="1" t="b">
        <v>0</v>
      </c>
      <c r="L162" s="1" t="s">
        <v>428</v>
      </c>
      <c r="M162" s="1">
        <v>2025304</v>
      </c>
      <c r="N162" s="1" t="b">
        <v>0</v>
      </c>
      <c r="O162" s="15" t="s">
        <v>429</v>
      </c>
      <c r="R162" s="1">
        <v>-1</v>
      </c>
    </row>
    <row r="163" spans="1:18">
      <c r="A163" s="1">
        <v>1025305</v>
      </c>
      <c r="C163" s="1">
        <v>1025305</v>
      </c>
      <c r="D163" s="1" t="s">
        <v>430</v>
      </c>
      <c r="E163" s="1">
        <v>2</v>
      </c>
      <c r="F163" s="1" t="s">
        <v>58</v>
      </c>
      <c r="I163" s="1">
        <v>3</v>
      </c>
      <c r="J163" s="1" t="b">
        <v>0</v>
      </c>
      <c r="K163" s="1" t="b">
        <v>0</v>
      </c>
      <c r="L163" s="1" t="s">
        <v>431</v>
      </c>
      <c r="M163" s="1">
        <v>2025305</v>
      </c>
      <c r="N163" s="1" t="b">
        <v>0</v>
      </c>
      <c r="O163" s="15" t="s">
        <v>432</v>
      </c>
      <c r="R163" s="1">
        <v>-1</v>
      </c>
    </row>
    <row r="164" spans="1:18">
      <c r="A164" s="1">
        <v>1025306</v>
      </c>
      <c r="C164" s="1">
        <v>1025306</v>
      </c>
      <c r="D164" s="1" t="s">
        <v>433</v>
      </c>
      <c r="E164" s="1">
        <v>2</v>
      </c>
      <c r="F164" s="1" t="s">
        <v>58</v>
      </c>
      <c r="I164" s="1">
        <v>3</v>
      </c>
      <c r="J164" s="1" t="b">
        <v>0</v>
      </c>
      <c r="K164" s="1" t="b">
        <v>0</v>
      </c>
      <c r="L164" s="1" t="s">
        <v>434</v>
      </c>
      <c r="M164" s="1">
        <v>2025306</v>
      </c>
      <c r="N164" s="1" t="b">
        <v>0</v>
      </c>
      <c r="O164" s="15" t="s">
        <v>435</v>
      </c>
      <c r="R164" s="1">
        <v>-1</v>
      </c>
    </row>
    <row r="165" spans="1:18">
      <c r="A165" s="1">
        <v>1025401</v>
      </c>
      <c r="C165" s="1">
        <v>1025401</v>
      </c>
      <c r="D165" s="1" t="s">
        <v>436</v>
      </c>
      <c r="E165" s="1">
        <v>2</v>
      </c>
      <c r="F165" s="1" t="s">
        <v>58</v>
      </c>
      <c r="I165" s="1">
        <v>4</v>
      </c>
      <c r="J165" s="1" t="b">
        <v>0</v>
      </c>
      <c r="K165" s="1" t="b">
        <v>0</v>
      </c>
      <c r="L165" s="1" t="s">
        <v>437</v>
      </c>
      <c r="M165" s="1">
        <v>2025401</v>
      </c>
      <c r="N165" s="1" t="b">
        <v>0</v>
      </c>
      <c r="O165" s="15" t="s">
        <v>438</v>
      </c>
      <c r="R165" s="1">
        <v>-1</v>
      </c>
    </row>
    <row r="166" spans="1:18">
      <c r="A166" s="1">
        <v>1025402</v>
      </c>
      <c r="C166" s="1">
        <v>1025402</v>
      </c>
      <c r="D166" s="1" t="s">
        <v>439</v>
      </c>
      <c r="E166" s="1">
        <v>2</v>
      </c>
      <c r="F166" s="1" t="s">
        <v>58</v>
      </c>
      <c r="I166" s="1">
        <v>4</v>
      </c>
      <c r="J166" s="1" t="b">
        <v>0</v>
      </c>
      <c r="K166" s="1" t="b">
        <v>0</v>
      </c>
      <c r="L166" s="1" t="s">
        <v>440</v>
      </c>
      <c r="M166" s="1">
        <v>2025402</v>
      </c>
      <c r="N166" s="1" t="b">
        <v>0</v>
      </c>
      <c r="O166" s="15" t="s">
        <v>441</v>
      </c>
      <c r="R166" s="1">
        <v>-1</v>
      </c>
    </row>
    <row r="167" spans="1:18">
      <c r="A167" s="1">
        <v>1025403</v>
      </c>
      <c r="C167" s="1">
        <v>1025403</v>
      </c>
      <c r="D167" s="1" t="s">
        <v>442</v>
      </c>
      <c r="E167" s="1">
        <v>2</v>
      </c>
      <c r="F167" s="1" t="s">
        <v>58</v>
      </c>
      <c r="I167" s="1">
        <v>4</v>
      </c>
      <c r="J167" s="1" t="b">
        <v>0</v>
      </c>
      <c r="K167" s="1" t="b">
        <v>0</v>
      </c>
      <c r="L167" s="1" t="s">
        <v>443</v>
      </c>
      <c r="M167" s="1">
        <v>2025403</v>
      </c>
      <c r="N167" s="1" t="b">
        <v>0</v>
      </c>
      <c r="O167" s="15" t="s">
        <v>444</v>
      </c>
      <c r="R167" s="1">
        <v>-1</v>
      </c>
    </row>
    <row r="168" spans="1:18">
      <c r="A168" s="1">
        <v>1025404</v>
      </c>
      <c r="C168" s="1">
        <v>1025404</v>
      </c>
      <c r="D168" s="1" t="s">
        <v>445</v>
      </c>
      <c r="E168" s="1">
        <v>2</v>
      </c>
      <c r="F168" s="1" t="s">
        <v>58</v>
      </c>
      <c r="I168" s="1">
        <v>4</v>
      </c>
      <c r="J168" s="1" t="b">
        <v>0</v>
      </c>
      <c r="K168" s="1" t="b">
        <v>0</v>
      </c>
      <c r="L168" s="1" t="s">
        <v>446</v>
      </c>
      <c r="M168" s="1">
        <v>2025404</v>
      </c>
      <c r="N168" s="1" t="b">
        <v>0</v>
      </c>
      <c r="O168" s="15" t="s">
        <v>447</v>
      </c>
      <c r="R168" s="1">
        <v>-1</v>
      </c>
    </row>
    <row r="169" spans="1:18">
      <c r="A169" s="1">
        <v>1025405</v>
      </c>
      <c r="C169" s="1">
        <v>1025405</v>
      </c>
      <c r="D169" s="1" t="s">
        <v>448</v>
      </c>
      <c r="E169" s="1">
        <v>2</v>
      </c>
      <c r="F169" s="1" t="s">
        <v>58</v>
      </c>
      <c r="I169" s="1">
        <v>4</v>
      </c>
      <c r="J169" s="1" t="b">
        <v>0</v>
      </c>
      <c r="K169" s="1" t="b">
        <v>0</v>
      </c>
      <c r="L169" s="1" t="s">
        <v>449</v>
      </c>
      <c r="M169" s="1">
        <v>2025405</v>
      </c>
      <c r="N169" s="1" t="b">
        <v>0</v>
      </c>
      <c r="O169" s="15" t="s">
        <v>450</v>
      </c>
      <c r="R169" s="1">
        <v>-1</v>
      </c>
    </row>
    <row r="170" spans="1:18">
      <c r="A170" s="1">
        <v>1025406</v>
      </c>
      <c r="C170" s="1">
        <v>1025406</v>
      </c>
      <c r="D170" s="1" t="s">
        <v>451</v>
      </c>
      <c r="E170" s="1">
        <v>2</v>
      </c>
      <c r="F170" s="1" t="s">
        <v>58</v>
      </c>
      <c r="I170" s="1">
        <v>4</v>
      </c>
      <c r="J170" s="1" t="b">
        <v>0</v>
      </c>
      <c r="K170" s="1" t="b">
        <v>0</v>
      </c>
      <c r="L170" s="1" t="s">
        <v>452</v>
      </c>
      <c r="M170" s="1">
        <v>2025406</v>
      </c>
      <c r="N170" s="1" t="b">
        <v>0</v>
      </c>
      <c r="O170" s="15" t="s">
        <v>453</v>
      </c>
      <c r="R170" s="1">
        <v>-1</v>
      </c>
    </row>
    <row r="171" spans="1:18">
      <c r="A171" s="1">
        <v>1025501</v>
      </c>
      <c r="C171" s="1">
        <v>1025501</v>
      </c>
      <c r="D171" s="1" t="s">
        <v>454</v>
      </c>
      <c r="E171" s="1">
        <v>2</v>
      </c>
      <c r="F171" s="1" t="s">
        <v>58</v>
      </c>
      <c r="I171" s="1">
        <v>5</v>
      </c>
      <c r="J171" s="1" t="b">
        <v>0</v>
      </c>
      <c r="K171" s="1" t="b">
        <v>0</v>
      </c>
      <c r="L171" s="1" t="s">
        <v>455</v>
      </c>
      <c r="M171" s="1">
        <v>2025501</v>
      </c>
      <c r="N171" s="1" t="b">
        <v>0</v>
      </c>
      <c r="O171" s="15" t="s">
        <v>456</v>
      </c>
      <c r="R171" s="1">
        <v>-1</v>
      </c>
    </row>
    <row r="172" spans="1:18">
      <c r="A172" s="1">
        <v>1025502</v>
      </c>
      <c r="C172" s="1">
        <v>1025502</v>
      </c>
      <c r="D172" s="1" t="s">
        <v>457</v>
      </c>
      <c r="E172" s="1">
        <v>2</v>
      </c>
      <c r="F172" s="1" t="s">
        <v>58</v>
      </c>
      <c r="I172" s="1">
        <v>5</v>
      </c>
      <c r="J172" s="1" t="b">
        <v>0</v>
      </c>
      <c r="K172" s="1" t="b">
        <v>0</v>
      </c>
      <c r="L172" s="1" t="s">
        <v>458</v>
      </c>
      <c r="M172" s="1">
        <v>2025502</v>
      </c>
      <c r="N172" s="1" t="b">
        <v>0</v>
      </c>
      <c r="O172" s="15" t="s">
        <v>459</v>
      </c>
      <c r="R172" s="1">
        <v>-1</v>
      </c>
    </row>
    <row r="173" spans="1:18">
      <c r="A173" s="1">
        <v>1025503</v>
      </c>
      <c r="C173" s="1">
        <v>1025503</v>
      </c>
      <c r="D173" s="1" t="s">
        <v>460</v>
      </c>
      <c r="E173" s="1">
        <v>2</v>
      </c>
      <c r="F173" s="1" t="s">
        <v>58</v>
      </c>
      <c r="I173" s="1">
        <v>5</v>
      </c>
      <c r="J173" s="1" t="b">
        <v>0</v>
      </c>
      <c r="K173" s="1" t="b">
        <v>0</v>
      </c>
      <c r="L173" s="1" t="s">
        <v>461</v>
      </c>
      <c r="M173" s="1">
        <v>2025503</v>
      </c>
      <c r="N173" s="1" t="b">
        <v>0</v>
      </c>
      <c r="O173" s="15" t="s">
        <v>462</v>
      </c>
      <c r="R173" s="1">
        <v>-1</v>
      </c>
    </row>
    <row r="174" spans="1:18">
      <c r="A174" s="1">
        <v>1025504</v>
      </c>
      <c r="C174" s="1">
        <v>1025504</v>
      </c>
      <c r="D174" s="1" t="s">
        <v>463</v>
      </c>
      <c r="E174" s="1">
        <v>2</v>
      </c>
      <c r="F174" s="1" t="s">
        <v>58</v>
      </c>
      <c r="I174" s="1">
        <v>5</v>
      </c>
      <c r="J174" s="1" t="b">
        <v>0</v>
      </c>
      <c r="K174" s="1" t="b">
        <v>0</v>
      </c>
      <c r="L174" s="1" t="s">
        <v>464</v>
      </c>
      <c r="M174" s="1">
        <v>2025504</v>
      </c>
      <c r="N174" s="1" t="b">
        <v>0</v>
      </c>
      <c r="O174" s="15" t="s">
        <v>465</v>
      </c>
      <c r="R174" s="1">
        <v>-1</v>
      </c>
    </row>
    <row r="175" spans="1:18">
      <c r="A175" s="1">
        <v>1025505</v>
      </c>
      <c r="C175" s="1">
        <v>1025505</v>
      </c>
      <c r="D175" s="1" t="s">
        <v>466</v>
      </c>
      <c r="E175" s="1">
        <v>2</v>
      </c>
      <c r="F175" s="1" t="s">
        <v>58</v>
      </c>
      <c r="I175" s="1">
        <v>5</v>
      </c>
      <c r="J175" s="1" t="b">
        <v>0</v>
      </c>
      <c r="K175" s="1" t="b">
        <v>0</v>
      </c>
      <c r="L175" s="1" t="s">
        <v>467</v>
      </c>
      <c r="M175" s="1">
        <v>2025505</v>
      </c>
      <c r="N175" s="1" t="b">
        <v>0</v>
      </c>
      <c r="O175" s="15" t="s">
        <v>468</v>
      </c>
      <c r="R175" s="1">
        <v>-1</v>
      </c>
    </row>
    <row r="176" spans="1:18">
      <c r="A176" s="1">
        <v>1025506</v>
      </c>
      <c r="C176" s="1">
        <v>1025506</v>
      </c>
      <c r="D176" s="1" t="s">
        <v>469</v>
      </c>
      <c r="E176" s="1">
        <v>2</v>
      </c>
      <c r="F176" s="1" t="s">
        <v>58</v>
      </c>
      <c r="I176" s="1">
        <v>5</v>
      </c>
      <c r="J176" s="1" t="b">
        <v>0</v>
      </c>
      <c r="K176" s="1" t="b">
        <v>0</v>
      </c>
      <c r="L176" s="1" t="s">
        <v>470</v>
      </c>
      <c r="M176" s="1">
        <v>2025506</v>
      </c>
      <c r="N176" s="1" t="b">
        <v>0</v>
      </c>
      <c r="O176" s="15" t="s">
        <v>471</v>
      </c>
      <c r="R176" s="1">
        <v>-1</v>
      </c>
    </row>
    <row r="177" customFormat="1" spans="1:25">
      <c r="A177" s="1">
        <v>1025901</v>
      </c>
      <c r="B177" s="1"/>
      <c r="C177" s="1">
        <v>1025901</v>
      </c>
      <c r="D177" s="1" t="s">
        <v>472</v>
      </c>
      <c r="E177" s="1">
        <v>2</v>
      </c>
      <c r="F177" s="1" t="s">
        <v>58</v>
      </c>
      <c r="G177" s="1"/>
      <c r="H177" s="3"/>
      <c r="I177" s="1">
        <v>9</v>
      </c>
      <c r="J177" s="1" t="b">
        <v>0</v>
      </c>
      <c r="K177" s="1" t="b">
        <v>0</v>
      </c>
      <c r="L177" s="16"/>
      <c r="M177" s="1">
        <v>2025901</v>
      </c>
      <c r="N177" s="1" t="b">
        <v>0</v>
      </c>
      <c r="O177" s="1"/>
      <c r="P177" s="1"/>
      <c r="Q177" s="1"/>
      <c r="R177" s="1">
        <v>-1</v>
      </c>
      <c r="S177" s="1"/>
      <c r="T177" s="1"/>
      <c r="U177" s="1"/>
      <c r="V177" s="1"/>
      <c r="W177" s="1"/>
      <c r="X177" s="1"/>
      <c r="Y177" s="1"/>
    </row>
    <row r="178" customFormat="1" spans="1:25">
      <c r="A178" s="1">
        <v>1025902</v>
      </c>
      <c r="B178" s="1"/>
      <c r="C178" s="1">
        <v>1025902</v>
      </c>
      <c r="D178" s="1" t="s">
        <v>473</v>
      </c>
      <c r="E178" s="1">
        <v>2</v>
      </c>
      <c r="F178" s="1" t="s">
        <v>58</v>
      </c>
      <c r="G178" s="1"/>
      <c r="H178" s="3"/>
      <c r="I178" s="1">
        <v>9</v>
      </c>
      <c r="J178" s="1" t="b">
        <v>0</v>
      </c>
      <c r="K178" s="1" t="b">
        <v>0</v>
      </c>
      <c r="L178" s="16"/>
      <c r="M178" s="1">
        <v>2025902</v>
      </c>
      <c r="N178" s="1" t="b">
        <v>0</v>
      </c>
      <c r="O178" s="1"/>
      <c r="P178" s="1"/>
      <c r="Q178" s="1"/>
      <c r="R178" s="1">
        <v>-1</v>
      </c>
      <c r="S178" s="1"/>
      <c r="T178" s="1"/>
      <c r="U178" s="1"/>
      <c r="V178" s="1"/>
      <c r="W178" s="1"/>
      <c r="X178" s="1"/>
      <c r="Y178" s="1"/>
    </row>
    <row r="179" customFormat="1" spans="1:25">
      <c r="A179" s="1">
        <v>1025903</v>
      </c>
      <c r="B179" s="1"/>
      <c r="C179" s="1">
        <v>1025903</v>
      </c>
      <c r="D179" s="1" t="s">
        <v>474</v>
      </c>
      <c r="E179" s="1">
        <v>2</v>
      </c>
      <c r="F179" s="1" t="s">
        <v>58</v>
      </c>
      <c r="G179" s="1"/>
      <c r="H179" s="3"/>
      <c r="I179" s="1">
        <v>9</v>
      </c>
      <c r="J179" s="1" t="b">
        <v>0</v>
      </c>
      <c r="K179" s="1" t="b">
        <v>0</v>
      </c>
      <c r="L179" s="16"/>
      <c r="M179" s="1">
        <v>2025903</v>
      </c>
      <c r="N179" s="1" t="b">
        <v>0</v>
      </c>
      <c r="O179" s="1"/>
      <c r="P179" s="1"/>
      <c r="Q179" s="1"/>
      <c r="R179" s="1">
        <v>-1</v>
      </c>
      <c r="S179" s="1"/>
      <c r="T179" s="1"/>
      <c r="U179" s="1"/>
      <c r="V179" s="1"/>
      <c r="W179" s="1"/>
      <c r="X179" s="1"/>
      <c r="Y179" s="1"/>
    </row>
    <row r="180" customFormat="1" spans="1:25">
      <c r="A180" s="1">
        <v>1025904</v>
      </c>
      <c r="B180" s="1"/>
      <c r="C180" s="1">
        <v>1025904</v>
      </c>
      <c r="D180" s="1" t="s">
        <v>475</v>
      </c>
      <c r="E180" s="1">
        <v>2</v>
      </c>
      <c r="F180" s="1" t="s">
        <v>58</v>
      </c>
      <c r="G180" s="1"/>
      <c r="H180" s="3"/>
      <c r="I180" s="1">
        <v>9</v>
      </c>
      <c r="J180" s="1" t="b">
        <v>0</v>
      </c>
      <c r="K180" s="1" t="b">
        <v>0</v>
      </c>
      <c r="L180" s="16"/>
      <c r="M180" s="1">
        <v>2025904</v>
      </c>
      <c r="N180" s="1" t="b">
        <v>0</v>
      </c>
      <c r="O180" s="1"/>
      <c r="P180" s="1"/>
      <c r="Q180" s="1"/>
      <c r="R180" s="1">
        <v>-1</v>
      </c>
      <c r="S180" s="1"/>
      <c r="T180" s="1"/>
      <c r="U180" s="1"/>
      <c r="V180" s="1"/>
      <c r="W180" s="1"/>
      <c r="X180" s="1"/>
      <c r="Y180" s="1"/>
    </row>
    <row r="181" customFormat="1" spans="1:25">
      <c r="A181" s="1">
        <v>1025905</v>
      </c>
      <c r="B181" s="1"/>
      <c r="C181" s="1">
        <v>1025905</v>
      </c>
      <c r="D181" s="1" t="s">
        <v>476</v>
      </c>
      <c r="E181" s="1">
        <v>2</v>
      </c>
      <c r="F181" s="1" t="s">
        <v>58</v>
      </c>
      <c r="G181" s="1"/>
      <c r="H181" s="3"/>
      <c r="I181" s="1">
        <v>9</v>
      </c>
      <c r="J181" s="1" t="b">
        <v>0</v>
      </c>
      <c r="K181" s="1" t="b">
        <v>0</v>
      </c>
      <c r="L181" s="16"/>
      <c r="M181" s="1">
        <v>2025905</v>
      </c>
      <c r="N181" s="1" t="b">
        <v>0</v>
      </c>
      <c r="O181" s="1"/>
      <c r="P181" s="1"/>
      <c r="Q181" s="1"/>
      <c r="R181" s="1">
        <v>-1</v>
      </c>
      <c r="S181" s="1"/>
      <c r="T181" s="1"/>
      <c r="U181" s="1"/>
      <c r="V181" s="1"/>
      <c r="W181" s="1"/>
      <c r="X181" s="1"/>
      <c r="Y181" s="1"/>
    </row>
    <row r="182" spans="1:25">
      <c r="A182" s="1">
        <v>1125101</v>
      </c>
      <c r="C182" s="1">
        <v>1125101</v>
      </c>
      <c r="D182" s="1" t="str">
        <f>D147&amp;"碎片"</f>
        <v>街头潮人碎片</v>
      </c>
      <c r="E182" s="1">
        <v>2</v>
      </c>
      <c r="F182" s="1" t="s">
        <v>58</v>
      </c>
      <c r="I182" s="1">
        <v>1</v>
      </c>
      <c r="J182" s="1" t="b">
        <v>1</v>
      </c>
      <c r="K182" s="1" t="b">
        <v>1</v>
      </c>
      <c r="L182" s="17" t="s">
        <v>477</v>
      </c>
      <c r="M182" s="1">
        <v>2125101</v>
      </c>
      <c r="N182" s="1" t="b">
        <v>0</v>
      </c>
      <c r="O182" s="1" t="str">
        <f>D147&amp;"游客的升星道具"</f>
        <v>街头潮人游客的升星道具</v>
      </c>
      <c r="R182" s="1">
        <v>999999</v>
      </c>
    </row>
    <row r="183" spans="1:25">
      <c r="A183" s="1">
        <v>1125102</v>
      </c>
      <c r="C183" s="1">
        <v>1125102</v>
      </c>
      <c r="D183" s="1" t="str">
        <f t="shared" ref="D183:D211" si="2">D148&amp;"碎片"</f>
        <v>复古绅士碎片</v>
      </c>
      <c r="E183" s="1">
        <v>2</v>
      </c>
      <c r="F183" s="1" t="s">
        <v>58</v>
      </c>
      <c r="I183" s="1">
        <v>1</v>
      </c>
      <c r="J183" s="1" t="b">
        <v>1</v>
      </c>
      <c r="K183" s="1" t="b">
        <v>1</v>
      </c>
      <c r="L183" s="17" t="s">
        <v>478</v>
      </c>
      <c r="M183" s="1">
        <v>2125102</v>
      </c>
      <c r="N183" s="1" t="b">
        <v>0</v>
      </c>
      <c r="O183" s="1" t="str">
        <f t="shared" ref="O183:O211" si="3">D148&amp;"游客的升星道具"</f>
        <v>复古绅士游客的升星道具</v>
      </c>
      <c r="R183" s="1">
        <v>999999</v>
      </c>
    </row>
    <row r="184" spans="1:25">
      <c r="A184" s="1">
        <v>1125103</v>
      </c>
      <c r="C184" s="1">
        <v>1125103</v>
      </c>
      <c r="D184" s="1" t="str">
        <f t="shared" si="2"/>
        <v>酷盖少年碎片</v>
      </c>
      <c r="E184" s="1">
        <v>2</v>
      </c>
      <c r="F184" s="1" t="s">
        <v>58</v>
      </c>
      <c r="I184" s="1">
        <v>1</v>
      </c>
      <c r="J184" s="1" t="b">
        <v>1</v>
      </c>
      <c r="K184" s="1" t="b">
        <v>1</v>
      </c>
      <c r="L184" s="17" t="s">
        <v>479</v>
      </c>
      <c r="M184" s="1">
        <v>2125103</v>
      </c>
      <c r="N184" s="1" t="b">
        <v>0</v>
      </c>
      <c r="O184" s="1" t="str">
        <f t="shared" si="3"/>
        <v>酷盖少年游客的升星道具</v>
      </c>
      <c r="R184" s="1">
        <v>999999</v>
      </c>
    </row>
    <row r="185" spans="1:25">
      <c r="A185" s="1">
        <v>1125104</v>
      </c>
      <c r="C185" s="1">
        <v>1125104</v>
      </c>
      <c r="D185" s="1" t="str">
        <f t="shared" si="2"/>
        <v>潮流先锋碎片</v>
      </c>
      <c r="E185" s="1">
        <v>2</v>
      </c>
      <c r="F185" s="1" t="s">
        <v>58</v>
      </c>
      <c r="I185" s="1">
        <v>1</v>
      </c>
      <c r="J185" s="1" t="b">
        <v>1</v>
      </c>
      <c r="K185" s="1" t="b">
        <v>1</v>
      </c>
      <c r="L185" s="17" t="s">
        <v>480</v>
      </c>
      <c r="M185" s="1">
        <v>2125104</v>
      </c>
      <c r="N185" s="1" t="b">
        <v>0</v>
      </c>
      <c r="O185" s="1" t="str">
        <f t="shared" si="3"/>
        <v>潮流先锋游客的升星道具</v>
      </c>
      <c r="R185" s="1">
        <v>999999</v>
      </c>
    </row>
    <row r="186" spans="1:25">
      <c r="A186" s="1">
        <v>1125105</v>
      </c>
      <c r="C186" s="1">
        <v>1125105</v>
      </c>
      <c r="D186" s="1" t="str">
        <f t="shared" si="2"/>
        <v>时尚教主碎片</v>
      </c>
      <c r="E186" s="1">
        <v>2</v>
      </c>
      <c r="F186" s="1" t="s">
        <v>58</v>
      </c>
      <c r="I186" s="1">
        <v>1</v>
      </c>
      <c r="J186" s="1" t="b">
        <v>1</v>
      </c>
      <c r="K186" s="1" t="b">
        <v>1</v>
      </c>
      <c r="L186" s="17" t="s">
        <v>481</v>
      </c>
      <c r="M186" s="1">
        <v>2125105</v>
      </c>
      <c r="N186" s="1" t="b">
        <v>0</v>
      </c>
      <c r="O186" s="1" t="str">
        <f t="shared" si="3"/>
        <v>时尚教主游客的升星道具</v>
      </c>
      <c r="R186" s="1">
        <v>999999</v>
      </c>
    </row>
    <row r="187" spans="1:25">
      <c r="A187" s="1">
        <v>1125106</v>
      </c>
      <c r="C187" s="1">
        <v>1125106</v>
      </c>
      <c r="D187" s="1" t="str">
        <f t="shared" si="2"/>
        <v>街拍达人碎片</v>
      </c>
      <c r="E187" s="1">
        <v>2</v>
      </c>
      <c r="F187" s="1" t="s">
        <v>58</v>
      </c>
      <c r="I187" s="1">
        <v>1</v>
      </c>
      <c r="J187" s="1" t="b">
        <v>1</v>
      </c>
      <c r="K187" s="1" t="b">
        <v>1</v>
      </c>
      <c r="L187" s="17" t="s">
        <v>482</v>
      </c>
      <c r="M187" s="1">
        <v>2125106</v>
      </c>
      <c r="N187" s="1" t="b">
        <v>0</v>
      </c>
      <c r="O187" s="1" t="str">
        <f t="shared" si="3"/>
        <v>街拍达人游客的升星道具</v>
      </c>
      <c r="R187" s="1">
        <v>999999</v>
      </c>
    </row>
    <row r="188" spans="1:25">
      <c r="A188" s="1">
        <v>1125201</v>
      </c>
      <c r="C188" s="1">
        <v>1125201</v>
      </c>
      <c r="D188" s="1" t="str">
        <f t="shared" si="2"/>
        <v>运动健将碎片</v>
      </c>
      <c r="E188" s="1">
        <v>2</v>
      </c>
      <c r="F188" s="1" t="s">
        <v>58</v>
      </c>
      <c r="I188" s="1">
        <v>2</v>
      </c>
      <c r="J188" s="1" t="b">
        <v>1</v>
      </c>
      <c r="K188" s="1" t="b">
        <v>1</v>
      </c>
      <c r="L188" s="17" t="s">
        <v>483</v>
      </c>
      <c r="M188" s="1">
        <v>2125201</v>
      </c>
      <c r="N188" s="1" t="b">
        <v>0</v>
      </c>
      <c r="O188" s="1" t="str">
        <f t="shared" si="3"/>
        <v>运动健将游客的升星道具</v>
      </c>
      <c r="R188" s="1">
        <v>999999</v>
      </c>
    </row>
    <row r="189" spans="1:25">
      <c r="A189" s="1">
        <v>1125202</v>
      </c>
      <c r="C189" s="1">
        <v>1125202</v>
      </c>
      <c r="D189" s="1" t="str">
        <f t="shared" si="2"/>
        <v>跑酷少年碎片</v>
      </c>
      <c r="E189" s="1">
        <v>2</v>
      </c>
      <c r="F189" s="1" t="s">
        <v>58</v>
      </c>
      <c r="I189" s="1">
        <v>2</v>
      </c>
      <c r="J189" s="1" t="b">
        <v>1</v>
      </c>
      <c r="K189" s="1" t="b">
        <v>1</v>
      </c>
      <c r="L189" s="17" t="s">
        <v>484</v>
      </c>
      <c r="M189" s="1">
        <v>2125202</v>
      </c>
      <c r="N189" s="1" t="b">
        <v>0</v>
      </c>
      <c r="O189" s="1" t="str">
        <f t="shared" si="3"/>
        <v>跑酷少年游客的升星道具</v>
      </c>
      <c r="R189" s="1">
        <v>999999</v>
      </c>
    </row>
    <row r="190" spans="1:25">
      <c r="A190" s="1">
        <v>1125203</v>
      </c>
      <c r="C190" s="1">
        <v>1125203</v>
      </c>
      <c r="D190" s="1" t="str">
        <f t="shared" si="2"/>
        <v>滑板高手碎片</v>
      </c>
      <c r="E190" s="1">
        <v>2</v>
      </c>
      <c r="F190" s="1" t="s">
        <v>58</v>
      </c>
      <c r="I190" s="1">
        <v>2</v>
      </c>
      <c r="J190" s="1" t="b">
        <v>1</v>
      </c>
      <c r="K190" s="1" t="b">
        <v>1</v>
      </c>
      <c r="L190" s="17" t="s">
        <v>485</v>
      </c>
      <c r="M190" s="1">
        <v>2125203</v>
      </c>
      <c r="N190" s="1" t="b">
        <v>0</v>
      </c>
      <c r="O190" s="1" t="str">
        <f t="shared" si="3"/>
        <v>滑板高手游客的升星道具</v>
      </c>
      <c r="R190" s="1">
        <v>999999</v>
      </c>
    </row>
    <row r="191" spans="1:25">
      <c r="A191" s="1">
        <v>1125204</v>
      </c>
      <c r="C191" s="1">
        <v>1125204</v>
      </c>
      <c r="D191" s="1" t="str">
        <f t="shared" si="2"/>
        <v>甜心辣妹碎片</v>
      </c>
      <c r="E191" s="1">
        <v>2</v>
      </c>
      <c r="F191" s="1" t="s">
        <v>58</v>
      </c>
      <c r="I191" s="1">
        <v>2</v>
      </c>
      <c r="J191" s="1" t="b">
        <v>1</v>
      </c>
      <c r="K191" s="1" t="b">
        <v>1</v>
      </c>
      <c r="L191" s="17" t="s">
        <v>486</v>
      </c>
      <c r="M191" s="1">
        <v>2125204</v>
      </c>
      <c r="N191" s="1" t="b">
        <v>0</v>
      </c>
      <c r="O191" s="1" t="str">
        <f t="shared" si="3"/>
        <v>甜心辣妹游客的升星道具</v>
      </c>
      <c r="R191" s="1">
        <v>999999</v>
      </c>
    </row>
    <row r="192" spans="1:25">
      <c r="A192" s="1">
        <v>1125205</v>
      </c>
      <c r="C192" s="1">
        <v>1125205</v>
      </c>
      <c r="D192" s="1" t="str">
        <f t="shared" si="2"/>
        <v>活力少女碎片</v>
      </c>
      <c r="E192" s="1">
        <v>2</v>
      </c>
      <c r="F192" s="1" t="s">
        <v>58</v>
      </c>
      <c r="I192" s="1">
        <v>2</v>
      </c>
      <c r="J192" s="1" t="b">
        <v>1</v>
      </c>
      <c r="K192" s="1" t="b">
        <v>1</v>
      </c>
      <c r="L192" s="17" t="s">
        <v>487</v>
      </c>
      <c r="M192" s="1">
        <v>2125205</v>
      </c>
      <c r="N192" s="1" t="b">
        <v>0</v>
      </c>
      <c r="O192" s="1" t="str">
        <f t="shared" si="3"/>
        <v>活力少女游客的升星道具</v>
      </c>
      <c r="R192" s="1">
        <v>999999</v>
      </c>
    </row>
    <row r="193" spans="1:18">
      <c r="A193" s="1">
        <v>1125206</v>
      </c>
      <c r="C193" s="1">
        <v>1125206</v>
      </c>
      <c r="D193" s="1" t="str">
        <f t="shared" si="2"/>
        <v>优雅女神碎片</v>
      </c>
      <c r="E193" s="1">
        <v>2</v>
      </c>
      <c r="F193" s="1" t="s">
        <v>58</v>
      </c>
      <c r="I193" s="1">
        <v>2</v>
      </c>
      <c r="J193" s="1" t="b">
        <v>1</v>
      </c>
      <c r="K193" s="1" t="b">
        <v>1</v>
      </c>
      <c r="L193" s="17" t="s">
        <v>488</v>
      </c>
      <c r="M193" s="1">
        <v>2125206</v>
      </c>
      <c r="N193" s="1" t="b">
        <v>0</v>
      </c>
      <c r="O193" s="1" t="str">
        <f t="shared" si="3"/>
        <v>优雅女神游客的升星道具</v>
      </c>
      <c r="R193" s="1">
        <v>999999</v>
      </c>
    </row>
    <row r="194" spans="1:18">
      <c r="A194" s="1">
        <v>1125301</v>
      </c>
      <c r="C194" s="1">
        <v>1125301</v>
      </c>
      <c r="D194" s="1" t="str">
        <f t="shared" si="2"/>
        <v>健身狂魔碎片</v>
      </c>
      <c r="E194" s="1">
        <v>2</v>
      </c>
      <c r="F194" s="1" t="s">
        <v>58</v>
      </c>
      <c r="I194" s="1">
        <v>3</v>
      </c>
      <c r="J194" s="1" t="b">
        <v>1</v>
      </c>
      <c r="K194" s="1" t="b">
        <v>1</v>
      </c>
      <c r="L194" s="17" t="s">
        <v>489</v>
      </c>
      <c r="M194" s="1">
        <v>2125301</v>
      </c>
      <c r="N194" s="1" t="b">
        <v>0</v>
      </c>
      <c r="O194" s="1" t="str">
        <f t="shared" si="3"/>
        <v>健身狂魔游客的升星道具</v>
      </c>
      <c r="R194" s="1">
        <v>999999</v>
      </c>
    </row>
    <row r="195" spans="1:18">
      <c r="A195" s="1">
        <v>1125302</v>
      </c>
      <c r="C195" s="1">
        <v>1125302</v>
      </c>
      <c r="D195" s="1" t="str">
        <f t="shared" si="2"/>
        <v>单车骑士碎片</v>
      </c>
      <c r="E195" s="1">
        <v>2</v>
      </c>
      <c r="F195" s="1" t="s">
        <v>58</v>
      </c>
      <c r="I195" s="1">
        <v>3</v>
      </c>
      <c r="J195" s="1" t="b">
        <v>1</v>
      </c>
      <c r="K195" s="1" t="b">
        <v>1</v>
      </c>
      <c r="L195" s="17" t="s">
        <v>490</v>
      </c>
      <c r="M195" s="1">
        <v>2125302</v>
      </c>
      <c r="N195" s="1" t="b">
        <v>0</v>
      </c>
      <c r="O195" s="1" t="str">
        <f t="shared" si="3"/>
        <v>单车骑士游客的升星道具</v>
      </c>
      <c r="R195" s="1">
        <v>999999</v>
      </c>
    </row>
    <row r="196" spans="1:18">
      <c r="A196" s="1">
        <v>1125303</v>
      </c>
      <c r="C196" s="1">
        <v>1125303</v>
      </c>
      <c r="D196" s="1" t="str">
        <f t="shared" si="2"/>
        <v>登山行者碎片</v>
      </c>
      <c r="E196" s="1">
        <v>2</v>
      </c>
      <c r="F196" s="1" t="s">
        <v>58</v>
      </c>
      <c r="I196" s="1">
        <v>3</v>
      </c>
      <c r="J196" s="1" t="b">
        <v>1</v>
      </c>
      <c r="K196" s="1" t="b">
        <v>1</v>
      </c>
      <c r="L196" s="17" t="s">
        <v>491</v>
      </c>
      <c r="M196" s="1">
        <v>2125303</v>
      </c>
      <c r="N196" s="1" t="b">
        <v>0</v>
      </c>
      <c r="O196" s="1" t="str">
        <f t="shared" si="3"/>
        <v>登山行者游客的升星道具</v>
      </c>
      <c r="R196" s="1">
        <v>999999</v>
      </c>
    </row>
    <row r="197" spans="1:18">
      <c r="A197" s="1">
        <v>1125304</v>
      </c>
      <c r="C197" s="1">
        <v>1125304</v>
      </c>
      <c r="D197" s="1" t="str">
        <f t="shared" si="2"/>
        <v>文艺青年碎片</v>
      </c>
      <c r="E197" s="1">
        <v>2</v>
      </c>
      <c r="F197" s="1" t="s">
        <v>58</v>
      </c>
      <c r="I197" s="1">
        <v>3</v>
      </c>
      <c r="J197" s="1" t="b">
        <v>1</v>
      </c>
      <c r="K197" s="1" t="b">
        <v>1</v>
      </c>
      <c r="L197" s="17" t="s">
        <v>492</v>
      </c>
      <c r="M197" s="1">
        <v>2125304</v>
      </c>
      <c r="N197" s="1" t="b">
        <v>0</v>
      </c>
      <c r="O197" s="1" t="str">
        <f t="shared" si="3"/>
        <v>文艺青年游客的升星道具</v>
      </c>
      <c r="R197" s="1">
        <v>999999</v>
      </c>
    </row>
    <row r="198" spans="1:18">
      <c r="A198" s="1">
        <v>1125305</v>
      </c>
      <c r="C198" s="1">
        <v>1125305</v>
      </c>
      <c r="D198" s="1" t="str">
        <f t="shared" si="2"/>
        <v>书香少女碎片</v>
      </c>
      <c r="E198" s="1">
        <v>2</v>
      </c>
      <c r="F198" s="1" t="s">
        <v>58</v>
      </c>
      <c r="I198" s="1">
        <v>3</v>
      </c>
      <c r="J198" s="1" t="b">
        <v>1</v>
      </c>
      <c r="K198" s="1" t="b">
        <v>1</v>
      </c>
      <c r="L198" s="17" t="s">
        <v>493</v>
      </c>
      <c r="M198" s="1">
        <v>2125305</v>
      </c>
      <c r="N198" s="1" t="b">
        <v>0</v>
      </c>
      <c r="O198" s="1" t="str">
        <f t="shared" si="3"/>
        <v>书香少女游客的升星道具</v>
      </c>
      <c r="R198" s="1">
        <v>999999</v>
      </c>
    </row>
    <row r="199" spans="1:18">
      <c r="A199" s="1">
        <v>1125306</v>
      </c>
      <c r="C199" s="1">
        <v>1125306</v>
      </c>
      <c r="D199" s="1" t="str">
        <f t="shared" si="2"/>
        <v>民谣歌手碎片</v>
      </c>
      <c r="E199" s="1">
        <v>2</v>
      </c>
      <c r="F199" s="1" t="s">
        <v>58</v>
      </c>
      <c r="I199" s="1">
        <v>3</v>
      </c>
      <c r="J199" s="1" t="b">
        <v>1</v>
      </c>
      <c r="K199" s="1" t="b">
        <v>1</v>
      </c>
      <c r="L199" s="17" t="s">
        <v>494</v>
      </c>
      <c r="M199" s="1">
        <v>2125306</v>
      </c>
      <c r="N199" s="1" t="b">
        <v>0</v>
      </c>
      <c r="O199" s="1" t="str">
        <f t="shared" si="3"/>
        <v>民谣歌手游客的升星道具</v>
      </c>
      <c r="R199" s="1">
        <v>999999</v>
      </c>
    </row>
    <row r="200" spans="1:18">
      <c r="A200" s="1">
        <v>1125401</v>
      </c>
      <c r="C200" s="1">
        <v>1125401</v>
      </c>
      <c r="D200" s="1" t="str">
        <f t="shared" si="2"/>
        <v>马拉松客碎片</v>
      </c>
      <c r="E200" s="1">
        <v>2</v>
      </c>
      <c r="F200" s="1" t="s">
        <v>58</v>
      </c>
      <c r="I200" s="1">
        <v>4</v>
      </c>
      <c r="J200" s="1" t="b">
        <v>1</v>
      </c>
      <c r="K200" s="1" t="b">
        <v>1</v>
      </c>
      <c r="L200" s="17" t="s">
        <v>495</v>
      </c>
      <c r="M200" s="1">
        <v>2125401</v>
      </c>
      <c r="N200" s="1" t="b">
        <v>0</v>
      </c>
      <c r="O200" s="1" t="str">
        <f t="shared" si="3"/>
        <v>马拉松客游客的升星道具</v>
      </c>
      <c r="R200" s="1">
        <v>999999</v>
      </c>
    </row>
    <row r="201" spans="1:18">
      <c r="A201" s="1">
        <v>1125402</v>
      </c>
      <c r="C201" s="1">
        <v>1125402</v>
      </c>
      <c r="D201" s="1" t="str">
        <f t="shared" si="2"/>
        <v>极限玩家碎片</v>
      </c>
      <c r="E201" s="1">
        <v>2</v>
      </c>
      <c r="F201" s="1" t="s">
        <v>58</v>
      </c>
      <c r="I201" s="1">
        <v>4</v>
      </c>
      <c r="J201" s="1" t="b">
        <v>1</v>
      </c>
      <c r="K201" s="1" t="b">
        <v>1</v>
      </c>
      <c r="L201" s="17" t="s">
        <v>496</v>
      </c>
      <c r="M201" s="1">
        <v>2125402</v>
      </c>
      <c r="N201" s="1" t="b">
        <v>0</v>
      </c>
      <c r="O201" s="1" t="str">
        <f t="shared" si="3"/>
        <v>极限玩家游客的升星道具</v>
      </c>
      <c r="R201" s="1">
        <v>999999</v>
      </c>
    </row>
    <row r="202" spans="1:18">
      <c r="A202" s="1">
        <v>1125403</v>
      </c>
      <c r="C202" s="1">
        <v>1125403</v>
      </c>
      <c r="D202" s="1" t="str">
        <f t="shared" si="2"/>
        <v>科技极客碎片</v>
      </c>
      <c r="E202" s="1">
        <v>2</v>
      </c>
      <c r="F202" s="1" t="s">
        <v>58</v>
      </c>
      <c r="I202" s="1">
        <v>4</v>
      </c>
      <c r="J202" s="1" t="b">
        <v>1</v>
      </c>
      <c r="K202" s="1" t="b">
        <v>1</v>
      </c>
      <c r="L202" s="17" t="s">
        <v>497</v>
      </c>
      <c r="M202" s="1">
        <v>2125403</v>
      </c>
      <c r="N202" s="1" t="b">
        <v>0</v>
      </c>
      <c r="O202" s="1" t="str">
        <f t="shared" si="3"/>
        <v>科技极客游客的升星道具</v>
      </c>
      <c r="R202" s="1">
        <v>999999</v>
      </c>
    </row>
    <row r="203" spans="1:18">
      <c r="A203" s="1">
        <v>1125404</v>
      </c>
      <c r="C203" s="1">
        <v>1125404</v>
      </c>
      <c r="D203" s="1" t="str">
        <f t="shared" si="2"/>
        <v>独立画家碎片</v>
      </c>
      <c r="E203" s="1">
        <v>2</v>
      </c>
      <c r="F203" s="1" t="s">
        <v>58</v>
      </c>
      <c r="I203" s="1">
        <v>4</v>
      </c>
      <c r="J203" s="1" t="b">
        <v>1</v>
      </c>
      <c r="K203" s="1" t="b">
        <v>1</v>
      </c>
      <c r="L203" s="17" t="s">
        <v>498</v>
      </c>
      <c r="M203" s="1">
        <v>2125404</v>
      </c>
      <c r="N203" s="1" t="b">
        <v>0</v>
      </c>
      <c r="O203" s="1" t="str">
        <f t="shared" si="3"/>
        <v>独立画家游客的升星道具</v>
      </c>
      <c r="R203" s="1">
        <v>999999</v>
      </c>
    </row>
    <row r="204" spans="1:18">
      <c r="A204" s="1">
        <v>1125405</v>
      </c>
      <c r="C204" s="1">
        <v>1125405</v>
      </c>
      <c r="D204" s="1" t="str">
        <f t="shared" si="2"/>
        <v>浪漫诗人碎片</v>
      </c>
      <c r="E204" s="1">
        <v>2</v>
      </c>
      <c r="F204" s="1" t="s">
        <v>58</v>
      </c>
      <c r="I204" s="1">
        <v>4</v>
      </c>
      <c r="J204" s="1" t="b">
        <v>1</v>
      </c>
      <c r="K204" s="1" t="b">
        <v>1</v>
      </c>
      <c r="L204" s="17" t="s">
        <v>499</v>
      </c>
      <c r="M204" s="1">
        <v>2125405</v>
      </c>
      <c r="N204" s="1" t="b">
        <v>0</v>
      </c>
      <c r="O204" s="1" t="str">
        <f t="shared" si="3"/>
        <v>浪漫诗人游客的升星道具</v>
      </c>
      <c r="R204" s="1">
        <v>999999</v>
      </c>
    </row>
    <row r="205" spans="1:18">
      <c r="A205" s="1">
        <v>1125406</v>
      </c>
      <c r="C205" s="1">
        <v>1125406</v>
      </c>
      <c r="D205" s="1" t="str">
        <f t="shared" si="2"/>
        <v>古典乐迷碎片</v>
      </c>
      <c r="E205" s="1">
        <v>2</v>
      </c>
      <c r="F205" s="1" t="s">
        <v>58</v>
      </c>
      <c r="I205" s="1">
        <v>4</v>
      </c>
      <c r="J205" s="1" t="b">
        <v>1</v>
      </c>
      <c r="K205" s="1" t="b">
        <v>1</v>
      </c>
      <c r="L205" s="17" t="s">
        <v>500</v>
      </c>
      <c r="M205" s="1">
        <v>2125406</v>
      </c>
      <c r="N205" s="1" t="b">
        <v>0</v>
      </c>
      <c r="O205" s="1" t="str">
        <f t="shared" si="3"/>
        <v>古典乐迷游客的升星道具</v>
      </c>
      <c r="R205" s="1">
        <v>999999</v>
      </c>
    </row>
    <row r="206" spans="1:18">
      <c r="A206" s="1">
        <v>1125501</v>
      </c>
      <c r="C206" s="1">
        <v>1125501</v>
      </c>
      <c r="D206" s="1" t="str">
        <f t="shared" si="2"/>
        <v>创业新贵碎片</v>
      </c>
      <c r="E206" s="1">
        <v>2</v>
      </c>
      <c r="F206" s="1" t="s">
        <v>58</v>
      </c>
      <c r="I206" s="1">
        <v>5</v>
      </c>
      <c r="J206" s="1" t="b">
        <v>1</v>
      </c>
      <c r="K206" s="1" t="b">
        <v>1</v>
      </c>
      <c r="L206" s="17" t="s">
        <v>501</v>
      </c>
      <c r="M206" s="1">
        <v>2125501</v>
      </c>
      <c r="N206" s="1" t="b">
        <v>0</v>
      </c>
      <c r="O206" s="1" t="str">
        <f t="shared" si="3"/>
        <v>创业新贵游客的升星道具</v>
      </c>
      <c r="R206" s="1">
        <v>999999</v>
      </c>
    </row>
    <row r="207" spans="1:18">
      <c r="A207" s="1">
        <v>1125502</v>
      </c>
      <c r="C207" s="1">
        <v>1125502</v>
      </c>
      <c r="D207" s="1" t="str">
        <f t="shared" si="2"/>
        <v>摸金校尉碎片</v>
      </c>
      <c r="E207" s="1">
        <v>2</v>
      </c>
      <c r="F207" s="1" t="s">
        <v>58</v>
      </c>
      <c r="I207" s="1">
        <v>5</v>
      </c>
      <c r="J207" s="1" t="b">
        <v>1</v>
      </c>
      <c r="K207" s="1" t="b">
        <v>1</v>
      </c>
      <c r="L207" s="17" t="s">
        <v>502</v>
      </c>
      <c r="M207" s="1">
        <v>2125502</v>
      </c>
      <c r="N207" s="1" t="b">
        <v>0</v>
      </c>
      <c r="O207" s="1" t="str">
        <f t="shared" si="3"/>
        <v>摸金校尉游客的升星道具</v>
      </c>
      <c r="R207" s="1">
        <v>999999</v>
      </c>
    </row>
    <row r="208" spans="1:18">
      <c r="A208" s="1">
        <v>1125503</v>
      </c>
      <c r="C208" s="1">
        <v>1125503</v>
      </c>
      <c r="D208" s="1" t="str">
        <f t="shared" si="2"/>
        <v>氪金大佬碎片</v>
      </c>
      <c r="E208" s="1">
        <v>2</v>
      </c>
      <c r="F208" s="1" t="s">
        <v>58</v>
      </c>
      <c r="I208" s="1">
        <v>5</v>
      </c>
      <c r="J208" s="1" t="b">
        <v>1</v>
      </c>
      <c r="K208" s="1" t="b">
        <v>1</v>
      </c>
      <c r="L208" s="17" t="s">
        <v>503</v>
      </c>
      <c r="M208" s="1">
        <v>2125503</v>
      </c>
      <c r="N208" s="1" t="b">
        <v>0</v>
      </c>
      <c r="O208" s="1" t="str">
        <f t="shared" si="3"/>
        <v>氪金大佬游客的升星道具</v>
      </c>
      <c r="R208" s="1">
        <v>999999</v>
      </c>
    </row>
    <row r="209" spans="1:18">
      <c r="A209" s="1">
        <v>1125504</v>
      </c>
      <c r="C209" s="1">
        <v>1125504</v>
      </c>
      <c r="D209" s="1" t="str">
        <f t="shared" si="2"/>
        <v>穿搭博主碎片</v>
      </c>
      <c r="E209" s="1">
        <v>2</v>
      </c>
      <c r="F209" s="1" t="s">
        <v>58</v>
      </c>
      <c r="I209" s="1">
        <v>5</v>
      </c>
      <c r="J209" s="1" t="b">
        <v>1</v>
      </c>
      <c r="K209" s="1" t="b">
        <v>1</v>
      </c>
      <c r="L209" s="17" t="s">
        <v>504</v>
      </c>
      <c r="M209" s="1">
        <v>2125504</v>
      </c>
      <c r="N209" s="1" t="b">
        <v>0</v>
      </c>
      <c r="O209" s="1" t="str">
        <f t="shared" si="3"/>
        <v>穿搭博主游客的升星道具</v>
      </c>
      <c r="R209" s="1">
        <v>999999</v>
      </c>
    </row>
    <row r="210" spans="1:18">
      <c r="A210" s="1">
        <v>1125505</v>
      </c>
      <c r="C210" s="1">
        <v>1125505</v>
      </c>
      <c r="D210" s="1" t="str">
        <f t="shared" si="2"/>
        <v>美妆新秀碎片</v>
      </c>
      <c r="E210" s="1">
        <v>2</v>
      </c>
      <c r="F210" s="1" t="s">
        <v>58</v>
      </c>
      <c r="I210" s="1">
        <v>5</v>
      </c>
      <c r="J210" s="1" t="b">
        <v>1</v>
      </c>
      <c r="K210" s="1" t="b">
        <v>1</v>
      </c>
      <c r="L210" s="17" t="s">
        <v>505</v>
      </c>
      <c r="M210" s="1">
        <v>2125505</v>
      </c>
      <c r="N210" s="1" t="b">
        <v>0</v>
      </c>
      <c r="O210" s="1" t="str">
        <f t="shared" si="3"/>
        <v>美妆新秀游客的升星道具</v>
      </c>
      <c r="R210" s="1">
        <v>999999</v>
      </c>
    </row>
    <row r="211" spans="1:18">
      <c r="A211" s="1">
        <v>1125506</v>
      </c>
      <c r="C211" s="1">
        <v>1125506</v>
      </c>
      <c r="D211" s="1" t="str">
        <f t="shared" si="2"/>
        <v>高定女王碎片</v>
      </c>
      <c r="E211" s="1">
        <v>2</v>
      </c>
      <c r="F211" s="1" t="s">
        <v>58</v>
      </c>
      <c r="I211" s="1">
        <v>5</v>
      </c>
      <c r="J211" s="1" t="b">
        <v>1</v>
      </c>
      <c r="K211" s="1" t="b">
        <v>1</v>
      </c>
      <c r="L211" s="17" t="s">
        <v>506</v>
      </c>
      <c r="M211" s="1">
        <v>2125506</v>
      </c>
      <c r="N211" s="1" t="b">
        <v>0</v>
      </c>
      <c r="O211" s="1" t="str">
        <f t="shared" si="3"/>
        <v>高定女王游客的升星道具</v>
      </c>
      <c r="R211" s="1">
        <v>999999</v>
      </c>
    </row>
    <row r="212" spans="1:18">
      <c r="A212" s="1">
        <v>1026001</v>
      </c>
      <c r="C212" s="1">
        <v>1026001</v>
      </c>
      <c r="D212" s="1" t="s">
        <v>507</v>
      </c>
      <c r="E212" s="1">
        <v>2</v>
      </c>
      <c r="F212" s="1" t="s">
        <v>58</v>
      </c>
      <c r="I212" s="1">
        <v>1</v>
      </c>
      <c r="J212" s="1" t="b">
        <v>0</v>
      </c>
      <c r="K212" s="1" t="b">
        <v>0</v>
      </c>
      <c r="L212" s="18" t="s">
        <v>508</v>
      </c>
      <c r="M212" s="1">
        <v>2026001</v>
      </c>
      <c r="N212" s="1" t="b">
        <v>0</v>
      </c>
      <c r="O212" s="15" t="s">
        <v>509</v>
      </c>
      <c r="R212" s="1">
        <v>-1</v>
      </c>
    </row>
    <row r="213" spans="1:18">
      <c r="A213" s="1">
        <v>1026002</v>
      </c>
      <c r="C213" s="1">
        <v>1026002</v>
      </c>
      <c r="D213" s="1" t="s">
        <v>510</v>
      </c>
      <c r="E213" s="1">
        <v>2</v>
      </c>
      <c r="F213" s="1" t="s">
        <v>58</v>
      </c>
      <c r="I213" s="1">
        <v>1</v>
      </c>
      <c r="J213" s="1" t="b">
        <v>0</v>
      </c>
      <c r="K213" s="1" t="b">
        <v>0</v>
      </c>
      <c r="L213" s="1" t="s">
        <v>232</v>
      </c>
      <c r="M213" s="1">
        <v>2026002</v>
      </c>
      <c r="N213" s="1" t="b">
        <v>0</v>
      </c>
      <c r="O213" s="19" t="s">
        <v>511</v>
      </c>
      <c r="R213" s="1">
        <v>-1</v>
      </c>
    </row>
    <row r="214" spans="1:18">
      <c r="A214" s="1">
        <v>1026101</v>
      </c>
      <c r="C214" s="1">
        <v>1026101</v>
      </c>
      <c r="D214" s="1" t="s">
        <v>512</v>
      </c>
      <c r="E214" s="1">
        <v>2</v>
      </c>
      <c r="F214" s="1" t="s">
        <v>58</v>
      </c>
      <c r="I214" s="1">
        <v>2</v>
      </c>
      <c r="J214" s="1" t="b">
        <v>0</v>
      </c>
      <c r="K214" s="1" t="b">
        <v>0</v>
      </c>
      <c r="L214" s="1" t="s">
        <v>232</v>
      </c>
      <c r="M214" s="1">
        <v>2026101</v>
      </c>
      <c r="N214" s="1" t="b">
        <v>0</v>
      </c>
      <c r="O214" s="19" t="s">
        <v>513</v>
      </c>
      <c r="R214" s="1">
        <v>-1</v>
      </c>
    </row>
    <row r="215" spans="1:18">
      <c r="A215" s="1">
        <v>1026102</v>
      </c>
      <c r="C215" s="1">
        <v>1026102</v>
      </c>
      <c r="D215" s="1" t="s">
        <v>514</v>
      </c>
      <c r="E215" s="1">
        <v>2</v>
      </c>
      <c r="F215" s="1" t="s">
        <v>58</v>
      </c>
      <c r="I215" s="1">
        <v>2</v>
      </c>
      <c r="J215" s="1" t="b">
        <v>0</v>
      </c>
      <c r="K215" s="1" t="b">
        <v>0</v>
      </c>
      <c r="L215" s="1" t="s">
        <v>232</v>
      </c>
      <c r="M215" s="1">
        <v>2026102</v>
      </c>
      <c r="N215" s="1" t="b">
        <v>0</v>
      </c>
      <c r="O215" s="19" t="s">
        <v>515</v>
      </c>
      <c r="R215" s="1">
        <v>-1</v>
      </c>
    </row>
    <row r="216" spans="1:18">
      <c r="A216" s="1">
        <v>1026201</v>
      </c>
      <c r="C216" s="1">
        <v>1026201</v>
      </c>
      <c r="D216" s="1" t="s">
        <v>516</v>
      </c>
      <c r="E216" s="1">
        <v>2</v>
      </c>
      <c r="F216" s="1" t="s">
        <v>58</v>
      </c>
      <c r="I216" s="1">
        <v>3</v>
      </c>
      <c r="J216" s="1" t="b">
        <v>0</v>
      </c>
      <c r="K216" s="1" t="b">
        <v>0</v>
      </c>
      <c r="L216" s="1" t="s">
        <v>232</v>
      </c>
      <c r="M216" s="1">
        <v>2026201</v>
      </c>
      <c r="N216" s="1" t="b">
        <v>0</v>
      </c>
      <c r="O216" s="19" t="s">
        <v>517</v>
      </c>
      <c r="R216" s="1">
        <v>-1</v>
      </c>
    </row>
    <row r="217" spans="1:18">
      <c r="A217" s="1">
        <v>1026202</v>
      </c>
      <c r="C217" s="1">
        <v>1026202</v>
      </c>
      <c r="D217" s="1" t="s">
        <v>518</v>
      </c>
      <c r="E217" s="1">
        <v>2</v>
      </c>
      <c r="F217" s="1" t="s">
        <v>58</v>
      </c>
      <c r="I217" s="1">
        <v>3</v>
      </c>
      <c r="J217" s="1" t="b">
        <v>0</v>
      </c>
      <c r="K217" s="1" t="b">
        <v>0</v>
      </c>
      <c r="L217" s="18" t="s">
        <v>519</v>
      </c>
      <c r="M217" s="1">
        <v>2026202</v>
      </c>
      <c r="N217" s="1" t="b">
        <v>0</v>
      </c>
      <c r="O217" s="19" t="s">
        <v>520</v>
      </c>
      <c r="R217" s="1">
        <v>-1</v>
      </c>
    </row>
    <row r="218" spans="1:18">
      <c r="A218" s="1">
        <v>1026301</v>
      </c>
      <c r="C218" s="1">
        <v>1026301</v>
      </c>
      <c r="D218" s="1" t="s">
        <v>521</v>
      </c>
      <c r="E218" s="1">
        <v>2</v>
      </c>
      <c r="F218" s="1" t="s">
        <v>58</v>
      </c>
      <c r="I218" s="1">
        <v>4</v>
      </c>
      <c r="J218" s="1" t="b">
        <v>0</v>
      </c>
      <c r="K218" s="1" t="b">
        <v>0</v>
      </c>
      <c r="L218" s="1" t="s">
        <v>232</v>
      </c>
      <c r="M218" s="1">
        <v>2026301</v>
      </c>
      <c r="N218" s="1" t="b">
        <v>0</v>
      </c>
      <c r="O218" s="19" t="s">
        <v>522</v>
      </c>
      <c r="R218" s="1">
        <v>-1</v>
      </c>
    </row>
    <row r="219" spans="1:18">
      <c r="A219" s="1">
        <v>1026302</v>
      </c>
      <c r="C219" s="1">
        <v>1026302</v>
      </c>
      <c r="D219" s="1" t="s">
        <v>523</v>
      </c>
      <c r="E219" s="1">
        <v>2</v>
      </c>
      <c r="F219" s="1" t="s">
        <v>58</v>
      </c>
      <c r="I219" s="1">
        <v>4</v>
      </c>
      <c r="J219" s="1" t="b">
        <v>0</v>
      </c>
      <c r="K219" s="1" t="b">
        <v>0</v>
      </c>
      <c r="L219" s="1" t="s">
        <v>232</v>
      </c>
      <c r="M219" s="1">
        <v>2026302</v>
      </c>
      <c r="N219" s="1" t="b">
        <v>0</v>
      </c>
      <c r="O219" s="19" t="s">
        <v>524</v>
      </c>
      <c r="R219" s="1">
        <v>-1</v>
      </c>
    </row>
    <row r="220" spans="1:18">
      <c r="A220" s="1">
        <v>1026401</v>
      </c>
      <c r="C220" s="1">
        <v>1026401</v>
      </c>
      <c r="D220" s="1" t="s">
        <v>525</v>
      </c>
      <c r="E220" s="1">
        <v>2</v>
      </c>
      <c r="F220" s="1" t="s">
        <v>58</v>
      </c>
      <c r="I220" s="1">
        <v>5</v>
      </c>
      <c r="J220" s="1" t="b">
        <v>0</v>
      </c>
      <c r="K220" s="1" t="b">
        <v>0</v>
      </c>
      <c r="L220" s="1" t="s">
        <v>232</v>
      </c>
      <c r="M220" s="1">
        <v>2026401</v>
      </c>
      <c r="N220" s="1" t="b">
        <v>0</v>
      </c>
      <c r="O220" s="19" t="s">
        <v>526</v>
      </c>
      <c r="R220" s="1">
        <v>-1</v>
      </c>
    </row>
    <row r="221" spans="1:18">
      <c r="A221" s="1">
        <v>1026402</v>
      </c>
      <c r="C221" s="1">
        <v>1026402</v>
      </c>
      <c r="D221" s="1" t="s">
        <v>527</v>
      </c>
      <c r="E221" s="1">
        <v>2</v>
      </c>
      <c r="F221" s="1" t="s">
        <v>58</v>
      </c>
      <c r="I221" s="1">
        <v>5</v>
      </c>
      <c r="J221" s="1" t="b">
        <v>0</v>
      </c>
      <c r="K221" s="1" t="b">
        <v>0</v>
      </c>
      <c r="L221" s="1" t="s">
        <v>232</v>
      </c>
      <c r="M221" s="1">
        <v>2026402</v>
      </c>
      <c r="N221" s="1" t="b">
        <v>0</v>
      </c>
      <c r="O221" s="1" t="s">
        <v>528</v>
      </c>
      <c r="R221" s="1">
        <v>-1</v>
      </c>
    </row>
    <row r="222" spans="1:18">
      <c r="A222" s="1">
        <v>1027001</v>
      </c>
      <c r="C222" s="1">
        <v>1027001</v>
      </c>
      <c r="D222" s="1" t="s">
        <v>529</v>
      </c>
      <c r="E222" s="1">
        <v>2</v>
      </c>
      <c r="F222" s="1" t="s">
        <v>58</v>
      </c>
      <c r="I222" s="1">
        <v>1</v>
      </c>
      <c r="J222" s="1" t="b">
        <v>0</v>
      </c>
      <c r="K222" s="1" t="b">
        <v>0</v>
      </c>
      <c r="L222" s="18" t="s">
        <v>530</v>
      </c>
      <c r="M222" s="1">
        <v>2027001</v>
      </c>
      <c r="N222" s="1" t="b">
        <v>0</v>
      </c>
      <c r="O222" s="19" t="s">
        <v>531</v>
      </c>
      <c r="R222" s="1">
        <v>-1</v>
      </c>
    </row>
    <row r="223" spans="1:18">
      <c r="A223" s="1">
        <v>1027002</v>
      </c>
      <c r="C223" s="1">
        <v>1027002</v>
      </c>
      <c r="D223" s="1" t="s">
        <v>532</v>
      </c>
      <c r="E223" s="1">
        <v>2</v>
      </c>
      <c r="F223" s="1" t="s">
        <v>58</v>
      </c>
      <c r="I223" s="1">
        <v>1</v>
      </c>
      <c r="J223" s="1" t="b">
        <v>0</v>
      </c>
      <c r="K223" s="1" t="b">
        <v>0</v>
      </c>
      <c r="L223" s="1" t="s">
        <v>232</v>
      </c>
      <c r="M223" s="1">
        <v>2027002</v>
      </c>
      <c r="N223" s="1" t="b">
        <v>0</v>
      </c>
      <c r="O223" s="19" t="s">
        <v>533</v>
      </c>
      <c r="R223" s="1">
        <v>-1</v>
      </c>
    </row>
    <row r="224" spans="1:18">
      <c r="A224" s="1">
        <v>1027101</v>
      </c>
      <c r="C224" s="1">
        <v>1027101</v>
      </c>
      <c r="D224" s="1" t="s">
        <v>534</v>
      </c>
      <c r="E224" s="1">
        <v>2</v>
      </c>
      <c r="F224" s="1" t="s">
        <v>58</v>
      </c>
      <c r="I224" s="1">
        <v>2</v>
      </c>
      <c r="J224" s="1" t="b">
        <v>0</v>
      </c>
      <c r="K224" s="1" t="b">
        <v>0</v>
      </c>
      <c r="L224" s="1" t="s">
        <v>232</v>
      </c>
      <c r="M224" s="1">
        <v>2027101</v>
      </c>
      <c r="N224" s="1" t="b">
        <v>0</v>
      </c>
      <c r="O224" s="19" t="s">
        <v>535</v>
      </c>
      <c r="R224" s="1">
        <v>-1</v>
      </c>
    </row>
    <row r="225" spans="1:18">
      <c r="A225" s="1">
        <v>1027102</v>
      </c>
      <c r="C225" s="1">
        <v>1027102</v>
      </c>
      <c r="D225" s="1" t="s">
        <v>536</v>
      </c>
      <c r="E225" s="1">
        <v>2</v>
      </c>
      <c r="F225" s="1" t="s">
        <v>58</v>
      </c>
      <c r="I225" s="1">
        <v>2</v>
      </c>
      <c r="J225" s="1" t="b">
        <v>0</v>
      </c>
      <c r="K225" s="1" t="b">
        <v>0</v>
      </c>
      <c r="L225" s="1" t="s">
        <v>232</v>
      </c>
      <c r="M225" s="1">
        <v>2027102</v>
      </c>
      <c r="N225" s="1" t="b">
        <v>0</v>
      </c>
      <c r="O225" s="19" t="s">
        <v>537</v>
      </c>
      <c r="R225" s="1">
        <v>-1</v>
      </c>
    </row>
    <row r="226" spans="1:18">
      <c r="A226" s="1">
        <v>1027201</v>
      </c>
      <c r="C226" s="1">
        <v>1027201</v>
      </c>
      <c r="D226" s="1" t="s">
        <v>538</v>
      </c>
      <c r="E226" s="1">
        <v>2</v>
      </c>
      <c r="F226" s="1" t="s">
        <v>58</v>
      </c>
      <c r="I226" s="1">
        <v>3</v>
      </c>
      <c r="J226" s="1" t="b">
        <v>0</v>
      </c>
      <c r="K226" s="1" t="b">
        <v>0</v>
      </c>
      <c r="L226" s="1" t="s">
        <v>232</v>
      </c>
      <c r="M226" s="1">
        <v>2027201</v>
      </c>
      <c r="N226" s="1" t="b">
        <v>0</v>
      </c>
      <c r="O226" s="19" t="s">
        <v>539</v>
      </c>
      <c r="R226" s="1">
        <v>-1</v>
      </c>
    </row>
    <row r="227" spans="1:18">
      <c r="A227" s="1">
        <v>1027202</v>
      </c>
      <c r="C227" s="1">
        <v>1027202</v>
      </c>
      <c r="D227" s="1" t="s">
        <v>540</v>
      </c>
      <c r="E227" s="1">
        <v>2</v>
      </c>
      <c r="F227" s="1" t="s">
        <v>58</v>
      </c>
      <c r="I227" s="1">
        <v>3</v>
      </c>
      <c r="J227" s="1" t="b">
        <v>0</v>
      </c>
      <c r="K227" s="1" t="b">
        <v>0</v>
      </c>
      <c r="L227" s="1" t="s">
        <v>232</v>
      </c>
      <c r="M227" s="1">
        <v>2027202</v>
      </c>
      <c r="N227" s="1" t="b">
        <v>0</v>
      </c>
      <c r="O227" s="1" t="s">
        <v>541</v>
      </c>
      <c r="R227" s="1">
        <v>-1</v>
      </c>
    </row>
    <row r="228" spans="1:18">
      <c r="A228" s="1">
        <v>1027301</v>
      </c>
      <c r="C228" s="1">
        <v>1027301</v>
      </c>
      <c r="D228" s="1" t="s">
        <v>542</v>
      </c>
      <c r="E228" s="1">
        <v>2</v>
      </c>
      <c r="F228" s="1" t="s">
        <v>58</v>
      </c>
      <c r="I228" s="1">
        <v>4</v>
      </c>
      <c r="J228" s="1" t="b">
        <v>0</v>
      </c>
      <c r="K228" s="1" t="b">
        <v>0</v>
      </c>
      <c r="L228" s="1" t="s">
        <v>232</v>
      </c>
      <c r="M228" s="1">
        <v>2027301</v>
      </c>
      <c r="N228" s="1" t="b">
        <v>0</v>
      </c>
      <c r="O228" s="1" t="s">
        <v>543</v>
      </c>
      <c r="R228" s="1">
        <v>-1</v>
      </c>
    </row>
    <row r="229" spans="1:18">
      <c r="A229" s="1">
        <v>1027302</v>
      </c>
      <c r="C229" s="1">
        <v>1027302</v>
      </c>
      <c r="D229" s="1" t="s">
        <v>544</v>
      </c>
      <c r="E229" s="1">
        <v>2</v>
      </c>
      <c r="F229" s="1" t="s">
        <v>58</v>
      </c>
      <c r="I229" s="1">
        <v>4</v>
      </c>
      <c r="J229" s="1" t="b">
        <v>0</v>
      </c>
      <c r="K229" s="1" t="b">
        <v>0</v>
      </c>
      <c r="L229" s="1" t="s">
        <v>232</v>
      </c>
      <c r="M229" s="1">
        <v>2027302</v>
      </c>
      <c r="N229" s="1" t="b">
        <v>0</v>
      </c>
      <c r="O229" s="1" t="s">
        <v>545</v>
      </c>
      <c r="R229" s="1">
        <v>-1</v>
      </c>
    </row>
    <row r="230" spans="1:18">
      <c r="A230" s="1">
        <v>1027401</v>
      </c>
      <c r="C230" s="1">
        <v>1027401</v>
      </c>
      <c r="D230" s="1" t="s">
        <v>546</v>
      </c>
      <c r="E230" s="1">
        <v>2</v>
      </c>
      <c r="F230" s="1" t="s">
        <v>58</v>
      </c>
      <c r="I230" s="1">
        <v>5</v>
      </c>
      <c r="J230" s="1" t="b">
        <v>0</v>
      </c>
      <c r="K230" s="1" t="b">
        <v>0</v>
      </c>
      <c r="L230" s="1" t="s">
        <v>232</v>
      </c>
      <c r="M230" s="1">
        <v>2027401</v>
      </c>
      <c r="N230" s="1" t="b">
        <v>0</v>
      </c>
      <c r="O230" s="1" t="s">
        <v>547</v>
      </c>
      <c r="R230" s="1">
        <v>-1</v>
      </c>
    </row>
    <row r="231" spans="1:18">
      <c r="A231" s="1">
        <v>1027402</v>
      </c>
      <c r="C231" s="1">
        <v>1027402</v>
      </c>
      <c r="D231" s="1" t="s">
        <v>548</v>
      </c>
      <c r="E231" s="1">
        <v>2</v>
      </c>
      <c r="F231" s="1" t="s">
        <v>58</v>
      </c>
      <c r="I231" s="1">
        <v>5</v>
      </c>
      <c r="J231" s="1" t="b">
        <v>0</v>
      </c>
      <c r="K231" s="1" t="b">
        <v>0</v>
      </c>
      <c r="L231" s="18" t="s">
        <v>549</v>
      </c>
      <c r="M231" s="1">
        <v>2027402</v>
      </c>
      <c r="N231" s="1" t="b">
        <v>0</v>
      </c>
      <c r="O231" s="1" t="s">
        <v>550</v>
      </c>
      <c r="R231" s="1">
        <v>-1</v>
      </c>
    </row>
    <row r="232" spans="1:18">
      <c r="A232" s="1">
        <v>1028001</v>
      </c>
      <c r="C232" s="1">
        <v>1028001</v>
      </c>
      <c r="D232" s="1" t="s">
        <v>551</v>
      </c>
      <c r="E232" s="1">
        <v>2</v>
      </c>
      <c r="F232" s="1" t="s">
        <v>58</v>
      </c>
      <c r="I232" s="1">
        <v>1</v>
      </c>
      <c r="J232" s="1" t="b">
        <v>0</v>
      </c>
      <c r="K232" s="1" t="b">
        <v>0</v>
      </c>
      <c r="L232" s="1" t="s">
        <v>232</v>
      </c>
      <c r="M232" s="1">
        <v>2028001</v>
      </c>
      <c r="N232" s="1" t="b">
        <v>0</v>
      </c>
      <c r="O232" s="19" t="s">
        <v>552</v>
      </c>
      <c r="R232" s="1">
        <v>-1</v>
      </c>
    </row>
    <row r="233" spans="1:18">
      <c r="A233" s="1">
        <v>1028002</v>
      </c>
      <c r="C233" s="1">
        <v>1028002</v>
      </c>
      <c r="D233" s="1" t="s">
        <v>553</v>
      </c>
      <c r="E233" s="1">
        <v>2</v>
      </c>
      <c r="F233" s="1" t="s">
        <v>58</v>
      </c>
      <c r="I233" s="1">
        <v>1</v>
      </c>
      <c r="J233" s="1" t="b">
        <v>0</v>
      </c>
      <c r="K233" s="1" t="b">
        <v>0</v>
      </c>
      <c r="L233" s="18" t="s">
        <v>554</v>
      </c>
      <c r="M233" s="1">
        <v>2028002</v>
      </c>
      <c r="N233" s="1" t="b">
        <v>0</v>
      </c>
      <c r="O233" s="19" t="s">
        <v>555</v>
      </c>
      <c r="R233" s="1">
        <v>-1</v>
      </c>
    </row>
    <row r="234" spans="1:18">
      <c r="A234" s="1">
        <v>1028101</v>
      </c>
      <c r="C234" s="1">
        <v>1028101</v>
      </c>
      <c r="D234" s="1" t="s">
        <v>556</v>
      </c>
      <c r="E234" s="1">
        <v>2</v>
      </c>
      <c r="F234" s="1" t="s">
        <v>58</v>
      </c>
      <c r="I234" s="1">
        <v>2</v>
      </c>
      <c r="J234" s="1" t="b">
        <v>0</v>
      </c>
      <c r="K234" s="1" t="b">
        <v>0</v>
      </c>
      <c r="L234" s="1" t="s">
        <v>232</v>
      </c>
      <c r="M234" s="1">
        <v>2028101</v>
      </c>
      <c r="N234" s="1" t="b">
        <v>0</v>
      </c>
      <c r="O234" s="1" t="s">
        <v>557</v>
      </c>
      <c r="R234" s="1">
        <v>-1</v>
      </c>
    </row>
    <row r="235" spans="1:18">
      <c r="A235" s="1">
        <v>1028102</v>
      </c>
      <c r="C235" s="1">
        <v>1028102</v>
      </c>
      <c r="D235" s="1" t="s">
        <v>558</v>
      </c>
      <c r="E235" s="1">
        <v>2</v>
      </c>
      <c r="F235" s="1" t="s">
        <v>58</v>
      </c>
      <c r="I235" s="1">
        <v>2</v>
      </c>
      <c r="J235" s="1" t="b">
        <v>0</v>
      </c>
      <c r="K235" s="1" t="b">
        <v>0</v>
      </c>
      <c r="L235" s="18" t="s">
        <v>559</v>
      </c>
      <c r="M235" s="1">
        <v>2028102</v>
      </c>
      <c r="N235" s="1" t="b">
        <v>0</v>
      </c>
      <c r="O235" s="19" t="s">
        <v>560</v>
      </c>
      <c r="R235" s="1">
        <v>-1</v>
      </c>
    </row>
    <row r="236" spans="1:18">
      <c r="A236" s="1">
        <v>1028201</v>
      </c>
      <c r="C236" s="1">
        <v>1028201</v>
      </c>
      <c r="D236" s="1" t="s">
        <v>561</v>
      </c>
      <c r="E236" s="1">
        <v>2</v>
      </c>
      <c r="F236" s="1" t="s">
        <v>58</v>
      </c>
      <c r="I236" s="1">
        <v>3</v>
      </c>
      <c r="J236" s="1" t="b">
        <v>0</v>
      </c>
      <c r="K236" s="1" t="b">
        <v>0</v>
      </c>
      <c r="L236" s="1" t="s">
        <v>232</v>
      </c>
      <c r="M236" s="1">
        <v>2028201</v>
      </c>
      <c r="N236" s="1" t="b">
        <v>0</v>
      </c>
      <c r="O236" s="1" t="s">
        <v>562</v>
      </c>
      <c r="R236" s="1">
        <v>-1</v>
      </c>
    </row>
    <row r="237" spans="1:18">
      <c r="A237" s="1">
        <v>1028202</v>
      </c>
      <c r="C237" s="1">
        <v>1028202</v>
      </c>
      <c r="D237" s="1" t="s">
        <v>563</v>
      </c>
      <c r="E237" s="1">
        <v>2</v>
      </c>
      <c r="F237" s="1" t="s">
        <v>58</v>
      </c>
      <c r="I237" s="1">
        <v>3</v>
      </c>
      <c r="J237" s="1" t="b">
        <v>0</v>
      </c>
      <c r="K237" s="1" t="b">
        <v>0</v>
      </c>
      <c r="L237" s="1" t="s">
        <v>232</v>
      </c>
      <c r="M237" s="1">
        <v>2028202</v>
      </c>
      <c r="N237" s="1" t="b">
        <v>0</v>
      </c>
      <c r="O237" s="19" t="s">
        <v>564</v>
      </c>
      <c r="R237" s="1">
        <v>-1</v>
      </c>
    </row>
    <row r="238" spans="1:18">
      <c r="A238" s="1">
        <v>1028301</v>
      </c>
      <c r="C238" s="1">
        <v>1028301</v>
      </c>
      <c r="D238" s="1" t="s">
        <v>565</v>
      </c>
      <c r="E238" s="1">
        <v>2</v>
      </c>
      <c r="F238" s="1" t="s">
        <v>58</v>
      </c>
      <c r="I238" s="1">
        <v>4</v>
      </c>
      <c r="J238" s="1" t="b">
        <v>0</v>
      </c>
      <c r="K238" s="1" t="b">
        <v>0</v>
      </c>
      <c r="L238" s="1" t="s">
        <v>232</v>
      </c>
      <c r="M238" s="1">
        <v>2028301</v>
      </c>
      <c r="N238" s="1" t="b">
        <v>0</v>
      </c>
      <c r="O238" s="19" t="s">
        <v>566</v>
      </c>
      <c r="R238" s="1">
        <v>-1</v>
      </c>
    </row>
    <row r="239" spans="1:18">
      <c r="A239" s="1">
        <v>1028302</v>
      </c>
      <c r="C239" s="1">
        <v>1028302</v>
      </c>
      <c r="D239" s="1" t="s">
        <v>567</v>
      </c>
      <c r="E239" s="1">
        <v>2</v>
      </c>
      <c r="F239" s="1" t="s">
        <v>58</v>
      </c>
      <c r="I239" s="1">
        <v>4</v>
      </c>
      <c r="J239" s="1" t="b">
        <v>0</v>
      </c>
      <c r="K239" s="1" t="b">
        <v>0</v>
      </c>
      <c r="L239" s="1" t="s">
        <v>232</v>
      </c>
      <c r="M239" s="1">
        <v>2028302</v>
      </c>
      <c r="N239" s="1" t="b">
        <v>0</v>
      </c>
      <c r="O239" s="1" t="s">
        <v>568</v>
      </c>
      <c r="R239" s="1">
        <v>-1</v>
      </c>
    </row>
    <row r="240" spans="1:18">
      <c r="A240" s="1">
        <v>1028401</v>
      </c>
      <c r="C240" s="1">
        <v>1028401</v>
      </c>
      <c r="D240" s="1" t="s">
        <v>569</v>
      </c>
      <c r="E240" s="1">
        <v>2</v>
      </c>
      <c r="F240" s="1" t="s">
        <v>58</v>
      </c>
      <c r="I240" s="1">
        <v>5</v>
      </c>
      <c r="J240" s="1" t="b">
        <v>0</v>
      </c>
      <c r="K240" s="1" t="b">
        <v>0</v>
      </c>
      <c r="L240" s="1" t="s">
        <v>232</v>
      </c>
      <c r="M240" s="1">
        <v>2028401</v>
      </c>
      <c r="N240" s="1" t="b">
        <v>0</v>
      </c>
      <c r="O240" s="19" t="s">
        <v>570</v>
      </c>
      <c r="R240" s="1">
        <v>-1</v>
      </c>
    </row>
    <row r="241" spans="1:18">
      <c r="A241" s="1">
        <v>1028402</v>
      </c>
      <c r="C241" s="1">
        <v>1028402</v>
      </c>
      <c r="D241" s="1" t="s">
        <v>571</v>
      </c>
      <c r="E241" s="1">
        <v>2</v>
      </c>
      <c r="F241" s="1" t="s">
        <v>58</v>
      </c>
      <c r="I241" s="1">
        <v>5</v>
      </c>
      <c r="J241" s="1" t="b">
        <v>0</v>
      </c>
      <c r="K241" s="1" t="b">
        <v>0</v>
      </c>
      <c r="L241" s="1" t="s">
        <v>232</v>
      </c>
      <c r="M241" s="1">
        <v>2028402</v>
      </c>
      <c r="N241" s="1" t="b">
        <v>0</v>
      </c>
      <c r="O241" s="19" t="s">
        <v>572</v>
      </c>
      <c r="R241" s="1">
        <v>-1</v>
      </c>
    </row>
    <row r="242" spans="1:18">
      <c r="A242" s="1">
        <v>1126001</v>
      </c>
      <c r="C242" s="1">
        <v>1126001</v>
      </c>
      <c r="D242" s="1" t="str">
        <f>D212&amp;"碎片"</f>
        <v>威廉碎片</v>
      </c>
      <c r="E242" s="1">
        <v>2</v>
      </c>
      <c r="F242" s="1" t="s">
        <v>58</v>
      </c>
      <c r="I242" s="1">
        <v>1</v>
      </c>
      <c r="J242" s="1" t="b">
        <v>1</v>
      </c>
      <c r="K242" s="1" t="b">
        <v>1</v>
      </c>
      <c r="L242" s="1" t="s">
        <v>573</v>
      </c>
      <c r="M242" s="1">
        <v>2126001</v>
      </c>
      <c r="N242" s="1" t="b">
        <v>0</v>
      </c>
      <c r="O242" s="1" t="str">
        <f>D212&amp;"雇员的升星道具"</f>
        <v>威廉雇员的升星道具</v>
      </c>
      <c r="R242" s="1">
        <v>999999</v>
      </c>
    </row>
    <row r="243" spans="1:18">
      <c r="A243" s="1">
        <v>1126002</v>
      </c>
      <c r="C243" s="1">
        <v>1126002</v>
      </c>
      <c r="D243" s="1" t="str">
        <f t="shared" ref="D243:D271" si="4">D213&amp;"碎片"</f>
        <v>艾拉碎片</v>
      </c>
      <c r="E243" s="1">
        <v>2</v>
      </c>
      <c r="F243" s="1" t="s">
        <v>58</v>
      </c>
      <c r="I243" s="1">
        <v>1</v>
      </c>
      <c r="J243" s="1" t="b">
        <v>1</v>
      </c>
      <c r="K243" s="1" t="b">
        <v>1</v>
      </c>
      <c r="L243" s="1" t="s">
        <v>574</v>
      </c>
      <c r="M243" s="1">
        <v>2126002</v>
      </c>
      <c r="N243" s="1" t="b">
        <v>0</v>
      </c>
      <c r="O243" s="1" t="str">
        <f t="shared" ref="O243:O271" si="5">D213&amp;"雇员的升星道具"</f>
        <v>艾拉雇员的升星道具</v>
      </c>
      <c r="R243" s="1">
        <v>999999</v>
      </c>
    </row>
    <row r="244" spans="1:18">
      <c r="A244" s="1">
        <v>1126101</v>
      </c>
      <c r="C244" s="1">
        <v>1126101</v>
      </c>
      <c r="D244" s="1" t="str">
        <f t="shared" si="4"/>
        <v>亨利碎片</v>
      </c>
      <c r="E244" s="1">
        <v>2</v>
      </c>
      <c r="F244" s="1" t="s">
        <v>58</v>
      </c>
      <c r="I244" s="1">
        <v>2</v>
      </c>
      <c r="J244" s="1" t="b">
        <v>1</v>
      </c>
      <c r="K244" s="1" t="b">
        <v>1</v>
      </c>
      <c r="L244" s="1" t="s">
        <v>575</v>
      </c>
      <c r="M244" s="1">
        <v>2126101</v>
      </c>
      <c r="N244" s="1" t="b">
        <v>0</v>
      </c>
      <c r="O244" s="1" t="str">
        <f t="shared" si="5"/>
        <v>亨利雇员的升星道具</v>
      </c>
      <c r="R244" s="1">
        <v>999999</v>
      </c>
    </row>
    <row r="245" spans="1:18">
      <c r="A245" s="1">
        <v>1126102</v>
      </c>
      <c r="C245" s="1">
        <v>1126102</v>
      </c>
      <c r="D245" s="1" t="str">
        <f t="shared" si="4"/>
        <v>艾玛碎片</v>
      </c>
      <c r="E245" s="1">
        <v>2</v>
      </c>
      <c r="F245" s="1" t="s">
        <v>58</v>
      </c>
      <c r="I245" s="1">
        <v>2</v>
      </c>
      <c r="J245" s="1" t="b">
        <v>1</v>
      </c>
      <c r="K245" s="1" t="b">
        <v>1</v>
      </c>
      <c r="L245" s="1" t="s">
        <v>575</v>
      </c>
      <c r="M245" s="1">
        <v>2126102</v>
      </c>
      <c r="N245" s="1" t="b">
        <v>0</v>
      </c>
      <c r="O245" s="1" t="str">
        <f t="shared" si="5"/>
        <v>艾玛雇员的升星道具</v>
      </c>
      <c r="R245" s="1">
        <v>999999</v>
      </c>
    </row>
    <row r="246" spans="1:18">
      <c r="A246" s="1">
        <v>1126201</v>
      </c>
      <c r="C246" s="1">
        <v>1126201</v>
      </c>
      <c r="D246" s="1" t="str">
        <f t="shared" si="4"/>
        <v>乔治碎片</v>
      </c>
      <c r="E246" s="1">
        <v>2</v>
      </c>
      <c r="F246" s="1" t="s">
        <v>58</v>
      </c>
      <c r="I246" s="1">
        <v>3</v>
      </c>
      <c r="J246" s="1" t="b">
        <v>1</v>
      </c>
      <c r="K246" s="1" t="b">
        <v>1</v>
      </c>
      <c r="L246" s="1" t="s">
        <v>575</v>
      </c>
      <c r="M246" s="1">
        <v>2126201</v>
      </c>
      <c r="N246" s="1" t="b">
        <v>0</v>
      </c>
      <c r="O246" s="1" t="str">
        <f t="shared" si="5"/>
        <v>乔治雇员的升星道具</v>
      </c>
      <c r="R246" s="1">
        <v>999999</v>
      </c>
    </row>
    <row r="247" spans="1:18">
      <c r="A247" s="1">
        <v>1126202</v>
      </c>
      <c r="C247" s="1">
        <v>1126202</v>
      </c>
      <c r="D247" s="1" t="str">
        <f t="shared" si="4"/>
        <v>艾娃碎片</v>
      </c>
      <c r="E247" s="1">
        <v>2</v>
      </c>
      <c r="F247" s="1" t="s">
        <v>58</v>
      </c>
      <c r="I247" s="1">
        <v>3</v>
      </c>
      <c r="J247" s="1" t="b">
        <v>1</v>
      </c>
      <c r="K247" s="1" t="b">
        <v>1</v>
      </c>
      <c r="L247" s="1" t="s">
        <v>575</v>
      </c>
      <c r="M247" s="1">
        <v>2126202</v>
      </c>
      <c r="N247" s="1" t="b">
        <v>0</v>
      </c>
      <c r="O247" s="1" t="str">
        <f t="shared" si="5"/>
        <v>艾娃雇员的升星道具</v>
      </c>
      <c r="R247" s="1">
        <v>999999</v>
      </c>
    </row>
    <row r="248" spans="1:18">
      <c r="A248" s="1">
        <v>1126301</v>
      </c>
      <c r="C248" s="1">
        <v>1126301</v>
      </c>
      <c r="D248" s="1" t="str">
        <f t="shared" si="4"/>
        <v>亚瑟碎片</v>
      </c>
      <c r="E248" s="1">
        <v>2</v>
      </c>
      <c r="F248" s="1" t="s">
        <v>58</v>
      </c>
      <c r="I248" s="1">
        <v>4</v>
      </c>
      <c r="J248" s="1" t="b">
        <v>1</v>
      </c>
      <c r="K248" s="1" t="b">
        <v>1</v>
      </c>
      <c r="L248" s="1" t="s">
        <v>575</v>
      </c>
      <c r="M248" s="1">
        <v>2126301</v>
      </c>
      <c r="N248" s="1" t="b">
        <v>0</v>
      </c>
      <c r="O248" s="1" t="str">
        <f t="shared" si="5"/>
        <v>亚瑟雇员的升星道具</v>
      </c>
      <c r="R248" s="1">
        <v>999999</v>
      </c>
    </row>
    <row r="249" spans="1:18">
      <c r="A249" s="1">
        <v>1126302</v>
      </c>
      <c r="C249" s="1">
        <v>1126302</v>
      </c>
      <c r="D249" s="1" t="str">
        <f t="shared" si="4"/>
        <v>安娜碎片</v>
      </c>
      <c r="E249" s="1">
        <v>2</v>
      </c>
      <c r="F249" s="1" t="s">
        <v>58</v>
      </c>
      <c r="I249" s="1">
        <v>4</v>
      </c>
      <c r="J249" s="1" t="b">
        <v>1</v>
      </c>
      <c r="K249" s="1" t="b">
        <v>1</v>
      </c>
      <c r="L249" s="1" t="s">
        <v>575</v>
      </c>
      <c r="M249" s="1">
        <v>2126302</v>
      </c>
      <c r="N249" s="1" t="b">
        <v>0</v>
      </c>
      <c r="O249" s="1" t="str">
        <f t="shared" si="5"/>
        <v>安娜雇员的升星道具</v>
      </c>
      <c r="R249" s="1">
        <v>999999</v>
      </c>
    </row>
    <row r="250" spans="1:18">
      <c r="A250" s="1">
        <v>1126401</v>
      </c>
      <c r="C250" s="1">
        <v>1126401</v>
      </c>
      <c r="D250" s="1" t="str">
        <f t="shared" si="4"/>
        <v>马修碎片</v>
      </c>
      <c r="E250" s="1">
        <v>2</v>
      </c>
      <c r="F250" s="1" t="s">
        <v>58</v>
      </c>
      <c r="I250" s="1">
        <v>5</v>
      </c>
      <c r="J250" s="1" t="b">
        <v>1</v>
      </c>
      <c r="K250" s="1" t="b">
        <v>1</v>
      </c>
      <c r="L250" s="1" t="s">
        <v>575</v>
      </c>
      <c r="M250" s="1">
        <v>2126401</v>
      </c>
      <c r="N250" s="1" t="b">
        <v>0</v>
      </c>
      <c r="O250" s="1" t="str">
        <f t="shared" si="5"/>
        <v>马修雇员的升星道具</v>
      </c>
      <c r="R250" s="1">
        <v>999999</v>
      </c>
    </row>
    <row r="251" spans="1:18">
      <c r="A251" s="1">
        <v>1126402</v>
      </c>
      <c r="C251" s="1">
        <v>1126402</v>
      </c>
      <c r="D251" s="1" t="str">
        <f t="shared" si="4"/>
        <v>哈珀碎片</v>
      </c>
      <c r="E251" s="1">
        <v>2</v>
      </c>
      <c r="F251" s="1" t="s">
        <v>58</v>
      </c>
      <c r="I251" s="1">
        <v>5</v>
      </c>
      <c r="J251" s="1" t="b">
        <v>1</v>
      </c>
      <c r="K251" s="1" t="b">
        <v>1</v>
      </c>
      <c r="L251" s="1" t="s">
        <v>575</v>
      </c>
      <c r="M251" s="1">
        <v>2126402</v>
      </c>
      <c r="N251" s="1" t="b">
        <v>0</v>
      </c>
      <c r="O251" s="1" t="str">
        <f t="shared" si="5"/>
        <v>哈珀雇员的升星道具</v>
      </c>
      <c r="R251" s="1">
        <v>999999</v>
      </c>
    </row>
    <row r="252" spans="1:18">
      <c r="A252" s="1">
        <v>1127001</v>
      </c>
      <c r="C252" s="1">
        <v>1127001</v>
      </c>
      <c r="D252" s="1" t="str">
        <f t="shared" si="4"/>
        <v>拉斐尔碎片</v>
      </c>
      <c r="E252" s="1">
        <v>2</v>
      </c>
      <c r="F252" s="1" t="s">
        <v>58</v>
      </c>
      <c r="I252" s="1">
        <v>1</v>
      </c>
      <c r="J252" s="1" t="b">
        <v>1</v>
      </c>
      <c r="K252" s="1" t="b">
        <v>1</v>
      </c>
      <c r="L252" s="1" t="s">
        <v>576</v>
      </c>
      <c r="M252" s="1">
        <v>2127001</v>
      </c>
      <c r="N252" s="1" t="b">
        <v>0</v>
      </c>
      <c r="O252" s="1" t="str">
        <f t="shared" si="5"/>
        <v>拉斐尔雇员的升星道具</v>
      </c>
      <c r="R252" s="1">
        <v>999999</v>
      </c>
    </row>
    <row r="253" spans="1:18">
      <c r="A253" s="1">
        <v>1127002</v>
      </c>
      <c r="C253" s="1">
        <v>1127002</v>
      </c>
      <c r="D253" s="1" t="str">
        <f t="shared" si="4"/>
        <v>伊芙琳碎片</v>
      </c>
      <c r="E253" s="1">
        <v>2</v>
      </c>
      <c r="F253" s="1" t="s">
        <v>58</v>
      </c>
      <c r="I253" s="1">
        <v>1</v>
      </c>
      <c r="J253" s="1" t="b">
        <v>1</v>
      </c>
      <c r="K253" s="1" t="b">
        <v>1</v>
      </c>
      <c r="L253" s="1" t="s">
        <v>575</v>
      </c>
      <c r="M253" s="1">
        <v>2127002</v>
      </c>
      <c r="N253" s="1" t="b">
        <v>0</v>
      </c>
      <c r="O253" s="1" t="str">
        <f t="shared" si="5"/>
        <v>伊芙琳雇员的升星道具</v>
      </c>
      <c r="R253" s="1">
        <v>999999</v>
      </c>
    </row>
    <row r="254" spans="1:18">
      <c r="A254" s="1">
        <v>1127101</v>
      </c>
      <c r="C254" s="1">
        <v>1127101</v>
      </c>
      <c r="D254" s="1" t="str">
        <f t="shared" si="4"/>
        <v>埃米尔碎片</v>
      </c>
      <c r="E254" s="1">
        <v>2</v>
      </c>
      <c r="F254" s="1" t="s">
        <v>58</v>
      </c>
      <c r="I254" s="1">
        <v>2</v>
      </c>
      <c r="J254" s="1" t="b">
        <v>1</v>
      </c>
      <c r="K254" s="1" t="b">
        <v>1</v>
      </c>
      <c r="L254" s="1" t="s">
        <v>575</v>
      </c>
      <c r="M254" s="1">
        <v>2127101</v>
      </c>
      <c r="N254" s="1" t="b">
        <v>0</v>
      </c>
      <c r="O254" s="1" t="str">
        <f t="shared" si="5"/>
        <v>埃米尔雇员的升星道具</v>
      </c>
      <c r="R254" s="1">
        <v>999999</v>
      </c>
    </row>
    <row r="255" spans="1:18">
      <c r="A255" s="1">
        <v>1127102</v>
      </c>
      <c r="C255" s="1">
        <v>1127102</v>
      </c>
      <c r="D255" s="1" t="str">
        <f t="shared" si="4"/>
        <v>夏洛特碎片</v>
      </c>
      <c r="E255" s="1">
        <v>2</v>
      </c>
      <c r="F255" s="1" t="s">
        <v>58</v>
      </c>
      <c r="I255" s="1">
        <v>2</v>
      </c>
      <c r="J255" s="1" t="b">
        <v>1</v>
      </c>
      <c r="K255" s="1" t="b">
        <v>1</v>
      </c>
      <c r="L255" s="1" t="s">
        <v>575</v>
      </c>
      <c r="M255" s="1">
        <v>2127102</v>
      </c>
      <c r="N255" s="1" t="b">
        <v>0</v>
      </c>
      <c r="O255" s="1" t="str">
        <f t="shared" si="5"/>
        <v>夏洛特雇员的升星道具</v>
      </c>
      <c r="R255" s="1">
        <v>999999</v>
      </c>
    </row>
    <row r="256" spans="1:18">
      <c r="A256" s="1">
        <v>1127201</v>
      </c>
      <c r="C256" s="1">
        <v>1127201</v>
      </c>
      <c r="D256" s="1" t="str">
        <f t="shared" si="4"/>
        <v>雷蒙德碎片</v>
      </c>
      <c r="E256" s="1">
        <v>2</v>
      </c>
      <c r="F256" s="1" t="s">
        <v>58</v>
      </c>
      <c r="I256" s="1">
        <v>3</v>
      </c>
      <c r="J256" s="1" t="b">
        <v>1</v>
      </c>
      <c r="K256" s="1" t="b">
        <v>1</v>
      </c>
      <c r="L256" s="1" t="s">
        <v>575</v>
      </c>
      <c r="M256" s="1">
        <v>2127201</v>
      </c>
      <c r="N256" s="1" t="b">
        <v>0</v>
      </c>
      <c r="O256" s="1" t="str">
        <f t="shared" si="5"/>
        <v>雷蒙德雇员的升星道具</v>
      </c>
      <c r="R256" s="1">
        <v>999999</v>
      </c>
    </row>
    <row r="257" spans="1:18">
      <c r="A257" s="1">
        <v>1127202</v>
      </c>
      <c r="C257" s="1">
        <v>1127202</v>
      </c>
      <c r="D257" s="1" t="str">
        <f t="shared" si="4"/>
        <v>斯嘉丽碎片</v>
      </c>
      <c r="E257" s="1">
        <v>2</v>
      </c>
      <c r="F257" s="1" t="s">
        <v>58</v>
      </c>
      <c r="I257" s="1">
        <v>3</v>
      </c>
      <c r="J257" s="1" t="b">
        <v>1</v>
      </c>
      <c r="K257" s="1" t="b">
        <v>1</v>
      </c>
      <c r="L257" s="1" t="s">
        <v>575</v>
      </c>
      <c r="M257" s="1">
        <v>2127202</v>
      </c>
      <c r="N257" s="1" t="b">
        <v>0</v>
      </c>
      <c r="O257" s="1" t="str">
        <f t="shared" si="5"/>
        <v>斯嘉丽雇员的升星道具</v>
      </c>
      <c r="R257" s="1">
        <v>999999</v>
      </c>
    </row>
    <row r="258" spans="1:18">
      <c r="A258" s="1">
        <v>1127301</v>
      </c>
      <c r="C258" s="1">
        <v>1127301</v>
      </c>
      <c r="D258" s="1" t="str">
        <f t="shared" si="4"/>
        <v>丹尼尔碎片</v>
      </c>
      <c r="E258" s="1">
        <v>2</v>
      </c>
      <c r="F258" s="1" t="s">
        <v>58</v>
      </c>
      <c r="I258" s="1">
        <v>4</v>
      </c>
      <c r="J258" s="1" t="b">
        <v>1</v>
      </c>
      <c r="K258" s="1" t="b">
        <v>1</v>
      </c>
      <c r="L258" s="1" t="s">
        <v>575</v>
      </c>
      <c r="M258" s="1">
        <v>2127301</v>
      </c>
      <c r="N258" s="1" t="b">
        <v>0</v>
      </c>
      <c r="O258" s="1" t="str">
        <f t="shared" si="5"/>
        <v>丹尼尔雇员的升星道具</v>
      </c>
      <c r="R258" s="1">
        <v>999999</v>
      </c>
    </row>
    <row r="259" spans="1:18">
      <c r="A259" s="1">
        <v>1127302</v>
      </c>
      <c r="C259" s="1">
        <v>1127302</v>
      </c>
      <c r="D259" s="1" t="str">
        <f t="shared" si="4"/>
        <v>莉莉安碎片</v>
      </c>
      <c r="E259" s="1">
        <v>2</v>
      </c>
      <c r="F259" s="1" t="s">
        <v>58</v>
      </c>
      <c r="I259" s="1">
        <v>4</v>
      </c>
      <c r="J259" s="1" t="b">
        <v>1</v>
      </c>
      <c r="K259" s="1" t="b">
        <v>1</v>
      </c>
      <c r="L259" s="1" t="s">
        <v>577</v>
      </c>
      <c r="M259" s="1">
        <v>2127302</v>
      </c>
      <c r="N259" s="1" t="b">
        <v>0</v>
      </c>
      <c r="O259" s="1" t="str">
        <f t="shared" si="5"/>
        <v>莉莉安雇员的升星道具</v>
      </c>
      <c r="R259" s="1">
        <v>999999</v>
      </c>
    </row>
    <row r="260" spans="1:18">
      <c r="A260" s="1">
        <v>1127401</v>
      </c>
      <c r="C260" s="1">
        <v>1127401</v>
      </c>
      <c r="D260" s="1" t="str">
        <f t="shared" si="4"/>
        <v>卢卡斯碎片</v>
      </c>
      <c r="E260" s="1">
        <v>2</v>
      </c>
      <c r="F260" s="1" t="s">
        <v>58</v>
      </c>
      <c r="I260" s="1">
        <v>5</v>
      </c>
      <c r="J260" s="1" t="b">
        <v>1</v>
      </c>
      <c r="K260" s="1" t="b">
        <v>1</v>
      </c>
      <c r="L260" s="1" t="s">
        <v>575</v>
      </c>
      <c r="M260" s="1">
        <v>2127401</v>
      </c>
      <c r="N260" s="1" t="b">
        <v>0</v>
      </c>
      <c r="O260" s="1" t="str">
        <f t="shared" si="5"/>
        <v>卢卡斯雇员的升星道具</v>
      </c>
      <c r="R260" s="1">
        <v>999999</v>
      </c>
    </row>
    <row r="261" spans="1:18">
      <c r="A261" s="1">
        <v>1127402</v>
      </c>
      <c r="C261" s="1">
        <v>1127402</v>
      </c>
      <c r="D261" s="1" t="str">
        <f t="shared" si="4"/>
        <v>克拉拉碎片</v>
      </c>
      <c r="E261" s="1">
        <v>2</v>
      </c>
      <c r="F261" s="1" t="s">
        <v>58</v>
      </c>
      <c r="I261" s="1">
        <v>5</v>
      </c>
      <c r="J261" s="1" t="b">
        <v>1</v>
      </c>
      <c r="K261" s="1" t="b">
        <v>1</v>
      </c>
      <c r="L261" s="1" t="s">
        <v>578</v>
      </c>
      <c r="M261" s="1">
        <v>2127402</v>
      </c>
      <c r="N261" s="1" t="b">
        <v>0</v>
      </c>
      <c r="O261" s="1" t="str">
        <f t="shared" si="5"/>
        <v>克拉拉雇员的升星道具</v>
      </c>
      <c r="R261" s="1">
        <v>999999</v>
      </c>
    </row>
    <row r="262" spans="1:18">
      <c r="A262" s="1">
        <v>1128001</v>
      </c>
      <c r="C262" s="1">
        <v>1128001</v>
      </c>
      <c r="D262" s="1" t="str">
        <f t="shared" si="4"/>
        <v>尼古拉斯碎片</v>
      </c>
      <c r="E262" s="1">
        <v>2</v>
      </c>
      <c r="F262" s="1" t="s">
        <v>58</v>
      </c>
      <c r="I262" s="1">
        <v>1</v>
      </c>
      <c r="J262" s="1" t="b">
        <v>1</v>
      </c>
      <c r="K262" s="1" t="b">
        <v>1</v>
      </c>
      <c r="L262" s="1" t="s">
        <v>575</v>
      </c>
      <c r="M262" s="1">
        <v>2128001</v>
      </c>
      <c r="N262" s="1" t="b">
        <v>0</v>
      </c>
      <c r="O262" s="1" t="str">
        <f t="shared" si="5"/>
        <v>尼古拉斯雇员的升星道具</v>
      </c>
      <c r="R262" s="1">
        <v>999999</v>
      </c>
    </row>
    <row r="263" spans="1:18">
      <c r="A263" s="1">
        <v>1128002</v>
      </c>
      <c r="C263" s="1">
        <v>1128002</v>
      </c>
      <c r="D263" s="1" t="str">
        <f t="shared" si="4"/>
        <v>奥利维亚碎片</v>
      </c>
      <c r="E263" s="1">
        <v>2</v>
      </c>
      <c r="F263" s="1" t="s">
        <v>58</v>
      </c>
      <c r="I263" s="1">
        <v>1</v>
      </c>
      <c r="J263" s="1" t="b">
        <v>1</v>
      </c>
      <c r="K263" s="1" t="b">
        <v>1</v>
      </c>
      <c r="L263" s="1" t="s">
        <v>575</v>
      </c>
      <c r="M263" s="1">
        <v>2128002</v>
      </c>
      <c r="N263" s="1" t="b">
        <v>0</v>
      </c>
      <c r="O263" s="1" t="str">
        <f t="shared" si="5"/>
        <v>奥利维亚雇员的升星道具</v>
      </c>
      <c r="R263" s="1">
        <v>999999</v>
      </c>
    </row>
    <row r="264" spans="1:18">
      <c r="A264" s="1">
        <v>1128101</v>
      </c>
      <c r="C264" s="1">
        <v>1128101</v>
      </c>
      <c r="D264" s="1" t="str">
        <f t="shared" si="4"/>
        <v>亚历山大碎片</v>
      </c>
      <c r="E264" s="1">
        <v>2</v>
      </c>
      <c r="F264" s="1" t="s">
        <v>58</v>
      </c>
      <c r="I264" s="1">
        <v>2</v>
      </c>
      <c r="J264" s="1" t="b">
        <v>1</v>
      </c>
      <c r="K264" s="1" t="b">
        <v>1</v>
      </c>
      <c r="L264" s="1" t="s">
        <v>575</v>
      </c>
      <c r="M264" s="1">
        <v>2128101</v>
      </c>
      <c r="N264" s="1" t="b">
        <v>0</v>
      </c>
      <c r="O264" s="1" t="str">
        <f t="shared" si="5"/>
        <v>亚历山大雇员的升星道具</v>
      </c>
      <c r="R264" s="1">
        <v>999999</v>
      </c>
    </row>
    <row r="265" spans="1:18">
      <c r="A265" s="1">
        <v>1128102</v>
      </c>
      <c r="C265" s="1">
        <v>1128102</v>
      </c>
      <c r="D265" s="1" t="str">
        <f t="shared" si="4"/>
        <v>玛格丽特碎片</v>
      </c>
      <c r="E265" s="1">
        <v>2</v>
      </c>
      <c r="F265" s="1" t="s">
        <v>58</v>
      </c>
      <c r="I265" s="1">
        <v>2</v>
      </c>
      <c r="J265" s="1" t="b">
        <v>1</v>
      </c>
      <c r="K265" s="1" t="b">
        <v>1</v>
      </c>
      <c r="L265" s="1" t="s">
        <v>575</v>
      </c>
      <c r="M265" s="1">
        <v>2128102</v>
      </c>
      <c r="N265" s="1" t="b">
        <v>0</v>
      </c>
      <c r="O265" s="1" t="str">
        <f t="shared" si="5"/>
        <v>玛格丽特雇员的升星道具</v>
      </c>
      <c r="R265" s="1">
        <v>999999</v>
      </c>
    </row>
    <row r="266" spans="1:18">
      <c r="A266" s="1">
        <v>1128201</v>
      </c>
      <c r="C266" s="1">
        <v>1128201</v>
      </c>
      <c r="D266" s="1" t="str">
        <f t="shared" si="4"/>
        <v>奥古斯特碎片</v>
      </c>
      <c r="E266" s="1">
        <v>2</v>
      </c>
      <c r="F266" s="1" t="s">
        <v>58</v>
      </c>
      <c r="I266" s="1">
        <v>3</v>
      </c>
      <c r="J266" s="1" t="b">
        <v>1</v>
      </c>
      <c r="K266" s="1" t="b">
        <v>1</v>
      </c>
      <c r="L266" s="1" t="s">
        <v>575</v>
      </c>
      <c r="M266" s="1">
        <v>2128201</v>
      </c>
      <c r="N266" s="1" t="b">
        <v>0</v>
      </c>
      <c r="O266" s="1" t="str">
        <f t="shared" si="5"/>
        <v>奥古斯特雇员的升星道具</v>
      </c>
      <c r="R266" s="1">
        <v>999999</v>
      </c>
    </row>
    <row r="267" spans="1:18">
      <c r="A267" s="1">
        <v>1128202</v>
      </c>
      <c r="C267" s="1">
        <v>1128202</v>
      </c>
      <c r="D267" s="1" t="str">
        <f t="shared" si="4"/>
        <v>维奥莱特碎片</v>
      </c>
      <c r="E267" s="1">
        <v>2</v>
      </c>
      <c r="F267" s="1" t="s">
        <v>58</v>
      </c>
      <c r="I267" s="1">
        <v>3</v>
      </c>
      <c r="J267" s="1" t="b">
        <v>1</v>
      </c>
      <c r="K267" s="1" t="b">
        <v>1</v>
      </c>
      <c r="L267" s="1" t="s">
        <v>575</v>
      </c>
      <c r="M267" s="1">
        <v>2128202</v>
      </c>
      <c r="N267" s="1" t="b">
        <v>0</v>
      </c>
      <c r="O267" s="1" t="str">
        <f t="shared" si="5"/>
        <v>维奥莱特雇员的升星道具</v>
      </c>
      <c r="R267" s="1">
        <v>999999</v>
      </c>
    </row>
    <row r="268" spans="1:18">
      <c r="A268" s="1">
        <v>1128301</v>
      </c>
      <c r="C268" s="1">
        <v>1128301</v>
      </c>
      <c r="D268" s="1" t="str">
        <f t="shared" si="4"/>
        <v>费利克斯碎片</v>
      </c>
      <c r="E268" s="1">
        <v>2</v>
      </c>
      <c r="F268" s="1" t="s">
        <v>58</v>
      </c>
      <c r="I268" s="1">
        <v>4</v>
      </c>
      <c r="J268" s="1" t="b">
        <v>1</v>
      </c>
      <c r="K268" s="1" t="b">
        <v>1</v>
      </c>
      <c r="L268" s="1" t="s">
        <v>575</v>
      </c>
      <c r="M268" s="1">
        <v>2128301</v>
      </c>
      <c r="N268" s="1" t="b">
        <v>0</v>
      </c>
      <c r="O268" s="1" t="str">
        <f t="shared" si="5"/>
        <v>费利克斯雇员的升星道具</v>
      </c>
      <c r="R268" s="1">
        <v>999999</v>
      </c>
    </row>
    <row r="269" spans="1:18">
      <c r="A269" s="1">
        <v>1128302</v>
      </c>
      <c r="C269" s="1">
        <v>1128302</v>
      </c>
      <c r="D269" s="1" t="str">
        <f t="shared" si="4"/>
        <v>维多利亚碎片</v>
      </c>
      <c r="E269" s="1">
        <v>2</v>
      </c>
      <c r="F269" s="1" t="s">
        <v>58</v>
      </c>
      <c r="I269" s="1">
        <v>4</v>
      </c>
      <c r="J269" s="1" t="b">
        <v>1</v>
      </c>
      <c r="K269" s="1" t="b">
        <v>1</v>
      </c>
      <c r="L269" s="1" t="s">
        <v>575</v>
      </c>
      <c r="M269" s="1">
        <v>2128302</v>
      </c>
      <c r="N269" s="1" t="b">
        <v>0</v>
      </c>
      <c r="O269" s="1" t="str">
        <f t="shared" si="5"/>
        <v>维多利亚雇员的升星道具</v>
      </c>
      <c r="R269" s="1">
        <v>999999</v>
      </c>
    </row>
    <row r="270" spans="1:18">
      <c r="A270" s="1">
        <v>1128401</v>
      </c>
      <c r="C270" s="1">
        <v>1128401</v>
      </c>
      <c r="D270" s="1" t="str">
        <f t="shared" si="4"/>
        <v>阿尔弗雷德碎片</v>
      </c>
      <c r="E270" s="1">
        <v>2</v>
      </c>
      <c r="F270" s="1" t="s">
        <v>58</v>
      </c>
      <c r="I270" s="1">
        <v>5</v>
      </c>
      <c r="J270" s="1" t="b">
        <v>1</v>
      </c>
      <c r="K270" s="1" t="b">
        <v>1</v>
      </c>
      <c r="L270" s="1" t="s">
        <v>575</v>
      </c>
      <c r="M270" s="1">
        <v>2128401</v>
      </c>
      <c r="N270" s="1" t="b">
        <v>0</v>
      </c>
      <c r="O270" s="1" t="str">
        <f t="shared" si="5"/>
        <v>阿尔弗雷德雇员的升星道具</v>
      </c>
      <c r="R270" s="1">
        <v>999999</v>
      </c>
    </row>
    <row r="271" spans="1:18">
      <c r="A271" s="1">
        <v>1128402</v>
      </c>
      <c r="C271" s="1">
        <v>1128402</v>
      </c>
      <c r="D271" s="1" t="str">
        <f t="shared" si="4"/>
        <v>伊丽莎白碎片</v>
      </c>
      <c r="E271" s="1">
        <v>2</v>
      </c>
      <c r="F271" s="1" t="s">
        <v>58</v>
      </c>
      <c r="I271" s="1">
        <v>5</v>
      </c>
      <c r="J271" s="1" t="b">
        <v>1</v>
      </c>
      <c r="K271" s="1" t="b">
        <v>1</v>
      </c>
      <c r="L271" s="1" t="s">
        <v>575</v>
      </c>
      <c r="M271" s="1">
        <v>2128402</v>
      </c>
      <c r="N271" s="1" t="b">
        <v>0</v>
      </c>
      <c r="O271" s="1" t="str">
        <f t="shared" si="5"/>
        <v>伊丽莎白雇员的升星道具</v>
      </c>
      <c r="R271" s="1">
        <v>999999</v>
      </c>
    </row>
    <row r="272" ht="18" customHeight="1" spans="1:18">
      <c r="A272" s="1">
        <v>1130001</v>
      </c>
      <c r="C272" s="1">
        <v>1130001</v>
      </c>
      <c r="D272" s="1" t="s">
        <v>579</v>
      </c>
      <c r="E272" s="1">
        <v>2</v>
      </c>
      <c r="F272" s="1" t="s">
        <v>58</v>
      </c>
      <c r="I272" s="1">
        <v>1</v>
      </c>
      <c r="J272" s="1" t="b">
        <v>1</v>
      </c>
      <c r="K272" s="1" t="b">
        <v>1</v>
      </c>
      <c r="L272" s="1" t="s">
        <v>580</v>
      </c>
      <c r="M272" s="1">
        <v>2130001</v>
      </c>
      <c r="N272" s="1" t="b">
        <v>0</v>
      </c>
      <c r="O272" s="12" t="s">
        <v>581</v>
      </c>
      <c r="R272" s="1">
        <v>999999</v>
      </c>
    </row>
    <row r="273" ht="23" customHeight="1" spans="1:20">
      <c r="A273" s="1">
        <v>1130002</v>
      </c>
      <c r="C273" s="1">
        <v>1130002</v>
      </c>
      <c r="D273" s="1" t="s">
        <v>582</v>
      </c>
      <c r="E273" s="1">
        <v>1</v>
      </c>
      <c r="F273" s="1" t="s">
        <v>73</v>
      </c>
      <c r="I273" s="1">
        <v>1</v>
      </c>
      <c r="J273" s="1" t="b">
        <v>1</v>
      </c>
      <c r="K273" s="1" t="b">
        <v>1</v>
      </c>
      <c r="L273" s="1" t="s">
        <v>583</v>
      </c>
      <c r="M273" s="1">
        <v>2130002</v>
      </c>
      <c r="N273" s="1" t="b">
        <v>0</v>
      </c>
      <c r="O273" s="12" t="s">
        <v>584</v>
      </c>
      <c r="R273" s="1">
        <v>999999</v>
      </c>
      <c r="T273" s="1" t="s">
        <v>585</v>
      </c>
    </row>
    <row r="274" ht="19" customHeight="1" spans="1:20">
      <c r="A274" s="1">
        <v>1130003</v>
      </c>
      <c r="C274" s="1">
        <v>1130003</v>
      </c>
      <c r="D274" s="1" t="s">
        <v>586</v>
      </c>
      <c r="E274" s="1">
        <v>1</v>
      </c>
      <c r="F274" s="1" t="s">
        <v>73</v>
      </c>
      <c r="I274" s="1">
        <v>2</v>
      </c>
      <c r="J274" s="1" t="b">
        <v>1</v>
      </c>
      <c r="K274" s="1" t="b">
        <v>1</v>
      </c>
      <c r="L274" s="1" t="s">
        <v>587</v>
      </c>
      <c r="M274" s="1">
        <v>2130003</v>
      </c>
      <c r="N274" s="1" t="b">
        <v>0</v>
      </c>
      <c r="O274" s="12" t="s">
        <v>588</v>
      </c>
      <c r="R274" s="1">
        <v>999999</v>
      </c>
      <c r="T274" s="1" t="s">
        <v>589</v>
      </c>
    </row>
    <row r="275" ht="21" customHeight="1" spans="1:20">
      <c r="A275" s="1">
        <v>1130004</v>
      </c>
      <c r="C275" s="1">
        <v>1130004</v>
      </c>
      <c r="D275" s="1" t="s">
        <v>590</v>
      </c>
      <c r="E275" s="1">
        <v>1</v>
      </c>
      <c r="F275" s="1" t="s">
        <v>73</v>
      </c>
      <c r="I275" s="1">
        <v>3</v>
      </c>
      <c r="J275" s="1" t="b">
        <v>1</v>
      </c>
      <c r="K275" s="1" t="b">
        <v>1</v>
      </c>
      <c r="L275" s="1" t="s">
        <v>591</v>
      </c>
      <c r="M275" s="1">
        <v>2130004</v>
      </c>
      <c r="N275" s="1" t="b">
        <v>0</v>
      </c>
      <c r="O275" s="12" t="s">
        <v>592</v>
      </c>
      <c r="R275" s="1">
        <v>999999</v>
      </c>
      <c r="T275" s="1" t="s">
        <v>593</v>
      </c>
    </row>
    <row r="276" ht="20" customHeight="1" spans="1:20">
      <c r="A276" s="1">
        <v>1130005</v>
      </c>
      <c r="C276" s="1">
        <v>1130005</v>
      </c>
      <c r="D276" s="1" t="s">
        <v>594</v>
      </c>
      <c r="E276" s="1">
        <v>1</v>
      </c>
      <c r="F276" s="1" t="s">
        <v>73</v>
      </c>
      <c r="I276" s="1">
        <v>4</v>
      </c>
      <c r="J276" s="1" t="b">
        <v>1</v>
      </c>
      <c r="K276" s="1" t="b">
        <v>1</v>
      </c>
      <c r="L276" s="1" t="s">
        <v>595</v>
      </c>
      <c r="M276" s="1">
        <v>2130005</v>
      </c>
      <c r="N276" s="1" t="b">
        <v>0</v>
      </c>
      <c r="O276" s="12" t="s">
        <v>596</v>
      </c>
      <c r="R276" s="1">
        <v>999999</v>
      </c>
      <c r="T276" s="1" t="s">
        <v>597</v>
      </c>
    </row>
    <row r="277" ht="18" customHeight="1" spans="1:20">
      <c r="A277" s="1">
        <v>1130006</v>
      </c>
      <c r="C277" s="1">
        <v>1130006</v>
      </c>
      <c r="D277" s="1" t="s">
        <v>598</v>
      </c>
      <c r="E277" s="1">
        <v>1</v>
      </c>
      <c r="F277" s="1" t="s">
        <v>73</v>
      </c>
      <c r="I277" s="1">
        <v>5</v>
      </c>
      <c r="J277" s="1" t="b">
        <v>1</v>
      </c>
      <c r="K277" s="1" t="b">
        <v>1</v>
      </c>
      <c r="L277" s="1" t="s">
        <v>599</v>
      </c>
      <c r="M277" s="1">
        <v>2130006</v>
      </c>
      <c r="N277" s="1" t="b">
        <v>0</v>
      </c>
      <c r="O277" s="12" t="s">
        <v>600</v>
      </c>
      <c r="R277" s="1">
        <v>999999</v>
      </c>
      <c r="T277" s="1" t="s">
        <v>601</v>
      </c>
    </row>
    <row r="278" spans="1:20">
      <c r="A278" s="1">
        <v>1131001</v>
      </c>
      <c r="C278" s="1">
        <v>1131001</v>
      </c>
      <c r="D278" s="1" t="s">
        <v>602</v>
      </c>
      <c r="E278" s="1">
        <v>2</v>
      </c>
      <c r="F278" s="1" t="s">
        <v>58</v>
      </c>
      <c r="I278" s="1">
        <v>1</v>
      </c>
      <c r="J278" s="1" t="b">
        <v>1</v>
      </c>
      <c r="K278" s="1" t="b">
        <v>0</v>
      </c>
      <c r="L278" s="1" t="s">
        <v>603</v>
      </c>
      <c r="M278" s="1">
        <v>2131001</v>
      </c>
      <c r="N278" s="1" t="b">
        <v>0</v>
      </c>
      <c r="O278" s="1" t="s">
        <v>604</v>
      </c>
      <c r="R278" s="1">
        <v>999999</v>
      </c>
    </row>
    <row r="279" spans="1:20">
      <c r="A279" s="1">
        <v>1131002</v>
      </c>
      <c r="C279" s="1">
        <v>1131002</v>
      </c>
      <c r="D279" s="1" t="s">
        <v>605</v>
      </c>
      <c r="E279" s="1">
        <v>2</v>
      </c>
      <c r="F279" s="1" t="s">
        <v>58</v>
      </c>
      <c r="I279" s="1">
        <v>1</v>
      </c>
      <c r="J279" s="1" t="b">
        <v>1</v>
      </c>
      <c r="K279" s="1" t="b">
        <v>0</v>
      </c>
      <c r="L279" s="1" t="s">
        <v>606</v>
      </c>
      <c r="M279" s="1">
        <v>2131002</v>
      </c>
      <c r="N279" s="1" t="b">
        <v>0</v>
      </c>
      <c r="O279" s="1" t="s">
        <v>607</v>
      </c>
      <c r="R279" s="1">
        <v>999999</v>
      </c>
    </row>
    <row r="280" spans="1:20">
      <c r="A280" s="1">
        <v>1131003</v>
      </c>
      <c r="C280" s="1">
        <v>1131003</v>
      </c>
      <c r="D280" s="1" t="s">
        <v>608</v>
      </c>
      <c r="E280" s="1">
        <v>2</v>
      </c>
      <c r="F280" s="1" t="s">
        <v>58</v>
      </c>
      <c r="I280" s="1">
        <v>1</v>
      </c>
      <c r="J280" s="1" t="b">
        <v>1</v>
      </c>
      <c r="K280" s="1" t="b">
        <v>0</v>
      </c>
      <c r="L280" s="1" t="s">
        <v>609</v>
      </c>
      <c r="M280" s="1">
        <v>2131003</v>
      </c>
      <c r="N280" s="1" t="b">
        <v>0</v>
      </c>
      <c r="O280" s="1" t="s">
        <v>610</v>
      </c>
      <c r="R280" s="1">
        <v>999999</v>
      </c>
    </row>
    <row r="281" spans="1:20">
      <c r="A281" s="1">
        <v>1131004</v>
      </c>
      <c r="C281" s="1">
        <v>1131004</v>
      </c>
      <c r="D281" s="1" t="s">
        <v>611</v>
      </c>
      <c r="E281" s="1">
        <v>2</v>
      </c>
      <c r="F281" s="1" t="s">
        <v>58</v>
      </c>
      <c r="I281" s="1">
        <v>1</v>
      </c>
      <c r="J281" s="1" t="b">
        <v>1</v>
      </c>
      <c r="K281" s="1" t="b">
        <v>0</v>
      </c>
      <c r="L281" s="1" t="s">
        <v>612</v>
      </c>
      <c r="M281" s="1">
        <v>2131004</v>
      </c>
      <c r="N281" s="1" t="b">
        <v>0</v>
      </c>
      <c r="O281" s="1" t="s">
        <v>613</v>
      </c>
      <c r="R281" s="1">
        <v>999999</v>
      </c>
    </row>
    <row r="282" spans="1:20">
      <c r="A282" s="1">
        <v>1131005</v>
      </c>
      <c r="C282" s="1">
        <v>1131005</v>
      </c>
      <c r="D282" s="20" t="s">
        <v>614</v>
      </c>
      <c r="E282" s="1">
        <v>2</v>
      </c>
      <c r="F282" s="1" t="s">
        <v>58</v>
      </c>
      <c r="I282" s="1">
        <v>1</v>
      </c>
      <c r="J282" s="1" t="b">
        <v>1</v>
      </c>
      <c r="K282" s="1" t="b">
        <v>0</v>
      </c>
      <c r="L282" s="1" t="s">
        <v>615</v>
      </c>
      <c r="M282" s="1">
        <v>2131005</v>
      </c>
      <c r="N282" s="1" t="b">
        <v>0</v>
      </c>
      <c r="O282" s="1" t="s">
        <v>616</v>
      </c>
      <c r="R282" s="1">
        <v>999999</v>
      </c>
    </row>
    <row r="283" spans="1:20">
      <c r="A283" s="1">
        <v>1131006</v>
      </c>
      <c r="C283" s="1">
        <v>1131006</v>
      </c>
      <c r="D283" s="1" t="s">
        <v>617</v>
      </c>
      <c r="E283" s="1">
        <v>2</v>
      </c>
      <c r="F283" s="1" t="s">
        <v>58</v>
      </c>
      <c r="I283" s="1">
        <v>1</v>
      </c>
      <c r="J283" s="1" t="b">
        <v>1</v>
      </c>
      <c r="K283" s="1" t="b">
        <v>0</v>
      </c>
      <c r="L283" s="1" t="s">
        <v>618</v>
      </c>
      <c r="M283" s="1">
        <v>2131006</v>
      </c>
      <c r="N283" s="1" t="b">
        <v>0</v>
      </c>
      <c r="O283" s="1" t="s">
        <v>619</v>
      </c>
      <c r="R283" s="1">
        <v>999999</v>
      </c>
    </row>
    <row r="284" spans="1:20">
      <c r="A284" s="1">
        <v>1131007</v>
      </c>
      <c r="C284" s="1">
        <v>1131007</v>
      </c>
      <c r="D284" s="1" t="s">
        <v>620</v>
      </c>
      <c r="E284" s="1">
        <v>2</v>
      </c>
      <c r="F284" s="1" t="s">
        <v>58</v>
      </c>
      <c r="I284" s="1">
        <v>1</v>
      </c>
      <c r="J284" s="1" t="b">
        <v>1</v>
      </c>
      <c r="K284" s="1" t="b">
        <v>0</v>
      </c>
      <c r="L284" s="1" t="s">
        <v>621</v>
      </c>
      <c r="M284" s="1">
        <v>2131007</v>
      </c>
      <c r="N284" s="1" t="b">
        <v>0</v>
      </c>
      <c r="O284" s="1" t="s">
        <v>622</v>
      </c>
      <c r="R284" s="1">
        <v>999999</v>
      </c>
    </row>
    <row r="285" spans="1:20">
      <c r="A285" s="1">
        <v>1131101</v>
      </c>
      <c r="C285" s="1">
        <v>1131101</v>
      </c>
      <c r="D285" s="1" t="s">
        <v>623</v>
      </c>
      <c r="E285" s="1">
        <v>2</v>
      </c>
      <c r="F285" s="1" t="s">
        <v>58</v>
      </c>
      <c r="I285" s="1">
        <v>2</v>
      </c>
      <c r="J285" s="1" t="b">
        <v>1</v>
      </c>
      <c r="K285" s="1" t="b">
        <v>0</v>
      </c>
      <c r="L285" s="1" t="s">
        <v>624</v>
      </c>
      <c r="M285" s="1">
        <v>2131001</v>
      </c>
      <c r="N285" s="1" t="b">
        <v>0</v>
      </c>
      <c r="O285" s="1" t="s">
        <v>604</v>
      </c>
      <c r="R285" s="1">
        <v>999999</v>
      </c>
    </row>
    <row r="286" spans="1:20">
      <c r="A286" s="1">
        <v>1131102</v>
      </c>
      <c r="C286" s="1">
        <v>1131102</v>
      </c>
      <c r="D286" s="1" t="s">
        <v>625</v>
      </c>
      <c r="E286" s="1">
        <v>2</v>
      </c>
      <c r="F286" s="1" t="s">
        <v>58</v>
      </c>
      <c r="I286" s="1">
        <v>2</v>
      </c>
      <c r="J286" s="1" t="b">
        <v>1</v>
      </c>
      <c r="K286" s="1" t="b">
        <v>0</v>
      </c>
      <c r="L286" s="1" t="s">
        <v>626</v>
      </c>
      <c r="M286" s="1">
        <v>2131002</v>
      </c>
      <c r="N286" s="1" t="b">
        <v>0</v>
      </c>
      <c r="O286" s="1" t="s">
        <v>607</v>
      </c>
      <c r="R286" s="1">
        <v>999999</v>
      </c>
    </row>
    <row r="287" spans="1:20">
      <c r="A287" s="1">
        <v>1131103</v>
      </c>
      <c r="C287" s="1">
        <v>1131103</v>
      </c>
      <c r="D287" s="1" t="s">
        <v>627</v>
      </c>
      <c r="E287" s="1">
        <v>2</v>
      </c>
      <c r="F287" s="1" t="s">
        <v>58</v>
      </c>
      <c r="I287" s="1">
        <v>2</v>
      </c>
      <c r="J287" s="1" t="b">
        <v>1</v>
      </c>
      <c r="K287" s="1" t="b">
        <v>0</v>
      </c>
      <c r="L287" s="1" t="s">
        <v>628</v>
      </c>
      <c r="M287" s="1">
        <v>2131003</v>
      </c>
      <c r="N287" s="1" t="b">
        <v>0</v>
      </c>
      <c r="O287" s="1" t="s">
        <v>610</v>
      </c>
      <c r="R287" s="1">
        <v>999999</v>
      </c>
    </row>
    <row r="288" spans="1:20">
      <c r="A288" s="1">
        <v>1131104</v>
      </c>
      <c r="C288" s="1">
        <v>1131104</v>
      </c>
      <c r="D288" s="1" t="s">
        <v>629</v>
      </c>
      <c r="E288" s="1">
        <v>2</v>
      </c>
      <c r="F288" s="1" t="s">
        <v>58</v>
      </c>
      <c r="I288" s="1">
        <v>2</v>
      </c>
      <c r="J288" s="1" t="b">
        <v>1</v>
      </c>
      <c r="K288" s="1" t="b">
        <v>0</v>
      </c>
      <c r="L288" s="1" t="s">
        <v>630</v>
      </c>
      <c r="M288" s="1">
        <v>2131004</v>
      </c>
      <c r="N288" s="1" t="b">
        <v>0</v>
      </c>
      <c r="O288" s="1" t="s">
        <v>613</v>
      </c>
      <c r="R288" s="1">
        <v>999999</v>
      </c>
    </row>
    <row r="289" spans="1:18">
      <c r="A289" s="1">
        <v>1131105</v>
      </c>
      <c r="C289" s="1">
        <v>1131105</v>
      </c>
      <c r="D289" s="20" t="s">
        <v>631</v>
      </c>
      <c r="E289" s="1">
        <v>2</v>
      </c>
      <c r="F289" s="1" t="s">
        <v>58</v>
      </c>
      <c r="I289" s="1">
        <v>2</v>
      </c>
      <c r="J289" s="1" t="b">
        <v>1</v>
      </c>
      <c r="K289" s="1" t="b">
        <v>0</v>
      </c>
      <c r="L289" s="1" t="s">
        <v>632</v>
      </c>
      <c r="M289" s="1">
        <v>2131005</v>
      </c>
      <c r="N289" s="1" t="b">
        <v>0</v>
      </c>
      <c r="O289" s="1" t="s">
        <v>633</v>
      </c>
      <c r="R289" s="1">
        <v>999999</v>
      </c>
    </row>
    <row r="290" spans="1:18">
      <c r="A290" s="1">
        <v>1131106</v>
      </c>
      <c r="C290" s="1">
        <v>1131106</v>
      </c>
      <c r="D290" s="1" t="s">
        <v>634</v>
      </c>
      <c r="E290" s="1">
        <v>2</v>
      </c>
      <c r="F290" s="1" t="s">
        <v>58</v>
      </c>
      <c r="I290" s="1">
        <v>2</v>
      </c>
      <c r="J290" s="1" t="b">
        <v>1</v>
      </c>
      <c r="K290" s="1" t="b">
        <v>0</v>
      </c>
      <c r="L290" s="1" t="s">
        <v>635</v>
      </c>
      <c r="M290" s="1">
        <v>2131006</v>
      </c>
      <c r="N290" s="1" t="b">
        <v>0</v>
      </c>
      <c r="O290" s="1" t="s">
        <v>619</v>
      </c>
      <c r="R290" s="1">
        <v>999999</v>
      </c>
    </row>
    <row r="291" spans="1:18">
      <c r="A291" s="1">
        <v>1131107</v>
      </c>
      <c r="C291" s="1">
        <v>1131107</v>
      </c>
      <c r="D291" s="1" t="s">
        <v>636</v>
      </c>
      <c r="E291" s="1">
        <v>2</v>
      </c>
      <c r="F291" s="1" t="s">
        <v>58</v>
      </c>
      <c r="I291" s="1">
        <v>2</v>
      </c>
      <c r="J291" s="1" t="b">
        <v>1</v>
      </c>
      <c r="K291" s="1" t="b">
        <v>0</v>
      </c>
      <c r="L291" s="1" t="s">
        <v>637</v>
      </c>
      <c r="M291" s="1">
        <v>2131007</v>
      </c>
      <c r="N291" s="1" t="b">
        <v>0</v>
      </c>
      <c r="O291" s="1" t="s">
        <v>638</v>
      </c>
      <c r="R291" s="1">
        <v>999999</v>
      </c>
    </row>
    <row r="292" spans="1:18">
      <c r="A292" s="1">
        <v>1131201</v>
      </c>
      <c r="C292" s="1">
        <v>1131201</v>
      </c>
      <c r="D292" s="1" t="s">
        <v>639</v>
      </c>
      <c r="E292" s="1">
        <v>2</v>
      </c>
      <c r="F292" s="1" t="s">
        <v>58</v>
      </c>
      <c r="I292" s="1">
        <v>3</v>
      </c>
      <c r="J292" s="1" t="b">
        <v>1</v>
      </c>
      <c r="K292" s="1" t="b">
        <v>0</v>
      </c>
      <c r="L292" s="1" t="s">
        <v>640</v>
      </c>
      <c r="M292" s="1">
        <v>2131001</v>
      </c>
      <c r="N292" s="1" t="b">
        <v>0</v>
      </c>
      <c r="O292" s="1" t="s">
        <v>604</v>
      </c>
      <c r="R292" s="1">
        <v>999999</v>
      </c>
    </row>
    <row r="293" spans="1:18">
      <c r="A293" s="1">
        <v>1131202</v>
      </c>
      <c r="C293" s="1">
        <v>1131202</v>
      </c>
      <c r="D293" s="1" t="s">
        <v>641</v>
      </c>
      <c r="E293" s="1">
        <v>2</v>
      </c>
      <c r="F293" s="1" t="s">
        <v>58</v>
      </c>
      <c r="I293" s="1">
        <v>3</v>
      </c>
      <c r="J293" s="1" t="b">
        <v>1</v>
      </c>
      <c r="K293" s="1" t="b">
        <v>0</v>
      </c>
      <c r="L293" s="1" t="s">
        <v>642</v>
      </c>
      <c r="M293" s="1">
        <v>2131002</v>
      </c>
      <c r="N293" s="1" t="b">
        <v>0</v>
      </c>
      <c r="O293" s="1" t="s">
        <v>607</v>
      </c>
      <c r="R293" s="1">
        <v>999999</v>
      </c>
    </row>
    <row r="294" spans="1:18">
      <c r="A294" s="1">
        <v>1131203</v>
      </c>
      <c r="C294" s="1">
        <v>1131203</v>
      </c>
      <c r="D294" s="1" t="s">
        <v>643</v>
      </c>
      <c r="E294" s="1">
        <v>2</v>
      </c>
      <c r="F294" s="1" t="s">
        <v>58</v>
      </c>
      <c r="I294" s="1">
        <v>3</v>
      </c>
      <c r="J294" s="1" t="b">
        <v>1</v>
      </c>
      <c r="K294" s="1" t="b">
        <v>0</v>
      </c>
      <c r="L294" s="1" t="s">
        <v>644</v>
      </c>
      <c r="M294" s="1">
        <v>2131003</v>
      </c>
      <c r="N294" s="1" t="b">
        <v>0</v>
      </c>
      <c r="O294" s="1" t="s">
        <v>610</v>
      </c>
      <c r="R294" s="1">
        <v>999999</v>
      </c>
    </row>
    <row r="295" spans="1:18">
      <c r="A295" s="1">
        <v>1131204</v>
      </c>
      <c r="C295" s="1">
        <v>1131204</v>
      </c>
      <c r="D295" s="1" t="s">
        <v>645</v>
      </c>
      <c r="E295" s="1">
        <v>2</v>
      </c>
      <c r="F295" s="1" t="s">
        <v>58</v>
      </c>
      <c r="I295" s="1">
        <v>3</v>
      </c>
      <c r="J295" s="1" t="b">
        <v>1</v>
      </c>
      <c r="K295" s="1" t="b">
        <v>0</v>
      </c>
      <c r="L295" s="1" t="s">
        <v>646</v>
      </c>
      <c r="M295" s="1">
        <v>2131004</v>
      </c>
      <c r="N295" s="1" t="b">
        <v>0</v>
      </c>
      <c r="O295" s="1" t="s">
        <v>613</v>
      </c>
      <c r="R295" s="1">
        <v>999999</v>
      </c>
    </row>
    <row r="296" spans="1:18">
      <c r="A296" s="1">
        <v>1131205</v>
      </c>
      <c r="C296" s="1">
        <v>1131205</v>
      </c>
      <c r="D296" s="20" t="s">
        <v>647</v>
      </c>
      <c r="E296" s="1">
        <v>2</v>
      </c>
      <c r="F296" s="1" t="s">
        <v>58</v>
      </c>
      <c r="I296" s="1">
        <v>3</v>
      </c>
      <c r="J296" s="1" t="b">
        <v>1</v>
      </c>
      <c r="K296" s="1" t="b">
        <v>0</v>
      </c>
      <c r="L296" s="1" t="s">
        <v>648</v>
      </c>
      <c r="M296" s="1">
        <v>2131005</v>
      </c>
      <c r="N296" s="1" t="b">
        <v>0</v>
      </c>
      <c r="O296" s="1" t="s">
        <v>633</v>
      </c>
      <c r="R296" s="1">
        <v>999999</v>
      </c>
    </row>
    <row r="297" spans="1:18">
      <c r="A297" s="1">
        <v>1131206</v>
      </c>
      <c r="C297" s="1">
        <v>1131206</v>
      </c>
      <c r="D297" s="1" t="s">
        <v>649</v>
      </c>
      <c r="E297" s="1">
        <v>2</v>
      </c>
      <c r="F297" s="1" t="s">
        <v>58</v>
      </c>
      <c r="I297" s="1">
        <v>3</v>
      </c>
      <c r="J297" s="1" t="b">
        <v>1</v>
      </c>
      <c r="K297" s="1" t="b">
        <v>0</v>
      </c>
      <c r="L297" s="1" t="s">
        <v>650</v>
      </c>
      <c r="M297" s="1">
        <v>2131006</v>
      </c>
      <c r="N297" s="1" t="b">
        <v>0</v>
      </c>
      <c r="O297" s="1" t="s">
        <v>619</v>
      </c>
      <c r="R297" s="1">
        <v>999999</v>
      </c>
    </row>
    <row r="298" spans="1:18">
      <c r="A298" s="1">
        <v>1131207</v>
      </c>
      <c r="C298" s="1">
        <v>1131207</v>
      </c>
      <c r="D298" s="1" t="s">
        <v>651</v>
      </c>
      <c r="E298" s="1">
        <v>2</v>
      </c>
      <c r="F298" s="1" t="s">
        <v>58</v>
      </c>
      <c r="I298" s="1">
        <v>3</v>
      </c>
      <c r="J298" s="1" t="b">
        <v>1</v>
      </c>
      <c r="K298" s="1" t="b">
        <v>0</v>
      </c>
      <c r="L298" s="1" t="s">
        <v>652</v>
      </c>
      <c r="M298" s="1">
        <v>2131007</v>
      </c>
      <c r="N298" s="1" t="b">
        <v>0</v>
      </c>
      <c r="O298" s="1" t="s">
        <v>653</v>
      </c>
      <c r="R298" s="1">
        <v>999999</v>
      </c>
    </row>
    <row r="299" spans="1:18">
      <c r="A299" s="1">
        <v>1131301</v>
      </c>
      <c r="C299" s="1">
        <v>1131301</v>
      </c>
      <c r="D299" s="1" t="s">
        <v>654</v>
      </c>
      <c r="E299" s="1">
        <v>2</v>
      </c>
      <c r="F299" s="1" t="s">
        <v>58</v>
      </c>
      <c r="I299" s="1">
        <v>4</v>
      </c>
      <c r="J299" s="1" t="b">
        <v>1</v>
      </c>
      <c r="K299" s="1" t="b">
        <v>0</v>
      </c>
      <c r="L299" s="1" t="s">
        <v>655</v>
      </c>
      <c r="M299" s="1">
        <v>2131001</v>
      </c>
      <c r="N299" s="1" t="b">
        <v>0</v>
      </c>
      <c r="O299" s="1" t="s">
        <v>656</v>
      </c>
      <c r="R299" s="1">
        <v>999999</v>
      </c>
    </row>
    <row r="300" spans="1:18">
      <c r="A300" s="1">
        <v>1131302</v>
      </c>
      <c r="C300" s="1">
        <v>1131302</v>
      </c>
      <c r="D300" s="1" t="s">
        <v>657</v>
      </c>
      <c r="E300" s="1">
        <v>2</v>
      </c>
      <c r="F300" s="1" t="s">
        <v>58</v>
      </c>
      <c r="I300" s="1">
        <v>4</v>
      </c>
      <c r="J300" s="1" t="b">
        <v>1</v>
      </c>
      <c r="K300" s="1" t="b">
        <v>0</v>
      </c>
      <c r="L300" s="1" t="s">
        <v>658</v>
      </c>
      <c r="M300" s="1">
        <v>2131002</v>
      </c>
      <c r="N300" s="1" t="b">
        <v>0</v>
      </c>
      <c r="O300" s="1" t="s">
        <v>607</v>
      </c>
      <c r="R300" s="1">
        <v>999999</v>
      </c>
    </row>
    <row r="301" spans="1:18">
      <c r="A301" s="1">
        <v>1131303</v>
      </c>
      <c r="C301" s="1">
        <v>1131303</v>
      </c>
      <c r="D301" s="1" t="s">
        <v>659</v>
      </c>
      <c r="E301" s="1">
        <v>2</v>
      </c>
      <c r="F301" s="1" t="s">
        <v>58</v>
      </c>
      <c r="I301" s="1">
        <v>4</v>
      </c>
      <c r="J301" s="1" t="b">
        <v>1</v>
      </c>
      <c r="K301" s="1" t="b">
        <v>0</v>
      </c>
      <c r="L301" s="1" t="s">
        <v>660</v>
      </c>
      <c r="M301" s="1">
        <v>2131003</v>
      </c>
      <c r="N301" s="1" t="b">
        <v>0</v>
      </c>
      <c r="O301" s="1" t="s">
        <v>610</v>
      </c>
      <c r="R301" s="1">
        <v>999999</v>
      </c>
    </row>
    <row r="302" spans="1:18">
      <c r="A302" s="1">
        <v>1131304</v>
      </c>
      <c r="C302" s="1">
        <v>1131304</v>
      </c>
      <c r="D302" s="1" t="s">
        <v>661</v>
      </c>
      <c r="E302" s="1">
        <v>2</v>
      </c>
      <c r="F302" s="1" t="s">
        <v>58</v>
      </c>
      <c r="I302" s="1">
        <v>4</v>
      </c>
      <c r="J302" s="1" t="b">
        <v>1</v>
      </c>
      <c r="K302" s="1" t="b">
        <v>0</v>
      </c>
      <c r="L302" s="1" t="s">
        <v>662</v>
      </c>
      <c r="M302" s="1">
        <v>2131004</v>
      </c>
      <c r="N302" s="1" t="b">
        <v>0</v>
      </c>
      <c r="O302" s="1" t="s">
        <v>613</v>
      </c>
      <c r="R302" s="1">
        <v>999999</v>
      </c>
    </row>
    <row r="303" spans="1:18">
      <c r="A303" s="1">
        <v>1131305</v>
      </c>
      <c r="C303" s="1">
        <v>1131305</v>
      </c>
      <c r="D303" s="20" t="s">
        <v>663</v>
      </c>
      <c r="E303" s="1">
        <v>2</v>
      </c>
      <c r="F303" s="1" t="s">
        <v>58</v>
      </c>
      <c r="I303" s="1">
        <v>4</v>
      </c>
      <c r="J303" s="1" t="b">
        <v>1</v>
      </c>
      <c r="K303" s="1" t="b">
        <v>0</v>
      </c>
      <c r="L303" s="1" t="s">
        <v>664</v>
      </c>
      <c r="M303" s="1">
        <v>2131005</v>
      </c>
      <c r="N303" s="1" t="b">
        <v>0</v>
      </c>
      <c r="O303" s="1" t="s">
        <v>633</v>
      </c>
      <c r="R303" s="1">
        <v>999999</v>
      </c>
    </row>
    <row r="304" spans="1:18">
      <c r="A304" s="1">
        <v>1131306</v>
      </c>
      <c r="C304" s="1">
        <v>1131306</v>
      </c>
      <c r="D304" s="1" t="s">
        <v>665</v>
      </c>
      <c r="E304" s="1">
        <v>2</v>
      </c>
      <c r="F304" s="1" t="s">
        <v>58</v>
      </c>
      <c r="I304" s="1">
        <v>4</v>
      </c>
      <c r="J304" s="1" t="b">
        <v>1</v>
      </c>
      <c r="K304" s="1" t="b">
        <v>0</v>
      </c>
      <c r="L304" s="1" t="s">
        <v>666</v>
      </c>
      <c r="M304" s="1">
        <v>2131006</v>
      </c>
      <c r="N304" s="1" t="b">
        <v>0</v>
      </c>
      <c r="O304" s="1" t="s">
        <v>619</v>
      </c>
      <c r="R304" s="1">
        <v>999999</v>
      </c>
    </row>
    <row r="305" spans="1:18">
      <c r="A305" s="1">
        <v>1131307</v>
      </c>
      <c r="C305" s="1">
        <v>1131307</v>
      </c>
      <c r="D305" s="1" t="s">
        <v>667</v>
      </c>
      <c r="E305" s="1">
        <v>2</v>
      </c>
      <c r="F305" s="1" t="s">
        <v>58</v>
      </c>
      <c r="I305" s="1">
        <v>4</v>
      </c>
      <c r="J305" s="1" t="b">
        <v>1</v>
      </c>
      <c r="K305" s="1" t="b">
        <v>0</v>
      </c>
      <c r="L305" s="1" t="s">
        <v>668</v>
      </c>
      <c r="M305" s="1">
        <v>2131007</v>
      </c>
      <c r="N305" s="1" t="b">
        <v>0</v>
      </c>
      <c r="O305" s="1" t="s">
        <v>669</v>
      </c>
      <c r="R305" s="1">
        <v>999999</v>
      </c>
    </row>
    <row r="306" spans="1:18">
      <c r="A306" s="1">
        <v>1131401</v>
      </c>
      <c r="C306" s="1">
        <v>1131401</v>
      </c>
      <c r="D306" s="1" t="s">
        <v>670</v>
      </c>
      <c r="E306" s="1">
        <v>2</v>
      </c>
      <c r="F306" s="1" t="s">
        <v>58</v>
      </c>
      <c r="I306" s="1">
        <v>5</v>
      </c>
      <c r="J306" s="1" t="b">
        <v>1</v>
      </c>
      <c r="K306" s="1" t="b">
        <v>0</v>
      </c>
      <c r="L306" s="1" t="s">
        <v>671</v>
      </c>
      <c r="M306" s="1">
        <v>2131001</v>
      </c>
      <c r="N306" s="1" t="b">
        <v>0</v>
      </c>
      <c r="O306" s="1" t="s">
        <v>604</v>
      </c>
      <c r="R306" s="1">
        <v>999999</v>
      </c>
    </row>
    <row r="307" spans="1:18">
      <c r="A307" s="1">
        <v>1131402</v>
      </c>
      <c r="C307" s="1">
        <v>1131402</v>
      </c>
      <c r="D307" s="1" t="s">
        <v>672</v>
      </c>
      <c r="E307" s="1">
        <v>2</v>
      </c>
      <c r="F307" s="1" t="s">
        <v>58</v>
      </c>
      <c r="I307" s="1">
        <v>5</v>
      </c>
      <c r="J307" s="1" t="b">
        <v>1</v>
      </c>
      <c r="K307" s="1" t="b">
        <v>0</v>
      </c>
      <c r="L307" s="1" t="s">
        <v>673</v>
      </c>
      <c r="M307" s="1">
        <v>2131002</v>
      </c>
      <c r="N307" s="1" t="b">
        <v>0</v>
      </c>
      <c r="O307" s="1" t="s">
        <v>607</v>
      </c>
      <c r="R307" s="1">
        <v>999999</v>
      </c>
    </row>
    <row r="308" spans="1:18">
      <c r="A308" s="1">
        <v>1131403</v>
      </c>
      <c r="C308" s="1">
        <v>1131403</v>
      </c>
      <c r="D308" s="1" t="s">
        <v>674</v>
      </c>
      <c r="E308" s="1">
        <v>2</v>
      </c>
      <c r="F308" s="1" t="s">
        <v>58</v>
      </c>
      <c r="I308" s="1">
        <v>5</v>
      </c>
      <c r="J308" s="1" t="b">
        <v>1</v>
      </c>
      <c r="K308" s="1" t="b">
        <v>0</v>
      </c>
      <c r="L308" s="1" t="s">
        <v>675</v>
      </c>
      <c r="M308" s="1">
        <v>2131003</v>
      </c>
      <c r="N308" s="1" t="b">
        <v>0</v>
      </c>
      <c r="O308" s="1" t="s">
        <v>610</v>
      </c>
      <c r="R308" s="1">
        <v>999999</v>
      </c>
    </row>
    <row r="309" spans="1:18">
      <c r="A309" s="1">
        <v>1131404</v>
      </c>
      <c r="C309" s="1">
        <v>1131404</v>
      </c>
      <c r="D309" s="1" t="s">
        <v>676</v>
      </c>
      <c r="E309" s="1">
        <v>2</v>
      </c>
      <c r="F309" s="1" t="s">
        <v>58</v>
      </c>
      <c r="I309" s="1">
        <v>5</v>
      </c>
      <c r="J309" s="1" t="b">
        <v>1</v>
      </c>
      <c r="K309" s="1" t="b">
        <v>0</v>
      </c>
      <c r="L309" s="1" t="s">
        <v>677</v>
      </c>
      <c r="M309" s="1">
        <v>2131004</v>
      </c>
      <c r="N309" s="1" t="b">
        <v>0</v>
      </c>
      <c r="O309" s="1" t="s">
        <v>613</v>
      </c>
      <c r="R309" s="1">
        <v>999999</v>
      </c>
    </row>
    <row r="310" spans="1:18">
      <c r="A310" s="1">
        <v>1131405</v>
      </c>
      <c r="C310" s="1">
        <v>1131405</v>
      </c>
      <c r="D310" s="20" t="s">
        <v>678</v>
      </c>
      <c r="E310" s="1">
        <v>2</v>
      </c>
      <c r="F310" s="1" t="s">
        <v>58</v>
      </c>
      <c r="I310" s="1">
        <v>5</v>
      </c>
      <c r="J310" s="1" t="b">
        <v>1</v>
      </c>
      <c r="K310" s="1" t="b">
        <v>0</v>
      </c>
      <c r="L310" s="1" t="s">
        <v>679</v>
      </c>
      <c r="M310" s="1">
        <v>2131005</v>
      </c>
      <c r="N310" s="1" t="b">
        <v>0</v>
      </c>
      <c r="O310" s="1" t="s">
        <v>633</v>
      </c>
      <c r="R310" s="1">
        <v>999999</v>
      </c>
    </row>
    <row r="311" spans="1:18">
      <c r="A311" s="1">
        <v>1131406</v>
      </c>
      <c r="C311" s="1">
        <v>1131406</v>
      </c>
      <c r="D311" s="1" t="s">
        <v>680</v>
      </c>
      <c r="E311" s="1">
        <v>2</v>
      </c>
      <c r="F311" s="1" t="s">
        <v>58</v>
      </c>
      <c r="I311" s="1">
        <v>5</v>
      </c>
      <c r="J311" s="1" t="b">
        <v>1</v>
      </c>
      <c r="K311" s="1" t="b">
        <v>0</v>
      </c>
      <c r="L311" s="1" t="s">
        <v>681</v>
      </c>
      <c r="M311" s="1">
        <v>2131006</v>
      </c>
      <c r="N311" s="1" t="b">
        <v>0</v>
      </c>
      <c r="O311" s="1" t="s">
        <v>619</v>
      </c>
      <c r="R311" s="1">
        <v>999999</v>
      </c>
    </row>
    <row r="312" spans="1:18">
      <c r="A312" s="1">
        <v>1131407</v>
      </c>
      <c r="C312" s="1">
        <v>1131407</v>
      </c>
      <c r="D312" s="1" t="s">
        <v>682</v>
      </c>
      <c r="E312" s="1">
        <v>2</v>
      </c>
      <c r="F312" s="1" t="s">
        <v>58</v>
      </c>
      <c r="I312" s="1">
        <v>5</v>
      </c>
      <c r="J312" s="1" t="b">
        <v>1</v>
      </c>
      <c r="K312" s="1" t="b">
        <v>0</v>
      </c>
      <c r="L312" s="1" t="s">
        <v>683</v>
      </c>
      <c r="M312" s="1">
        <v>2131007</v>
      </c>
      <c r="N312" s="1" t="b">
        <v>0</v>
      </c>
      <c r="O312" s="1" t="s">
        <v>684</v>
      </c>
      <c r="R312" s="1">
        <v>999999</v>
      </c>
    </row>
    <row r="313" spans="1:18">
      <c r="A313" s="1">
        <v>1140001</v>
      </c>
      <c r="C313" s="1">
        <v>1140001</v>
      </c>
      <c r="D313" s="1" t="s">
        <v>685</v>
      </c>
      <c r="E313" s="1">
        <v>2</v>
      </c>
      <c r="F313" s="1" t="s">
        <v>58</v>
      </c>
      <c r="I313" s="1">
        <v>1</v>
      </c>
      <c r="J313" s="1" t="b">
        <v>0</v>
      </c>
      <c r="K313" s="1" t="b">
        <v>0</v>
      </c>
      <c r="L313" s="1" t="s">
        <v>686</v>
      </c>
      <c r="M313" s="1">
        <v>2140001</v>
      </c>
      <c r="N313" s="1" t="b">
        <v>0</v>
      </c>
      <c r="O313" s="1" t="s">
        <v>687</v>
      </c>
      <c r="R313" s="1">
        <v>1</v>
      </c>
    </row>
    <row r="314" spans="1:18">
      <c r="A314" s="1">
        <v>1140002</v>
      </c>
      <c r="C314" s="1">
        <v>1140002</v>
      </c>
      <c r="D314" s="1" t="s">
        <v>688</v>
      </c>
      <c r="E314" s="1">
        <v>2</v>
      </c>
      <c r="F314" s="1" t="s">
        <v>58</v>
      </c>
      <c r="I314" s="1">
        <v>2</v>
      </c>
      <c r="J314" s="1" t="b">
        <v>0</v>
      </c>
      <c r="K314" s="1" t="b">
        <v>0</v>
      </c>
      <c r="L314" s="1" t="s">
        <v>689</v>
      </c>
      <c r="M314" s="1">
        <v>2140002</v>
      </c>
      <c r="N314" s="1" t="b">
        <v>0</v>
      </c>
      <c r="O314" s="1" t="s">
        <v>690</v>
      </c>
      <c r="R314" s="1">
        <v>1</v>
      </c>
    </row>
    <row r="315" spans="1:18">
      <c r="A315" s="1">
        <v>1140003</v>
      </c>
      <c r="C315" s="1">
        <v>1140003</v>
      </c>
      <c r="D315" s="1" t="s">
        <v>691</v>
      </c>
      <c r="E315" s="1">
        <v>2</v>
      </c>
      <c r="F315" s="1" t="s">
        <v>58</v>
      </c>
      <c r="I315" s="1">
        <v>3</v>
      </c>
      <c r="J315" s="1" t="b">
        <v>0</v>
      </c>
      <c r="K315" s="1" t="b">
        <v>0</v>
      </c>
      <c r="L315" s="1" t="s">
        <v>692</v>
      </c>
      <c r="M315" s="1">
        <v>2140003</v>
      </c>
      <c r="N315" s="1" t="b">
        <v>0</v>
      </c>
      <c r="O315" s="1" t="s">
        <v>693</v>
      </c>
      <c r="R315" s="1">
        <v>1</v>
      </c>
    </row>
    <row r="316" spans="1:18">
      <c r="A316" s="1">
        <v>1140004</v>
      </c>
      <c r="C316" s="1">
        <v>1140004</v>
      </c>
      <c r="D316" s="1" t="s">
        <v>694</v>
      </c>
      <c r="E316" s="1">
        <v>2</v>
      </c>
      <c r="F316" s="1" t="s">
        <v>58</v>
      </c>
      <c r="I316" s="1">
        <v>4</v>
      </c>
      <c r="J316" s="1" t="b">
        <v>0</v>
      </c>
      <c r="K316" s="1" t="b">
        <v>0</v>
      </c>
      <c r="L316" s="1" t="s">
        <v>695</v>
      </c>
      <c r="M316" s="1">
        <v>2140004</v>
      </c>
      <c r="N316" s="1" t="b">
        <v>0</v>
      </c>
      <c r="O316" s="1" t="s">
        <v>696</v>
      </c>
      <c r="R316" s="1">
        <v>1</v>
      </c>
    </row>
    <row r="317" spans="1:18">
      <c r="A317" s="1">
        <v>1140005</v>
      </c>
      <c r="C317" s="1">
        <v>1140005</v>
      </c>
      <c r="D317" s="1" t="s">
        <v>697</v>
      </c>
      <c r="E317" s="1">
        <v>2</v>
      </c>
      <c r="F317" s="1" t="s">
        <v>58</v>
      </c>
      <c r="I317" s="1">
        <v>5</v>
      </c>
      <c r="J317" s="1" t="b">
        <v>0</v>
      </c>
      <c r="K317" s="1" t="b">
        <v>0</v>
      </c>
      <c r="L317" s="1" t="s">
        <v>698</v>
      </c>
      <c r="M317" s="1">
        <v>2140005</v>
      </c>
      <c r="N317" s="1" t="b">
        <v>0</v>
      </c>
      <c r="O317" s="1" t="s">
        <v>699</v>
      </c>
      <c r="R317" s="1">
        <v>1</v>
      </c>
    </row>
    <row r="318" spans="1:18">
      <c r="A318" s="1">
        <v>1140006</v>
      </c>
      <c r="C318" s="1">
        <v>1140006</v>
      </c>
      <c r="D318" s="1" t="s">
        <v>700</v>
      </c>
      <c r="E318" s="1">
        <v>2</v>
      </c>
      <c r="F318" s="1" t="s">
        <v>58</v>
      </c>
      <c r="I318" s="1">
        <v>6</v>
      </c>
      <c r="J318" s="1" t="b">
        <v>0</v>
      </c>
      <c r="K318" s="1" t="b">
        <v>0</v>
      </c>
      <c r="L318" s="1" t="s">
        <v>701</v>
      </c>
      <c r="M318" s="1">
        <v>2140006</v>
      </c>
      <c r="N318" s="1" t="b">
        <v>0</v>
      </c>
      <c r="O318" s="1" t="s">
        <v>702</v>
      </c>
      <c r="R318" s="1">
        <v>1</v>
      </c>
    </row>
    <row r="319" spans="1:18">
      <c r="A319" s="1">
        <v>1150001</v>
      </c>
      <c r="C319" s="1">
        <v>1150001</v>
      </c>
      <c r="D319" s="1" t="s">
        <v>703</v>
      </c>
      <c r="E319" s="1">
        <v>2</v>
      </c>
      <c r="F319" s="1" t="s">
        <v>58</v>
      </c>
      <c r="I319" s="1">
        <v>2</v>
      </c>
      <c r="J319" s="1" t="b">
        <v>0</v>
      </c>
      <c r="K319" s="1" t="b">
        <v>0</v>
      </c>
      <c r="L319" s="1" t="s">
        <v>704</v>
      </c>
      <c r="M319" s="1">
        <v>2150001</v>
      </c>
      <c r="N319" s="1" t="b">
        <v>0</v>
      </c>
      <c r="O319" s="1" t="str">
        <f>"激活“"&amp;D319&amp;"”勋章\n获得途径：完成指定成就任务"</f>
        <v>激活“打卡卫士”勋章\n获得途径：完成指定成就任务</v>
      </c>
      <c r="R319" s="1">
        <v>1</v>
      </c>
    </row>
    <row r="320" spans="1:18">
      <c r="A320" s="1">
        <v>1150002</v>
      </c>
      <c r="C320" s="1">
        <v>1150002</v>
      </c>
      <c r="D320" s="1" t="s">
        <v>705</v>
      </c>
      <c r="E320" s="1">
        <v>2</v>
      </c>
      <c r="F320" s="1" t="s">
        <v>58</v>
      </c>
      <c r="I320" s="1">
        <v>2</v>
      </c>
      <c r="J320" s="1" t="b">
        <v>0</v>
      </c>
      <c r="K320" s="1" t="b">
        <v>0</v>
      </c>
      <c r="L320" s="1" t="s">
        <v>706</v>
      </c>
      <c r="M320" s="1">
        <v>2150002</v>
      </c>
      <c r="N320" s="1" t="b">
        <v>0</v>
      </c>
      <c r="O320" s="1" t="str">
        <f t="shared" ref="O320:O351" si="6">"激活“"&amp;D320&amp;"”勋章\n获得途径：完成指定成就任务"</f>
        <v>激活“成长之路”勋章\n获得途径：完成指定成就任务</v>
      </c>
      <c r="R320" s="1">
        <v>1</v>
      </c>
    </row>
    <row r="321" spans="1:18">
      <c r="A321" s="1">
        <v>1150003</v>
      </c>
      <c r="C321" s="1">
        <v>1150003</v>
      </c>
      <c r="D321" s="1" t="s">
        <v>707</v>
      </c>
      <c r="E321" s="1">
        <v>2</v>
      </c>
      <c r="F321" s="1" t="s">
        <v>58</v>
      </c>
      <c r="I321" s="1">
        <v>2</v>
      </c>
      <c r="J321" s="1" t="b">
        <v>0</v>
      </c>
      <c r="K321" s="1" t="b">
        <v>0</v>
      </c>
      <c r="L321" s="1" t="s">
        <v>708</v>
      </c>
      <c r="M321" s="1">
        <v>2150003</v>
      </c>
      <c r="N321" s="1" t="b">
        <v>0</v>
      </c>
      <c r="O321" s="1" t="str">
        <f t="shared" si="6"/>
        <v>激活“转轮高手”勋章\n获得途径：完成指定成就任务</v>
      </c>
      <c r="R321" s="1">
        <v>1</v>
      </c>
    </row>
    <row r="322" spans="1:18">
      <c r="A322" s="1">
        <v>1150004</v>
      </c>
      <c r="C322" s="1">
        <v>1150004</v>
      </c>
      <c r="D322" s="1" t="s">
        <v>709</v>
      </c>
      <c r="E322" s="1">
        <v>2</v>
      </c>
      <c r="F322" s="1" t="s">
        <v>58</v>
      </c>
      <c r="I322" s="1">
        <v>2</v>
      </c>
      <c r="J322" s="1" t="b">
        <v>0</v>
      </c>
      <c r="K322" s="1" t="b">
        <v>0</v>
      </c>
      <c r="L322" s="1" t="s">
        <v>710</v>
      </c>
      <c r="M322" s="1">
        <v>2150004</v>
      </c>
      <c r="N322" s="1" t="b">
        <v>0</v>
      </c>
      <c r="O322" s="1" t="str">
        <f t="shared" si="6"/>
        <v>激活“大赢家”勋章\n获得途径：完成指定成就任务</v>
      </c>
      <c r="R322" s="1">
        <v>1</v>
      </c>
    </row>
    <row r="323" spans="1:18">
      <c r="A323" s="1">
        <v>1150005</v>
      </c>
      <c r="C323" s="1">
        <v>1150005</v>
      </c>
      <c r="D323" s="1" t="s">
        <v>711</v>
      </c>
      <c r="E323" s="1">
        <v>2</v>
      </c>
      <c r="F323" s="1" t="s">
        <v>58</v>
      </c>
      <c r="I323" s="1">
        <v>2</v>
      </c>
      <c r="J323" s="1" t="b">
        <v>0</v>
      </c>
      <c r="K323" s="1" t="b">
        <v>0</v>
      </c>
      <c r="L323" s="1" t="s">
        <v>712</v>
      </c>
      <c r="M323" s="1">
        <v>2150005</v>
      </c>
      <c r="N323" s="1" t="b">
        <v>0</v>
      </c>
      <c r="O323" s="1" t="str">
        <f t="shared" si="6"/>
        <v>激活“转轮精英”勋章\n获得途径：完成指定成就任务</v>
      </c>
      <c r="R323" s="1">
        <v>1</v>
      </c>
    </row>
    <row r="324" spans="1:18">
      <c r="A324" s="1">
        <v>1150006</v>
      </c>
      <c r="C324" s="1">
        <v>1150006</v>
      </c>
      <c r="D324" s="1" t="s">
        <v>713</v>
      </c>
      <c r="E324" s="1">
        <v>2</v>
      </c>
      <c r="F324" s="1" t="s">
        <v>58</v>
      </c>
      <c r="I324" s="1">
        <v>2</v>
      </c>
      <c r="J324" s="1" t="b">
        <v>0</v>
      </c>
      <c r="K324" s="1" t="b">
        <v>0</v>
      </c>
      <c r="L324" s="1" t="s">
        <v>714</v>
      </c>
      <c r="M324" s="1">
        <v>2150006</v>
      </c>
      <c r="N324" s="1" t="b">
        <v>0</v>
      </c>
      <c r="O324" s="1" t="str">
        <f t="shared" si="6"/>
        <v>激活“幸运之星”勋章\n获得途径：完成指定成就任务</v>
      </c>
      <c r="R324" s="1">
        <v>1</v>
      </c>
    </row>
    <row r="325" spans="1:18">
      <c r="A325" s="1">
        <v>1150007</v>
      </c>
      <c r="C325" s="1">
        <v>1150007</v>
      </c>
      <c r="D325" s="1" t="s">
        <v>715</v>
      </c>
      <c r="E325" s="1">
        <v>2</v>
      </c>
      <c r="F325" s="1" t="s">
        <v>58</v>
      </c>
      <c r="I325" s="1">
        <v>2</v>
      </c>
      <c r="J325" s="1" t="b">
        <v>0</v>
      </c>
      <c r="K325" s="1" t="b">
        <v>0</v>
      </c>
      <c r="L325" s="1" t="s">
        <v>716</v>
      </c>
      <c r="M325" s="1">
        <v>2150007</v>
      </c>
      <c r="N325" s="1" t="b">
        <v>0</v>
      </c>
      <c r="O325" s="1" t="str">
        <f t="shared" si="6"/>
        <v>激活“游戏收集者”勋章\n获得途径：完成指定成就任务</v>
      </c>
      <c r="R325" s="1">
        <v>1</v>
      </c>
    </row>
    <row r="326" spans="1:18">
      <c r="A326" s="1">
        <v>1150008</v>
      </c>
      <c r="C326" s="1">
        <v>1150008</v>
      </c>
      <c r="D326" s="1" t="s">
        <v>717</v>
      </c>
      <c r="E326" s="1">
        <v>2</v>
      </c>
      <c r="F326" s="1" t="s">
        <v>58</v>
      </c>
      <c r="I326" s="1">
        <v>2</v>
      </c>
      <c r="J326" s="1" t="b">
        <v>0</v>
      </c>
      <c r="K326" s="1" t="b">
        <v>0</v>
      </c>
      <c r="L326" s="1" t="s">
        <v>718</v>
      </c>
      <c r="M326" s="1">
        <v>2150008</v>
      </c>
      <c r="N326" s="1" t="b">
        <v>0</v>
      </c>
      <c r="O326" s="1" t="str">
        <f t="shared" si="6"/>
        <v>激活“建筑能手”勋章\n获得途径：完成指定成就任务</v>
      </c>
      <c r="R326" s="1">
        <v>1</v>
      </c>
    </row>
    <row r="327" spans="1:18">
      <c r="A327" s="1">
        <v>1150009</v>
      </c>
      <c r="C327" s="1">
        <v>1150009</v>
      </c>
      <c r="D327" s="1" t="s">
        <v>719</v>
      </c>
      <c r="E327" s="1">
        <v>2</v>
      </c>
      <c r="F327" s="1" t="s">
        <v>58</v>
      </c>
      <c r="I327" s="1">
        <v>2</v>
      </c>
      <c r="J327" s="1" t="b">
        <v>0</v>
      </c>
      <c r="K327" s="1" t="b">
        <v>0</v>
      </c>
      <c r="L327" s="1" t="s">
        <v>720</v>
      </c>
      <c r="M327" s="1">
        <v>2150009</v>
      </c>
      <c r="N327" s="1" t="b">
        <v>0</v>
      </c>
      <c r="O327" s="1" t="str">
        <f t="shared" si="6"/>
        <v>激活“百万富豪”勋章\n获得途径：完成指定成就任务</v>
      </c>
      <c r="R327" s="1">
        <v>1</v>
      </c>
    </row>
    <row r="328" spans="1:18">
      <c r="A328" s="1">
        <v>1150010</v>
      </c>
      <c r="C328" s="1">
        <v>1150010</v>
      </c>
      <c r="D328" s="1" t="s">
        <v>721</v>
      </c>
      <c r="E328" s="1">
        <v>2</v>
      </c>
      <c r="F328" s="1" t="s">
        <v>58</v>
      </c>
      <c r="I328" s="1">
        <v>2</v>
      </c>
      <c r="J328" s="1" t="b">
        <v>0</v>
      </c>
      <c r="K328" s="1" t="b">
        <v>0</v>
      </c>
      <c r="L328" s="1" t="s">
        <v>722</v>
      </c>
      <c r="M328" s="1">
        <v>2150010</v>
      </c>
      <c r="N328" s="1" t="b">
        <v>0</v>
      </c>
      <c r="O328" s="1" t="str">
        <f t="shared" si="6"/>
        <v>激活“能量收集者”勋章\n获得途径：完成指定成就任务</v>
      </c>
      <c r="R328" s="1">
        <v>1</v>
      </c>
    </row>
    <row r="329" spans="1:18">
      <c r="A329" s="1">
        <v>1150011</v>
      </c>
      <c r="C329" s="1">
        <v>1150011</v>
      </c>
      <c r="D329" s="1" t="s">
        <v>723</v>
      </c>
      <c r="E329" s="1">
        <v>2</v>
      </c>
      <c r="F329" s="1" t="s">
        <v>58</v>
      </c>
      <c r="I329" s="1">
        <v>2</v>
      </c>
      <c r="J329" s="1" t="b">
        <v>0</v>
      </c>
      <c r="K329" s="1" t="b">
        <v>0</v>
      </c>
      <c r="L329" s="1" t="s">
        <v>724</v>
      </c>
      <c r="M329" s="1">
        <v>2150011</v>
      </c>
      <c r="N329" s="1" t="b">
        <v>0</v>
      </c>
      <c r="O329" s="1" t="str">
        <f t="shared" si="6"/>
        <v>激活“金币大师”勋章\n获得途径：完成指定成就任务</v>
      </c>
      <c r="R329" s="1">
        <v>1</v>
      </c>
    </row>
    <row r="330" spans="1:18">
      <c r="A330" s="1">
        <v>1150012</v>
      </c>
      <c r="C330" s="1">
        <v>1150012</v>
      </c>
      <c r="D330" s="1" t="s">
        <v>725</v>
      </c>
      <c r="E330" s="1">
        <v>2</v>
      </c>
      <c r="F330" s="1" t="s">
        <v>58</v>
      </c>
      <c r="I330" s="1">
        <v>2</v>
      </c>
      <c r="J330" s="1" t="b">
        <v>0</v>
      </c>
      <c r="K330" s="1" t="b">
        <v>0</v>
      </c>
      <c r="L330" s="1" t="s">
        <v>726</v>
      </c>
      <c r="M330" s="1">
        <v>2150012</v>
      </c>
      <c r="N330" s="1" t="b">
        <v>0</v>
      </c>
      <c r="O330" s="1" t="str">
        <f t="shared" si="6"/>
        <v>激活“钻石富豪”勋章\n获得途径：完成指定成就任务</v>
      </c>
      <c r="R330" s="1">
        <v>1</v>
      </c>
    </row>
    <row r="331" spans="1:18">
      <c r="A331" s="1">
        <v>1150013</v>
      </c>
      <c r="C331" s="1">
        <v>1150013</v>
      </c>
      <c r="D331" s="1" t="s">
        <v>727</v>
      </c>
      <c r="E331" s="1">
        <v>2</v>
      </c>
      <c r="F331" s="1" t="s">
        <v>58</v>
      </c>
      <c r="I331" s="1">
        <v>2</v>
      </c>
      <c r="J331" s="1" t="b">
        <v>0</v>
      </c>
      <c r="K331" s="1" t="b">
        <v>0</v>
      </c>
      <c r="L331" s="1" t="s">
        <v>728</v>
      </c>
      <c r="M331" s="1">
        <v>2150013</v>
      </c>
      <c r="N331" s="1" t="b">
        <v>0</v>
      </c>
      <c r="O331" s="1" t="str">
        <f t="shared" si="6"/>
        <v>激活“招商能手”勋章\n获得途径：完成指定成就任务</v>
      </c>
      <c r="R331" s="1">
        <v>1</v>
      </c>
    </row>
    <row r="332" spans="1:18">
      <c r="A332" s="1">
        <v>1150014</v>
      </c>
      <c r="C332" s="1">
        <v>1150014</v>
      </c>
      <c r="D332" s="1" t="s">
        <v>729</v>
      </c>
      <c r="E332" s="1">
        <v>2</v>
      </c>
      <c r="F332" s="1" t="s">
        <v>58</v>
      </c>
      <c r="I332" s="1">
        <v>2</v>
      </c>
      <c r="J332" s="1" t="b">
        <v>0</v>
      </c>
      <c r="K332" s="1" t="b">
        <v>0</v>
      </c>
      <c r="L332" s="1" t="s">
        <v>730</v>
      </c>
      <c r="M332" s="1">
        <v>2150014</v>
      </c>
      <c r="N332" s="1" t="b">
        <v>0</v>
      </c>
      <c r="O332" s="1" t="str">
        <f t="shared" si="6"/>
        <v>激活“娱乐CEO”勋章\n获得途径：完成指定成就任务</v>
      </c>
      <c r="R332" s="1">
        <v>1</v>
      </c>
    </row>
    <row r="333" spans="1:18">
      <c r="A333" s="1">
        <v>1150015</v>
      </c>
      <c r="C333" s="1">
        <v>1150015</v>
      </c>
      <c r="D333" s="1" t="s">
        <v>731</v>
      </c>
      <c r="E333" s="1">
        <v>2</v>
      </c>
      <c r="F333" s="1" t="s">
        <v>58</v>
      </c>
      <c r="I333" s="1">
        <v>2</v>
      </c>
      <c r="J333" s="1" t="b">
        <v>0</v>
      </c>
      <c r="K333" s="1" t="b">
        <v>0</v>
      </c>
      <c r="L333" s="1" t="s">
        <v>732</v>
      </c>
      <c r="M333" s="1">
        <v>2150015</v>
      </c>
      <c r="N333" s="1" t="b">
        <v>0</v>
      </c>
      <c r="O333" s="1" t="str">
        <f t="shared" si="6"/>
        <v>激活“人气爆棚”勋章\n获得途径：完成指定成就任务</v>
      </c>
      <c r="R333" s="1">
        <v>1</v>
      </c>
    </row>
    <row r="334" spans="1:18">
      <c r="A334" s="1">
        <v>1150016</v>
      </c>
      <c r="C334" s="1">
        <v>1150016</v>
      </c>
      <c r="D334" s="1" t="s">
        <v>733</v>
      </c>
      <c r="E334" s="1">
        <v>2</v>
      </c>
      <c r="F334" s="1" t="s">
        <v>58</v>
      </c>
      <c r="I334" s="1">
        <v>3</v>
      </c>
      <c r="J334" s="1" t="b">
        <v>0</v>
      </c>
      <c r="K334" s="1" t="b">
        <v>0</v>
      </c>
      <c r="L334" s="1" t="s">
        <v>734</v>
      </c>
      <c r="M334" s="1">
        <v>2150016</v>
      </c>
      <c r="N334" s="1" t="b">
        <v>0</v>
      </c>
      <c r="O334" s="1" t="str">
        <f t="shared" si="6"/>
        <v>激活“建筑大师”勋章\n获得途径：完成指定成就任务</v>
      </c>
      <c r="R334" s="1">
        <v>1</v>
      </c>
    </row>
    <row r="335" spans="1:18">
      <c r="A335" s="1">
        <v>1150017</v>
      </c>
      <c r="C335" s="1">
        <v>1150017</v>
      </c>
      <c r="D335" s="1" t="s">
        <v>735</v>
      </c>
      <c r="E335" s="1">
        <v>2</v>
      </c>
      <c r="F335" s="1" t="s">
        <v>58</v>
      </c>
      <c r="I335" s="1">
        <v>3</v>
      </c>
      <c r="J335" s="1" t="b">
        <v>0</v>
      </c>
      <c r="K335" s="1" t="b">
        <v>0</v>
      </c>
      <c r="L335" s="1" t="s">
        <v>736</v>
      </c>
      <c r="M335" s="1">
        <v>2150017</v>
      </c>
      <c r="N335" s="1" t="b">
        <v>0</v>
      </c>
      <c r="O335" s="1" t="str">
        <f t="shared" si="6"/>
        <v>激活“人气之王”勋章\n获得途径：完成指定成就任务</v>
      </c>
      <c r="R335" s="1">
        <v>1</v>
      </c>
    </row>
    <row r="336" spans="1:18">
      <c r="A336" s="1">
        <v>1150018</v>
      </c>
      <c r="C336" s="1">
        <v>1150018</v>
      </c>
      <c r="D336" s="1" t="s">
        <v>737</v>
      </c>
      <c r="E336" s="1">
        <v>2</v>
      </c>
      <c r="F336" s="1" t="s">
        <v>58</v>
      </c>
      <c r="I336" s="1">
        <v>3</v>
      </c>
      <c r="J336" s="1" t="b">
        <v>0</v>
      </c>
      <c r="K336" s="1" t="b">
        <v>0</v>
      </c>
      <c r="L336" s="1" t="s">
        <v>738</v>
      </c>
      <c r="M336" s="1">
        <v>2150018</v>
      </c>
      <c r="N336" s="1" t="b">
        <v>0</v>
      </c>
      <c r="O336" s="1" t="str">
        <f t="shared" si="6"/>
        <v>激活“团队高管”勋章\n获得途径：完成指定成就任务</v>
      </c>
      <c r="R336" s="1">
        <v>1</v>
      </c>
    </row>
    <row r="337" spans="1:18">
      <c r="A337" s="1">
        <v>1150019</v>
      </c>
      <c r="C337" s="1">
        <v>1150019</v>
      </c>
      <c r="D337" s="1" t="s">
        <v>739</v>
      </c>
      <c r="E337" s="1">
        <v>2</v>
      </c>
      <c r="F337" s="1" t="s">
        <v>58</v>
      </c>
      <c r="I337" s="1">
        <v>3</v>
      </c>
      <c r="J337" s="1" t="b">
        <v>0</v>
      </c>
      <c r="K337" s="1" t="b">
        <v>0</v>
      </c>
      <c r="L337" s="1" t="s">
        <v>740</v>
      </c>
      <c r="M337" s="1">
        <v>2150019</v>
      </c>
      <c r="N337" s="1" t="b">
        <v>0</v>
      </c>
      <c r="O337" s="1" t="str">
        <f t="shared" si="6"/>
        <v>激活“培养能手”勋章\n获得途径：完成指定成就任务</v>
      </c>
      <c r="R337" s="1">
        <v>1</v>
      </c>
    </row>
    <row r="338" spans="1:18">
      <c r="A338" s="1">
        <v>1150020</v>
      </c>
      <c r="C338" s="1">
        <v>1150020</v>
      </c>
      <c r="D338" s="1" t="s">
        <v>741</v>
      </c>
      <c r="E338" s="1">
        <v>2</v>
      </c>
      <c r="F338" s="1" t="s">
        <v>58</v>
      </c>
      <c r="I338" s="1">
        <v>3</v>
      </c>
      <c r="J338" s="1" t="b">
        <v>0</v>
      </c>
      <c r="K338" s="1" t="b">
        <v>0</v>
      </c>
      <c r="L338" s="1" t="s">
        <v>742</v>
      </c>
      <c r="M338" s="1">
        <v>2150020</v>
      </c>
      <c r="N338" s="1" t="b">
        <v>0</v>
      </c>
      <c r="O338" s="1" t="str">
        <f t="shared" si="6"/>
        <v>激活“培养大师”勋章\n获得途径：完成指定成就任务</v>
      </c>
      <c r="R338" s="1">
        <v>1</v>
      </c>
    </row>
    <row r="339" spans="1:18">
      <c r="A339" s="1">
        <v>1150021</v>
      </c>
      <c r="C339" s="1">
        <v>1150021</v>
      </c>
      <c r="D339" s="1" t="s">
        <v>743</v>
      </c>
      <c r="E339" s="1">
        <v>2</v>
      </c>
      <c r="F339" s="1" t="s">
        <v>58</v>
      </c>
      <c r="I339" s="1">
        <v>3</v>
      </c>
      <c r="J339" s="1" t="b">
        <v>0</v>
      </c>
      <c r="K339" s="1" t="b">
        <v>0</v>
      </c>
      <c r="L339" s="1" t="s">
        <v>744</v>
      </c>
      <c r="M339" s="1">
        <v>2150021</v>
      </c>
      <c r="N339" s="1" t="b">
        <v>0</v>
      </c>
      <c r="O339" s="1" t="str">
        <f t="shared" si="6"/>
        <v>激活“培养专家”勋章\n获得途径：完成指定成就任务</v>
      </c>
      <c r="R339" s="1">
        <v>1</v>
      </c>
    </row>
    <row r="340" spans="1:18">
      <c r="A340" s="1">
        <v>1150022</v>
      </c>
      <c r="C340" s="1">
        <v>1150022</v>
      </c>
      <c r="D340" s="1" t="s">
        <v>745</v>
      </c>
      <c r="E340" s="1">
        <v>2</v>
      </c>
      <c r="F340" s="1" t="s">
        <v>58</v>
      </c>
      <c r="I340" s="1">
        <v>3</v>
      </c>
      <c r="J340" s="1" t="b">
        <v>0</v>
      </c>
      <c r="K340" s="1" t="b">
        <v>0</v>
      </c>
      <c r="L340" s="1" t="s">
        <v>746</v>
      </c>
      <c r="M340" s="1">
        <v>2150022</v>
      </c>
      <c r="N340" s="1" t="b">
        <v>0</v>
      </c>
      <c r="O340" s="1" t="str">
        <f t="shared" si="6"/>
        <v>激活“有点小钱”勋章\n获得途径：完成指定成就任务</v>
      </c>
      <c r="R340" s="1">
        <v>1</v>
      </c>
    </row>
    <row r="341" spans="1:18">
      <c r="A341" s="1">
        <v>1150023</v>
      </c>
      <c r="C341" s="1">
        <v>1150023</v>
      </c>
      <c r="D341" s="1" t="s">
        <v>747</v>
      </c>
      <c r="E341" s="1">
        <v>2</v>
      </c>
      <c r="F341" s="1" t="s">
        <v>58</v>
      </c>
      <c r="I341" s="1">
        <v>3</v>
      </c>
      <c r="J341" s="1" t="b">
        <v>0</v>
      </c>
      <c r="K341" s="1" t="b">
        <v>0</v>
      </c>
      <c r="L341" s="1" t="s">
        <v>748</v>
      </c>
      <c r="M341" s="1">
        <v>2150023</v>
      </c>
      <c r="N341" s="1" t="b">
        <v>0</v>
      </c>
      <c r="O341" s="1" t="str">
        <f t="shared" si="6"/>
        <v>激活“小有成就”勋章\n获得途径：完成指定成就任务</v>
      </c>
      <c r="R341" s="1">
        <v>1</v>
      </c>
    </row>
    <row r="342" spans="1:18">
      <c r="A342" s="1">
        <v>1150024</v>
      </c>
      <c r="C342" s="1">
        <v>1150024</v>
      </c>
      <c r="D342" s="1" t="s">
        <v>749</v>
      </c>
      <c r="E342" s="1">
        <v>2</v>
      </c>
      <c r="F342" s="1" t="s">
        <v>58</v>
      </c>
      <c r="I342" s="1">
        <v>3</v>
      </c>
      <c r="J342" s="1" t="b">
        <v>0</v>
      </c>
      <c r="K342" s="1" t="b">
        <v>0</v>
      </c>
      <c r="L342" s="1" t="s">
        <v>750</v>
      </c>
      <c r="M342" s="1">
        <v>2150024</v>
      </c>
      <c r="N342" s="1" t="b">
        <v>0</v>
      </c>
      <c r="O342" s="1" t="str">
        <f t="shared" si="6"/>
        <v>激活“中奖能手”勋章\n获得途径：完成指定成就任务</v>
      </c>
      <c r="R342" s="1">
        <v>1</v>
      </c>
    </row>
    <row r="343" spans="1:18">
      <c r="A343" s="1">
        <v>1150025</v>
      </c>
      <c r="C343" s="1">
        <v>1150025</v>
      </c>
      <c r="D343" s="1" t="s">
        <v>751</v>
      </c>
      <c r="E343" s="1">
        <v>2</v>
      </c>
      <c r="F343" s="1" t="s">
        <v>58</v>
      </c>
      <c r="I343" s="1">
        <v>3</v>
      </c>
      <c r="J343" s="1" t="b">
        <v>0</v>
      </c>
      <c r="K343" s="1" t="b">
        <v>0</v>
      </c>
      <c r="L343" s="1" t="s">
        <v>752</v>
      </c>
      <c r="M343" s="1">
        <v>2150025</v>
      </c>
      <c r="N343" s="1" t="b">
        <v>0</v>
      </c>
      <c r="O343" s="1" t="str">
        <f t="shared" si="6"/>
        <v>激活“招财进宝”勋章\n获得途径：完成指定成就任务</v>
      </c>
      <c r="R343" s="1">
        <v>1</v>
      </c>
    </row>
    <row r="344" spans="1:18">
      <c r="A344" s="1">
        <v>1150026</v>
      </c>
      <c r="C344" s="1">
        <v>1150026</v>
      </c>
      <c r="D344" s="1" t="s">
        <v>753</v>
      </c>
      <c r="E344" s="1">
        <v>2</v>
      </c>
      <c r="F344" s="1" t="s">
        <v>58</v>
      </c>
      <c r="I344" s="1">
        <v>3</v>
      </c>
      <c r="J344" s="1" t="b">
        <v>0</v>
      </c>
      <c r="K344" s="1" t="b">
        <v>0</v>
      </c>
      <c r="L344" s="1" t="s">
        <v>754</v>
      </c>
      <c r="M344" s="1">
        <v>2150026</v>
      </c>
      <c r="N344" s="1" t="b">
        <v>0</v>
      </c>
      <c r="O344" s="1" t="str">
        <f t="shared" si="6"/>
        <v>激活“财富自由”勋章\n获得途径：完成指定成就任务</v>
      </c>
      <c r="R344" s="1">
        <v>1</v>
      </c>
    </row>
    <row r="345" spans="1:18">
      <c r="A345" s="1">
        <v>1150027</v>
      </c>
      <c r="C345" s="1">
        <v>1150027</v>
      </c>
      <c r="D345" s="1" t="s">
        <v>755</v>
      </c>
      <c r="E345" s="1">
        <v>2</v>
      </c>
      <c r="F345" s="1" t="s">
        <v>58</v>
      </c>
      <c r="I345" s="1">
        <v>3</v>
      </c>
      <c r="J345" s="1" t="b">
        <v>0</v>
      </c>
      <c r="K345" s="1" t="b">
        <v>0</v>
      </c>
      <c r="L345" s="1" t="s">
        <v>756</v>
      </c>
      <c r="M345" s="1">
        <v>2150027</v>
      </c>
      <c r="N345" s="1" t="b">
        <v>0</v>
      </c>
      <c r="O345" s="1" t="str">
        <f t="shared" si="6"/>
        <v>激活“超级赢家”勋章\n获得途径：完成指定成就任务</v>
      </c>
      <c r="R345" s="1">
        <v>1</v>
      </c>
    </row>
    <row r="346" spans="1:18">
      <c r="A346" s="1">
        <v>1150028</v>
      </c>
      <c r="C346" s="1">
        <v>1150028</v>
      </c>
      <c r="D346" s="1" t="s">
        <v>757</v>
      </c>
      <c r="E346" s="1">
        <v>2</v>
      </c>
      <c r="F346" s="1" t="s">
        <v>58</v>
      </c>
      <c r="I346" s="1">
        <v>4</v>
      </c>
      <c r="J346" s="1" t="b">
        <v>0</v>
      </c>
      <c r="K346" s="1" t="b">
        <v>0</v>
      </c>
      <c r="L346" s="1" t="s">
        <v>758</v>
      </c>
      <c r="M346" s="1">
        <v>2150028</v>
      </c>
      <c r="N346" s="1" t="b">
        <v>0</v>
      </c>
      <c r="O346" s="1" t="str">
        <f t="shared" si="6"/>
        <v>激活“VIP专享”勋章\n获得途径：完成指定成就任务</v>
      </c>
      <c r="R346" s="1">
        <v>1</v>
      </c>
    </row>
    <row r="347" spans="1:18">
      <c r="A347" s="1">
        <v>1150029</v>
      </c>
      <c r="C347" s="1">
        <v>1150029</v>
      </c>
      <c r="D347" s="1" t="s">
        <v>759</v>
      </c>
      <c r="E347" s="1">
        <v>2</v>
      </c>
      <c r="F347" s="1" t="s">
        <v>58</v>
      </c>
      <c r="I347" s="1">
        <v>4</v>
      </c>
      <c r="J347" s="1" t="b">
        <v>0</v>
      </c>
      <c r="K347" s="1" t="b">
        <v>0</v>
      </c>
      <c r="L347" s="1" t="s">
        <v>760</v>
      </c>
      <c r="M347" s="1">
        <v>2150029</v>
      </c>
      <c r="N347" s="1" t="b">
        <v>0</v>
      </c>
      <c r="O347" s="1" t="str">
        <f t="shared" si="6"/>
        <v>激活“研发院士”勋章\n获得途径：完成指定成就任务</v>
      </c>
      <c r="R347" s="1">
        <v>1</v>
      </c>
    </row>
    <row r="348" spans="1:18">
      <c r="A348" s="1">
        <v>1150030</v>
      </c>
      <c r="C348" s="1">
        <v>1150030</v>
      </c>
      <c r="D348" s="1" t="s">
        <v>761</v>
      </c>
      <c r="E348" s="1">
        <v>2</v>
      </c>
      <c r="F348" s="1" t="s">
        <v>58</v>
      </c>
      <c r="I348" s="1">
        <v>4</v>
      </c>
      <c r="J348" s="1" t="b">
        <v>0</v>
      </c>
      <c r="K348" s="1" t="b">
        <v>0</v>
      </c>
      <c r="L348" s="1" t="s">
        <v>762</v>
      </c>
      <c r="M348" s="1">
        <v>2150030</v>
      </c>
      <c r="N348" s="1" t="b">
        <v>0</v>
      </c>
      <c r="O348" s="1" t="str">
        <f>"激活“"&amp;D348&amp;"”勋章\n获得途径：完成指定活动"</f>
        <v>激活“社交精英”勋章\n获得途径：完成指定活动</v>
      </c>
      <c r="R348" s="1">
        <v>1</v>
      </c>
    </row>
    <row r="349" spans="1:18">
      <c r="A349" s="1">
        <v>1150031</v>
      </c>
      <c r="C349" s="1">
        <v>1150031</v>
      </c>
      <c r="D349" s="1" t="s">
        <v>763</v>
      </c>
      <c r="E349" s="1">
        <v>2</v>
      </c>
      <c r="F349" s="1" t="s">
        <v>58</v>
      </c>
      <c r="I349" s="1">
        <v>4</v>
      </c>
      <c r="J349" s="1" t="b">
        <v>0</v>
      </c>
      <c r="K349" s="1" t="b">
        <v>0</v>
      </c>
      <c r="L349" s="1" t="s">
        <v>764</v>
      </c>
      <c r="M349" s="1">
        <v>2150031</v>
      </c>
      <c r="N349" s="1" t="b">
        <v>0</v>
      </c>
      <c r="O349" s="1" t="str">
        <f t="shared" ref="O349:O379" si="7">"激活“"&amp;D349&amp;"”勋章\n获得途径：完成指定活动"</f>
        <v>激活“精英团队”勋章\n获得途径：完成指定活动</v>
      </c>
      <c r="R349" s="1">
        <v>1</v>
      </c>
    </row>
    <row r="350" spans="1:18">
      <c r="A350" s="1">
        <v>1150032</v>
      </c>
      <c r="C350" s="1">
        <v>1150032</v>
      </c>
      <c r="D350" s="1" t="s">
        <v>765</v>
      </c>
      <c r="E350" s="1">
        <v>2</v>
      </c>
      <c r="F350" s="1" t="s">
        <v>58</v>
      </c>
      <c r="I350" s="1">
        <v>4</v>
      </c>
      <c r="J350" s="1" t="b">
        <v>0</v>
      </c>
      <c r="K350" s="1" t="b">
        <v>0</v>
      </c>
      <c r="L350" s="1" t="s">
        <v>766</v>
      </c>
      <c r="M350" s="1">
        <v>2150032</v>
      </c>
      <c r="N350" s="1" t="b">
        <v>0</v>
      </c>
      <c r="O350" s="1" t="str">
        <f t="shared" si="7"/>
        <v>激活“游戏大亨”勋章\n获得途径：完成指定活动</v>
      </c>
      <c r="R350" s="1">
        <v>1</v>
      </c>
    </row>
    <row r="351" spans="1:18">
      <c r="A351" s="1">
        <v>1150033</v>
      </c>
      <c r="C351" s="1">
        <v>1150033</v>
      </c>
      <c r="D351" s="1" t="s">
        <v>767</v>
      </c>
      <c r="E351" s="1">
        <v>2</v>
      </c>
      <c r="F351" s="1" t="s">
        <v>58</v>
      </c>
      <c r="I351" s="1">
        <v>4</v>
      </c>
      <c r="J351" s="1" t="b">
        <v>0</v>
      </c>
      <c r="K351" s="1" t="b">
        <v>0</v>
      </c>
      <c r="L351" s="1" t="s">
        <v>768</v>
      </c>
      <c r="M351" s="1">
        <v>2150033</v>
      </c>
      <c r="N351" s="1" t="b">
        <v>0</v>
      </c>
      <c r="O351" s="1" t="str">
        <f t="shared" si="7"/>
        <v>激活“营销高手”勋章\n获得途径：完成指定活动</v>
      </c>
      <c r="R351" s="1">
        <v>1</v>
      </c>
    </row>
    <row r="352" spans="1:18">
      <c r="A352" s="1">
        <v>1150034</v>
      </c>
      <c r="C352" s="1">
        <v>1150034</v>
      </c>
      <c r="D352" s="1" t="s">
        <v>769</v>
      </c>
      <c r="E352" s="1">
        <v>2</v>
      </c>
      <c r="F352" s="1" t="s">
        <v>58</v>
      </c>
      <c r="I352" s="1">
        <v>4</v>
      </c>
      <c r="J352" s="1" t="b">
        <v>0</v>
      </c>
      <c r="K352" s="1" t="b">
        <v>0</v>
      </c>
      <c r="L352" s="1" t="s">
        <v>770</v>
      </c>
      <c r="M352" s="1">
        <v>2150034</v>
      </c>
      <c r="N352" s="1" t="b">
        <v>0</v>
      </c>
      <c r="O352" s="1" t="str">
        <f t="shared" si="7"/>
        <v>激活“招商经理”勋章\n获得途径：完成指定活动</v>
      </c>
      <c r="R352" s="1">
        <v>1</v>
      </c>
    </row>
    <row r="353" spans="1:18">
      <c r="A353" s="1">
        <v>1150035</v>
      </c>
      <c r="C353" s="1">
        <v>1150035</v>
      </c>
      <c r="D353" s="1" t="s">
        <v>771</v>
      </c>
      <c r="E353" s="1">
        <v>2</v>
      </c>
      <c r="F353" s="1" t="s">
        <v>58</v>
      </c>
      <c r="I353" s="1">
        <v>4</v>
      </c>
      <c r="J353" s="1" t="b">
        <v>0</v>
      </c>
      <c r="K353" s="1" t="b">
        <v>0</v>
      </c>
      <c r="L353" s="1" t="s">
        <v>772</v>
      </c>
      <c r="M353" s="1">
        <v>2150035</v>
      </c>
      <c r="N353" s="1" t="b">
        <v>0</v>
      </c>
      <c r="O353" s="1" t="str">
        <f t="shared" si="7"/>
        <v>激活“广告精英”勋章\n获得途径：完成指定活动</v>
      </c>
      <c r="R353" s="1">
        <v>1</v>
      </c>
    </row>
    <row r="354" spans="1:18">
      <c r="A354" s="1">
        <v>1150036</v>
      </c>
      <c r="C354" s="1">
        <v>1150036</v>
      </c>
      <c r="D354" s="1" t="s">
        <v>773</v>
      </c>
      <c r="E354" s="1">
        <v>2</v>
      </c>
      <c r="F354" s="1" t="s">
        <v>58</v>
      </c>
      <c r="I354" s="1">
        <v>4</v>
      </c>
      <c r="J354" s="1" t="b">
        <v>0</v>
      </c>
      <c r="K354" s="1" t="b">
        <v>0</v>
      </c>
      <c r="L354" s="1" t="s">
        <v>774</v>
      </c>
      <c r="M354" s="1">
        <v>2150036</v>
      </c>
      <c r="N354" s="1" t="b">
        <v>0</v>
      </c>
      <c r="O354" s="1" t="str">
        <f t="shared" si="7"/>
        <v>激活“招募精英”勋章\n获得途径：完成指定活动</v>
      </c>
      <c r="R354" s="1">
        <v>1</v>
      </c>
    </row>
    <row r="355" spans="1:18">
      <c r="A355" s="1">
        <v>1150037</v>
      </c>
      <c r="C355" s="1">
        <v>1150037</v>
      </c>
      <c r="D355" s="1" t="s">
        <v>775</v>
      </c>
      <c r="E355" s="1">
        <v>2</v>
      </c>
      <c r="F355" s="1" t="s">
        <v>58</v>
      </c>
      <c r="I355" s="1">
        <v>4</v>
      </c>
      <c r="J355" s="1" t="b">
        <v>0</v>
      </c>
      <c r="K355" s="1" t="b">
        <v>0</v>
      </c>
      <c r="L355" s="1" t="s">
        <v>776</v>
      </c>
      <c r="M355" s="1">
        <v>2150037</v>
      </c>
      <c r="N355" s="1" t="b">
        <v>0</v>
      </c>
      <c r="O355" s="1" t="str">
        <f t="shared" si="7"/>
        <v>激活“商界精英”勋章\n获得途径：完成指定活动</v>
      </c>
      <c r="R355" s="1">
        <v>1</v>
      </c>
    </row>
    <row r="356" spans="1:18">
      <c r="A356" s="1">
        <v>1150038</v>
      </c>
      <c r="C356" s="1">
        <v>1150038</v>
      </c>
      <c r="D356" s="1" t="s">
        <v>777</v>
      </c>
      <c r="E356" s="1">
        <v>2</v>
      </c>
      <c r="F356" s="1" t="s">
        <v>58</v>
      </c>
      <c r="I356" s="1">
        <v>4</v>
      </c>
      <c r="J356" s="1" t="b">
        <v>0</v>
      </c>
      <c r="K356" s="1" t="b">
        <v>0</v>
      </c>
      <c r="L356" s="1" t="s">
        <v>778</v>
      </c>
      <c r="M356" s="1">
        <v>2150038</v>
      </c>
      <c r="N356" s="1" t="b">
        <v>0</v>
      </c>
      <c r="O356" s="1" t="str">
        <f t="shared" si="7"/>
        <v>激活“策略大师”勋章\n获得途径：完成指定活动</v>
      </c>
      <c r="R356" s="1">
        <v>1</v>
      </c>
    </row>
    <row r="357" spans="1:18">
      <c r="A357" s="1">
        <v>1150039</v>
      </c>
      <c r="C357" s="1">
        <v>1150039</v>
      </c>
      <c r="D357" s="1" t="s">
        <v>779</v>
      </c>
      <c r="E357" s="1">
        <v>2</v>
      </c>
      <c r="F357" s="1" t="s">
        <v>58</v>
      </c>
      <c r="I357" s="1">
        <v>4</v>
      </c>
      <c r="J357" s="1" t="b">
        <v>0</v>
      </c>
      <c r="K357" s="1" t="b">
        <v>0</v>
      </c>
      <c r="L357" s="1" t="s">
        <v>780</v>
      </c>
      <c r="M357" s="1">
        <v>2150039</v>
      </c>
      <c r="N357" s="1" t="b">
        <v>0</v>
      </c>
      <c r="O357" s="1" t="str">
        <f t="shared" si="7"/>
        <v>激活“幸运之神”勋章\n获得途径：完成指定活动</v>
      </c>
      <c r="R357" s="1">
        <v>1</v>
      </c>
    </row>
    <row r="358" spans="1:18">
      <c r="A358" s="1">
        <v>1150040</v>
      </c>
      <c r="C358" s="1">
        <v>1150040</v>
      </c>
      <c r="D358" s="1" t="s">
        <v>781</v>
      </c>
      <c r="E358" s="1">
        <v>2</v>
      </c>
      <c r="F358" s="1" t="s">
        <v>58</v>
      </c>
      <c r="I358" s="1">
        <v>4</v>
      </c>
      <c r="J358" s="1" t="b">
        <v>0</v>
      </c>
      <c r="K358" s="1" t="b">
        <v>0</v>
      </c>
      <c r="L358" s="1" t="s">
        <v>782</v>
      </c>
      <c r="M358" s="1">
        <v>2150040</v>
      </c>
      <c r="N358" s="1" t="b">
        <v>0</v>
      </c>
      <c r="O358" s="1" t="str">
        <f t="shared" si="7"/>
        <v>激活“大奖得主”勋章\n获得途径：完成指定活动</v>
      </c>
      <c r="R358" s="1">
        <v>1</v>
      </c>
    </row>
    <row r="359" spans="1:18">
      <c r="A359" s="1">
        <v>1150041</v>
      </c>
      <c r="C359" s="1">
        <v>1150041</v>
      </c>
      <c r="D359" s="1" t="s">
        <v>783</v>
      </c>
      <c r="E359" s="1">
        <v>2</v>
      </c>
      <c r="F359" s="1" t="s">
        <v>58</v>
      </c>
      <c r="I359" s="1">
        <v>4</v>
      </c>
      <c r="J359" s="1" t="b">
        <v>0</v>
      </c>
      <c r="K359" s="1" t="b">
        <v>0</v>
      </c>
      <c r="L359" s="1" t="s">
        <v>784</v>
      </c>
      <c r="M359" s="1">
        <v>2150041</v>
      </c>
      <c r="N359" s="1" t="b">
        <v>0</v>
      </c>
      <c r="O359" s="1" t="str">
        <f t="shared" si="7"/>
        <v>激活“最佳经理人”勋章\n获得途径：完成指定活动</v>
      </c>
      <c r="R359" s="1">
        <v>1</v>
      </c>
    </row>
    <row r="360" spans="1:18">
      <c r="A360" s="1">
        <v>1150042</v>
      </c>
      <c r="C360" s="1">
        <v>1150042</v>
      </c>
      <c r="D360" s="1" t="s">
        <v>785</v>
      </c>
      <c r="E360" s="1">
        <v>2</v>
      </c>
      <c r="F360" s="1" t="s">
        <v>58</v>
      </c>
      <c r="I360" s="1">
        <v>5</v>
      </c>
      <c r="J360" s="1" t="b">
        <v>0</v>
      </c>
      <c r="K360" s="1" t="b">
        <v>0</v>
      </c>
      <c r="L360" s="1" t="s">
        <v>786</v>
      </c>
      <c r="M360" s="1">
        <v>2150042</v>
      </c>
      <c r="N360" s="1" t="b">
        <v>0</v>
      </c>
      <c r="O360" s="1" t="str">
        <f t="shared" si="7"/>
        <v>激活“财富神话”勋章\n获得途径：完成指定活动</v>
      </c>
      <c r="R360" s="1">
        <v>1</v>
      </c>
    </row>
    <row r="361" spans="1:18">
      <c r="A361" s="1">
        <v>1150043</v>
      </c>
      <c r="C361" s="1">
        <v>1150043</v>
      </c>
      <c r="D361" s="1" t="s">
        <v>787</v>
      </c>
      <c r="E361" s="1">
        <v>2</v>
      </c>
      <c r="F361" s="1" t="s">
        <v>58</v>
      </c>
      <c r="I361" s="1">
        <v>5</v>
      </c>
      <c r="J361" s="1" t="b">
        <v>0</v>
      </c>
      <c r="K361" s="1" t="b">
        <v>0</v>
      </c>
      <c r="L361" s="1" t="s">
        <v>788</v>
      </c>
      <c r="M361" s="1">
        <v>2150043</v>
      </c>
      <c r="N361" s="1" t="b">
        <v>0</v>
      </c>
      <c r="O361" s="1" t="str">
        <f t="shared" si="7"/>
        <v>激活“财运亨通”勋章\n获得途径：完成指定活动</v>
      </c>
      <c r="R361" s="1">
        <v>1</v>
      </c>
    </row>
    <row r="362" spans="1:18">
      <c r="A362" s="1">
        <v>1150044</v>
      </c>
      <c r="C362" s="1">
        <v>1150044</v>
      </c>
      <c r="D362" s="1" t="s">
        <v>789</v>
      </c>
      <c r="E362" s="1">
        <v>2</v>
      </c>
      <c r="F362" s="1" t="s">
        <v>58</v>
      </c>
      <c r="I362" s="1">
        <v>5</v>
      </c>
      <c r="J362" s="1" t="b">
        <v>0</v>
      </c>
      <c r="K362" s="1" t="b">
        <v>0</v>
      </c>
      <c r="L362" s="1" t="s">
        <v>790</v>
      </c>
      <c r="M362" s="1">
        <v>2150044</v>
      </c>
      <c r="N362" s="1" t="b">
        <v>0</v>
      </c>
      <c r="O362" s="1" t="str">
        <f t="shared" si="7"/>
        <v>激活“亿万富豪”勋章\n获得途径：完成指定活动</v>
      </c>
      <c r="R362" s="1">
        <v>1</v>
      </c>
    </row>
    <row r="363" spans="1:18">
      <c r="A363" s="1">
        <v>1150045</v>
      </c>
      <c r="C363" s="1">
        <v>1150045</v>
      </c>
      <c r="D363" s="1" t="s">
        <v>791</v>
      </c>
      <c r="E363" s="1">
        <v>2</v>
      </c>
      <c r="F363" s="1" t="s">
        <v>58</v>
      </c>
      <c r="I363" s="1">
        <v>5</v>
      </c>
      <c r="J363" s="1" t="b">
        <v>0</v>
      </c>
      <c r="K363" s="1" t="b">
        <v>0</v>
      </c>
      <c r="L363" s="1" t="s">
        <v>792</v>
      </c>
      <c r="M363" s="1">
        <v>2150045</v>
      </c>
      <c r="N363" s="1" t="b">
        <v>0</v>
      </c>
      <c r="O363" s="1" t="str">
        <f t="shared" si="7"/>
        <v>激活“巨富大亨”勋章\n获得途径：完成指定活动</v>
      </c>
      <c r="R363" s="1">
        <v>1</v>
      </c>
    </row>
    <row r="364" spans="1:18">
      <c r="A364" s="1">
        <v>1150046</v>
      </c>
      <c r="C364" s="1">
        <v>1150046</v>
      </c>
      <c r="D364" s="1" t="s">
        <v>793</v>
      </c>
      <c r="E364" s="1">
        <v>2</v>
      </c>
      <c r="F364" s="1" t="s">
        <v>58</v>
      </c>
      <c r="I364" s="1">
        <v>5</v>
      </c>
      <c r="J364" s="1" t="b">
        <v>0</v>
      </c>
      <c r="K364" s="1" t="b">
        <v>0</v>
      </c>
      <c r="L364" s="1" t="s">
        <v>794</v>
      </c>
      <c r="M364" s="1">
        <v>2150046</v>
      </c>
      <c r="N364" s="1" t="b">
        <v>0</v>
      </c>
      <c r="O364" s="1" t="str">
        <f t="shared" si="7"/>
        <v>激活“传奇赢家”勋章\n获得途径：完成指定活动</v>
      </c>
      <c r="R364" s="1">
        <v>1</v>
      </c>
    </row>
    <row r="365" spans="1:18">
      <c r="A365" s="1">
        <v>1150047</v>
      </c>
      <c r="C365" s="1">
        <v>1150047</v>
      </c>
      <c r="D365" s="1" t="s">
        <v>795</v>
      </c>
      <c r="E365" s="1">
        <v>2</v>
      </c>
      <c r="F365" s="1" t="s">
        <v>58</v>
      </c>
      <c r="I365" s="1">
        <v>5</v>
      </c>
      <c r="J365" s="1" t="b">
        <v>0</v>
      </c>
      <c r="K365" s="1" t="b">
        <v>0</v>
      </c>
      <c r="L365" s="1" t="s">
        <v>796</v>
      </c>
      <c r="M365" s="1">
        <v>2150047</v>
      </c>
      <c r="N365" s="1" t="b">
        <v>0</v>
      </c>
      <c r="O365" s="1" t="str">
        <f t="shared" si="7"/>
        <v>激活“营销冠军”勋章\n获得途径：完成指定活动</v>
      </c>
      <c r="R365" s="1">
        <v>1</v>
      </c>
    </row>
    <row r="366" spans="1:18">
      <c r="A366" s="1">
        <v>1150048</v>
      </c>
      <c r="C366" s="1">
        <v>1150048</v>
      </c>
      <c r="D366" s="1" t="s">
        <v>797</v>
      </c>
      <c r="E366" s="1">
        <v>2</v>
      </c>
      <c r="F366" s="1" t="s">
        <v>58</v>
      </c>
      <c r="I366" s="1">
        <v>5</v>
      </c>
      <c r="J366" s="1" t="b">
        <v>0</v>
      </c>
      <c r="K366" s="1" t="b">
        <v>0</v>
      </c>
      <c r="L366" s="1" t="s">
        <v>798</v>
      </c>
      <c r="M366" s="1">
        <v>2150048</v>
      </c>
      <c r="N366" s="1" t="b">
        <v>0</v>
      </c>
      <c r="O366" s="1" t="str">
        <f t="shared" si="7"/>
        <v>激活“产业巨头”勋章\n获得途径：完成指定活动</v>
      </c>
      <c r="R366" s="1">
        <v>1</v>
      </c>
    </row>
    <row r="367" spans="1:18">
      <c r="A367" s="1">
        <v>1150049</v>
      </c>
      <c r="C367" s="1">
        <v>1150049</v>
      </c>
      <c r="D367" s="1" t="s">
        <v>799</v>
      </c>
      <c r="E367" s="1">
        <v>2</v>
      </c>
      <c r="F367" s="1" t="s">
        <v>58</v>
      </c>
      <c r="I367" s="1">
        <v>5</v>
      </c>
      <c r="J367" s="1" t="b">
        <v>0</v>
      </c>
      <c r="K367" s="1" t="b">
        <v>0</v>
      </c>
      <c r="L367" s="1" t="s">
        <v>800</v>
      </c>
      <c r="M367" s="1">
        <v>2150049</v>
      </c>
      <c r="N367" s="1" t="b">
        <v>0</v>
      </c>
      <c r="O367" s="1" t="str">
        <f t="shared" si="7"/>
        <v>激活“管理大师”勋章\n获得途径：完成指定活动</v>
      </c>
      <c r="R367" s="1">
        <v>1</v>
      </c>
    </row>
    <row r="368" spans="1:18">
      <c r="A368" s="1">
        <v>1150050</v>
      </c>
      <c r="C368" s="1">
        <v>1150050</v>
      </c>
      <c r="D368" s="1" t="s">
        <v>801</v>
      </c>
      <c r="E368" s="1">
        <v>2</v>
      </c>
      <c r="F368" s="1" t="s">
        <v>58</v>
      </c>
      <c r="I368" s="1">
        <v>5</v>
      </c>
      <c r="J368" s="1" t="b">
        <v>0</v>
      </c>
      <c r="K368" s="1" t="b">
        <v>0</v>
      </c>
      <c r="L368" s="1" t="s">
        <v>802</v>
      </c>
      <c r="M368" s="1">
        <v>2150050</v>
      </c>
      <c r="N368" s="1" t="b">
        <v>0</v>
      </c>
      <c r="O368" s="1" t="str">
        <f t="shared" si="7"/>
        <v>激活“娱乐大亨”勋章\n获得途径：完成指定活动</v>
      </c>
      <c r="R368" s="1">
        <v>1</v>
      </c>
    </row>
    <row r="369" spans="1:18">
      <c r="A369" s="1">
        <v>1150051</v>
      </c>
      <c r="C369" s="1">
        <v>1150051</v>
      </c>
      <c r="D369" s="1" t="s">
        <v>803</v>
      </c>
      <c r="E369" s="1">
        <v>2</v>
      </c>
      <c r="F369" s="1" t="s">
        <v>58</v>
      </c>
      <c r="I369" s="1">
        <v>5</v>
      </c>
      <c r="J369" s="1" t="b">
        <v>0</v>
      </c>
      <c r="K369" s="1" t="b">
        <v>0</v>
      </c>
      <c r="L369" s="1" t="s">
        <v>804</v>
      </c>
      <c r="M369" s="1">
        <v>2150051</v>
      </c>
      <c r="N369" s="1" t="b">
        <v>0</v>
      </c>
      <c r="O369" s="1" t="str">
        <f t="shared" si="7"/>
        <v>激活“商界奇才”勋章\n获得途径：完成指定活动</v>
      </c>
      <c r="R369" s="1">
        <v>1</v>
      </c>
    </row>
    <row r="370" spans="1:18">
      <c r="A370" s="1">
        <v>1150052</v>
      </c>
      <c r="C370" s="1">
        <v>1150052</v>
      </c>
      <c r="D370" s="1" t="s">
        <v>805</v>
      </c>
      <c r="E370" s="1">
        <v>2</v>
      </c>
      <c r="F370" s="1" t="s">
        <v>58</v>
      </c>
      <c r="I370" s="1">
        <v>5</v>
      </c>
      <c r="J370" s="1" t="b">
        <v>0</v>
      </c>
      <c r="K370" s="1" t="b">
        <v>0</v>
      </c>
      <c r="L370" s="1" t="s">
        <v>806</v>
      </c>
      <c r="M370" s="1">
        <v>2150052</v>
      </c>
      <c r="N370" s="1" t="b">
        <v>0</v>
      </c>
      <c r="O370" s="1" t="str">
        <f t="shared" si="7"/>
        <v>激活“商界传奇”勋章\n获得途径：完成指定活动</v>
      </c>
      <c r="R370" s="1">
        <v>1</v>
      </c>
    </row>
    <row r="371" spans="1:18">
      <c r="A371" s="1">
        <v>1150053</v>
      </c>
      <c r="C371" s="1">
        <v>1150053</v>
      </c>
      <c r="D371" s="1" t="s">
        <v>807</v>
      </c>
      <c r="E371" s="1">
        <v>2</v>
      </c>
      <c r="F371" s="1" t="s">
        <v>58</v>
      </c>
      <c r="I371" s="1">
        <v>5</v>
      </c>
      <c r="J371" s="1" t="b">
        <v>0</v>
      </c>
      <c r="K371" s="1" t="b">
        <v>0</v>
      </c>
      <c r="L371" s="1" t="s">
        <v>808</v>
      </c>
      <c r="M371" s="1">
        <v>2150053</v>
      </c>
      <c r="N371" s="1" t="b">
        <v>0</v>
      </c>
      <c r="O371" s="1" t="str">
        <f t="shared" si="7"/>
        <v>激活“科研之王”勋章\n获得途径：完成指定活动</v>
      </c>
      <c r="R371" s="1">
        <v>1</v>
      </c>
    </row>
    <row r="372" spans="1:18">
      <c r="A372" s="1">
        <v>1150054</v>
      </c>
      <c r="C372" s="1">
        <v>1150054</v>
      </c>
      <c r="D372" s="1" t="s">
        <v>809</v>
      </c>
      <c r="E372" s="1">
        <v>2</v>
      </c>
      <c r="F372" s="1" t="s">
        <v>58</v>
      </c>
      <c r="I372" s="1">
        <v>5</v>
      </c>
      <c r="J372" s="1" t="b">
        <v>0</v>
      </c>
      <c r="K372" s="1" t="b">
        <v>0</v>
      </c>
      <c r="L372" s="1" t="s">
        <v>810</v>
      </c>
      <c r="M372" s="1">
        <v>2150054</v>
      </c>
      <c r="N372" s="1" t="b">
        <v>0</v>
      </c>
      <c r="O372" s="1" t="str">
        <f t="shared" si="7"/>
        <v>激活“转轮之王”勋章\n获得途径：完成指定活动</v>
      </c>
      <c r="R372" s="1">
        <v>1</v>
      </c>
    </row>
    <row r="373" spans="1:18">
      <c r="A373" s="1">
        <v>1150055</v>
      </c>
      <c r="C373" s="1">
        <v>1150055</v>
      </c>
      <c r="D373" s="1" t="s">
        <v>811</v>
      </c>
      <c r="E373" s="1">
        <v>2</v>
      </c>
      <c r="F373" s="1" t="s">
        <v>58</v>
      </c>
      <c r="I373" s="1">
        <v>5</v>
      </c>
      <c r="J373" s="1" t="b">
        <v>0</v>
      </c>
      <c r="K373" s="1" t="b">
        <v>0</v>
      </c>
      <c r="L373" s="1" t="s">
        <v>812</v>
      </c>
      <c r="M373" s="1">
        <v>2150055</v>
      </c>
      <c r="N373" s="1" t="b">
        <v>0</v>
      </c>
      <c r="O373" s="1" t="str">
        <f t="shared" si="7"/>
        <v>激活“赌场之王”勋章\n获得途径：完成指定活动</v>
      </c>
      <c r="R373" s="1">
        <v>1</v>
      </c>
    </row>
    <row r="374" spans="1:18">
      <c r="A374" s="1">
        <v>1150056</v>
      </c>
      <c r="C374" s="1">
        <v>1150056</v>
      </c>
      <c r="D374" s="1" t="s">
        <v>813</v>
      </c>
      <c r="E374" s="1">
        <v>2</v>
      </c>
      <c r="F374" s="1" t="s">
        <v>58</v>
      </c>
      <c r="I374" s="1">
        <v>5</v>
      </c>
      <c r="J374" s="1" t="b">
        <v>0</v>
      </c>
      <c r="K374" s="1" t="b">
        <v>0</v>
      </c>
      <c r="L374" s="1" t="s">
        <v>814</v>
      </c>
      <c r="M374" s="1">
        <v>2150056</v>
      </c>
      <c r="N374" s="1" t="b">
        <v>0</v>
      </c>
      <c r="O374" s="1" t="str">
        <f t="shared" si="7"/>
        <v>激活“全服名人”勋章\n获得途径：完成指定活动</v>
      </c>
      <c r="R374" s="1">
        <v>1</v>
      </c>
    </row>
    <row r="375" spans="1:18">
      <c r="A375" s="1">
        <v>1150057</v>
      </c>
      <c r="C375" s="1">
        <v>1150057</v>
      </c>
      <c r="D375" s="1" t="s">
        <v>815</v>
      </c>
      <c r="E375" s="1">
        <v>2</v>
      </c>
      <c r="F375" s="1" t="s">
        <v>58</v>
      </c>
      <c r="I375" s="1">
        <v>5</v>
      </c>
      <c r="J375" s="1" t="b">
        <v>0</v>
      </c>
      <c r="K375" s="1" t="b">
        <v>0</v>
      </c>
      <c r="L375" s="1" t="s">
        <v>816</v>
      </c>
      <c r="M375" s="1">
        <v>2150057</v>
      </c>
      <c r="N375" s="1" t="b">
        <v>0</v>
      </c>
      <c r="O375" s="1" t="str">
        <f t="shared" si="7"/>
        <v>激活“富贵逼人”勋章\n获得途径：完成指定活动</v>
      </c>
      <c r="R375" s="1">
        <v>1</v>
      </c>
    </row>
    <row r="376" spans="1:18">
      <c r="A376" s="1">
        <v>1150058</v>
      </c>
      <c r="C376" s="1">
        <v>1150058</v>
      </c>
      <c r="D376" s="1" t="s">
        <v>817</v>
      </c>
      <c r="E376" s="1">
        <v>2</v>
      </c>
      <c r="F376" s="1" t="s">
        <v>58</v>
      </c>
      <c r="I376" s="1">
        <v>5</v>
      </c>
      <c r="J376" s="1" t="b">
        <v>0</v>
      </c>
      <c r="K376" s="1" t="b">
        <v>0</v>
      </c>
      <c r="L376" s="1" t="s">
        <v>818</v>
      </c>
      <c r="M376" s="1">
        <v>2150058</v>
      </c>
      <c r="N376" s="1" t="b">
        <v>0</v>
      </c>
      <c r="O376" s="1" t="str">
        <f t="shared" si="7"/>
        <v>激活“辉煌人生”勋章\n获得途径：完成指定活动</v>
      </c>
      <c r="R376" s="1">
        <v>1</v>
      </c>
    </row>
    <row r="377" spans="1:18">
      <c r="A377" s="1">
        <v>1150059</v>
      </c>
      <c r="C377" s="1">
        <v>1150059</v>
      </c>
      <c r="D377" s="1" t="s">
        <v>819</v>
      </c>
      <c r="E377" s="1">
        <v>2</v>
      </c>
      <c r="F377" s="1" t="s">
        <v>58</v>
      </c>
      <c r="I377" s="1">
        <v>5</v>
      </c>
      <c r="J377" s="1" t="b">
        <v>0</v>
      </c>
      <c r="K377" s="1" t="b">
        <v>0</v>
      </c>
      <c r="L377" s="1" t="s">
        <v>820</v>
      </c>
      <c r="M377" s="1">
        <v>2150059</v>
      </c>
      <c r="N377" s="1" t="b">
        <v>0</v>
      </c>
      <c r="O377" s="1" t="str">
        <f t="shared" si="7"/>
        <v>激活“风云人物”勋章\n获得途径：完成指定活动</v>
      </c>
      <c r="R377" s="1">
        <v>1</v>
      </c>
    </row>
    <row r="378" spans="1:18">
      <c r="A378" s="1">
        <v>1150060</v>
      </c>
      <c r="C378" s="1">
        <v>1150060</v>
      </c>
      <c r="D378" s="1" t="s">
        <v>821</v>
      </c>
      <c r="E378" s="1">
        <v>2</v>
      </c>
      <c r="F378" s="1" t="s">
        <v>58</v>
      </c>
      <c r="I378" s="1">
        <v>5</v>
      </c>
      <c r="J378" s="1" t="b">
        <v>0</v>
      </c>
      <c r="K378" s="1" t="b">
        <v>0</v>
      </c>
      <c r="L378" s="1" t="s">
        <v>822</v>
      </c>
      <c r="M378" s="1">
        <v>2150060</v>
      </c>
      <c r="N378" s="1" t="b">
        <v>0</v>
      </c>
      <c r="O378" s="1" t="str">
        <f t="shared" si="7"/>
        <v>激活“名震世界”勋章\n获得途径：完成指定活动</v>
      </c>
      <c r="R378" s="1">
        <v>1</v>
      </c>
    </row>
    <row r="379" spans="1:18">
      <c r="A379" s="1">
        <v>1150061</v>
      </c>
      <c r="C379" s="1">
        <v>1150061</v>
      </c>
      <c r="D379" s="1" t="s">
        <v>823</v>
      </c>
      <c r="E379" s="1">
        <v>2</v>
      </c>
      <c r="F379" s="1" t="s">
        <v>58</v>
      </c>
      <c r="I379" s="1">
        <v>5</v>
      </c>
      <c r="J379" s="1" t="b">
        <v>0</v>
      </c>
      <c r="K379" s="1" t="b">
        <v>0</v>
      </c>
      <c r="L379" s="1" t="s">
        <v>824</v>
      </c>
      <c r="M379" s="1">
        <v>2150061</v>
      </c>
      <c r="N379" s="1" t="b">
        <v>0</v>
      </c>
      <c r="O379" s="1" t="str">
        <f t="shared" si="7"/>
        <v>激活“时代传说”勋章\n获得途径：完成指定活动</v>
      </c>
      <c r="R379" s="1">
        <v>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2025-07-14T07:23:00Z</dcterms:created>
  <dcterms:modified xsi:type="dcterms:W3CDTF">2026-08-19T01:20:03Z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