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<sst xmlns="http://schemas.openxmlformats.org/spreadsheetml/2006/main" count="174" uniqueCount="160">
  <si>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</si>
  <si>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</si>
  <si>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</si>
  <si>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</si>
  <si>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</si>
  <si>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</si>
  <si>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</si>
  <si>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</si>
  <si>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</si>
  <si>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</si>
  <si>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</si>
  <si>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</si>
  <si>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</si>
  <si>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</si>
  <si>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</si>
  <si>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</si>
  <si>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</si>
  <si>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</si>
  <si>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</si>
  <si>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</si>
  <si>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</si>
  <si>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</si>
  <si>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</si>
  <si>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</si>
  <si>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</si>
  <si>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</si>
  <si>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</si>
  <si>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</si>
  <si>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</si>
  <si>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</si>
  <si>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</si>
  <si>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</si>
  <si>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</si>
  <si>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</si>
  <si>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</si>
  <si>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</si>
  <si>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</si>
  <si>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</si>
  <si>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</si>
  <si>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</si>
  <si>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</si>
  <si>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</si>
  <si>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</si>
  <si>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</si>
  <si>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</si>
  <si>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</si>
  <si>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</si>
  <si>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</si>
  <si>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</si>
  <si>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</si>
  <si>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</si>
  <si>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</si>
  <si>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</si>
  <si>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</si>
  <si>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</si>
  <si>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</si>
  <si>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</si>
  <si>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</si>
  <si>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</si>
  <si>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</si>
  <si>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</si>
  <si>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</si>
  <si>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</si>
  <si>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</si>
  <si>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</si>
  <si>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Wild-MINI</t>
  </si>
  <si>
    <t>Wild-MINOR</t>
  </si>
  <si>
    <t>Wild-MAJOR</t>
  </si>
  <si>
    <t>Wild-GRAND</t>
  </si>
  <si>
    <t>数量</t>
  </si>
  <si>
    <t>Wild-倍率6</t>
  </si>
  <si>
    <t>SpecialGird</t>
  </si>
  <si>
    <t>Wild-倍率9</t>
  </si>
  <si>
    <t>Wild-倍率12</t>
  </si>
  <si>
    <t>Wild-倍率15</t>
  </si>
  <si>
    <t>BaseElementReward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</si>
  <si>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</si>
  <si>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</si>
  <si>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</si>
  <si>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</si>
  <si>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</si>
  <si>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</si>
  <si>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</si>
  <si>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</si>
  <si>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</si>
  <si>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</si>
  <si>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</si>
  <si>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</si>
  <si>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</si>
  <si>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</si>
  <si>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</si>
  <si>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</si>
  <si>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</si>
  <si>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</si>
  <si>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</si>
  <si>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</si>
  <si>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</si>
  <si>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</si>
  <si>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</si>
  <si>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</si>
  <si>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</si>
  <si>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</si>
  <si>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</si>
  <si>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</si>
  <si>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</si>
  <si>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</si>
  <si>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</si>
  <si>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</si>
  <si>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</si>
  <si>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</si>
  <si>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</si>
  <si>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</si>
  <si>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</si>
  <si>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</si>
  <si>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</si>
  <si>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</si>
  <si>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</si>
  <si>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</si>
  <si>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</si>
  <si>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</si>
  <si>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</si>
  <si>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</si>
  <si>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</si>
  <si>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</si>
  <si>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</si>
  <si>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</si>
  <si>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</si>
  <si>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</si>
  <si>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</si>
  <si>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</si>
  <si>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</si>
  <si>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</si>
  <si>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</si>
  <si>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</si>
  <si>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</si>
  <si>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财神jackpot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</si>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</sst>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6"/>
  <sheetViews>
    <sheetView tabSelected="1" zoomScale="115" zoomScaleNormal="115" topLeftCell="A35" workbookViewId="0">
      <selection activeCell="H50" sqref="H5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</cols>
  <sheetData>
    <row r="1" ht="16.5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t="s">
        <v>8</v>
      </c>
    </row>
    <row r="2" ht="16.5" spans="1:8">
      <c r="A2" s="4" t="s">
        <v>9</v>
      </c>
      <c r="B2" s="4" t="s">
        <v>9</v>
      </c>
      <c r="C2" s="5" t="s">
        <v>9</v>
      </c>
      <c r="D2" s="5" t="s">
        <v>9</v>
      </c>
      <c r="E2" s="5"/>
      <c r="F2" s="5" t="s">
        <v>9</v>
      </c>
      <c r="G2" s="5" t="s">
        <v>9</v>
      </c>
      <c r="H2" s="5"/>
    </row>
    <row r="3" ht="16.5" spans="1:8">
      <c r="A3" s="4" t="s">
        <v>10</v>
      </c>
      <c r="B3" s="4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16</v>
      </c>
      <c r="F5" s="5"/>
      <c r="G5" s="5"/>
      <c r="H5" s="5">
        <v>9</v>
      </c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17</v>
      </c>
      <c r="F6" s="5"/>
      <c r="G6" s="5"/>
      <c r="H6" s="5">
        <v>10</v>
      </c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18</v>
      </c>
      <c r="F7" s="5"/>
      <c r="G7" s="5"/>
      <c r="H7" s="5" t="s">
        <v>19</v>
      </c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20</v>
      </c>
      <c r="F8" s="5"/>
      <c r="G8" s="5"/>
      <c r="H8" s="5" t="s">
        <v>21</v>
      </c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22</v>
      </c>
      <c r="F9" s="5"/>
      <c r="G9" s="5"/>
      <c r="H9" s="5" t="s">
        <v>23</v>
      </c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24</v>
      </c>
      <c r="F10" s="5"/>
      <c r="G10" s="5"/>
      <c r="H10" s="5" t="s">
        <v>25</v>
      </c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26</v>
      </c>
      <c r="F11" s="5"/>
      <c r="G11" s="5"/>
      <c r="H11" s="5" t="s">
        <v>27</v>
      </c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28</v>
      </c>
      <c r="F12" s="5"/>
      <c r="G12" s="5"/>
      <c r="H12" s="5" t="s">
        <v>29</v>
      </c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30</v>
      </c>
      <c r="F13" s="5"/>
      <c r="G13" s="5"/>
      <c r="H13" s="5" t="s">
        <v>31</v>
      </c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32</v>
      </c>
      <c r="F14" s="5"/>
      <c r="G14" s="5"/>
      <c r="H14" s="5" t="s">
        <v>33</v>
      </c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34</v>
      </c>
      <c r="F15" s="5"/>
      <c r="G15" s="5"/>
      <c r="H15" s="5" t="s">
        <v>35</v>
      </c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36</v>
      </c>
      <c r="F16" s="5"/>
      <c r="G16" s="5"/>
      <c r="H16" s="5" t="s">
        <v>37</v>
      </c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38</v>
      </c>
      <c r="F17" s="5"/>
      <c r="G17" s="5"/>
      <c r="H17" s="5" t="s">
        <v>39</v>
      </c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40</v>
      </c>
      <c r="F18" s="5"/>
      <c r="G18" s="5"/>
      <c r="H18" s="5" t="s">
        <v>41</v>
      </c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42</v>
      </c>
      <c r="F19" s="5"/>
      <c r="G19" s="5"/>
      <c r="H19" s="5" t="s">
        <v>43</v>
      </c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44</v>
      </c>
      <c r="F20" s="5"/>
      <c r="G20" s="5"/>
      <c r="H20" s="5" t="s">
        <v>45</v>
      </c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46</v>
      </c>
      <c r="F21" s="5"/>
      <c r="G21" s="5"/>
      <c r="H21" s="5" t="s">
        <v>47</v>
      </c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48</v>
      </c>
      <c r="F22" s="5"/>
      <c r="G22" s="5"/>
      <c r="H22" s="5" t="s">
        <v>49</v>
      </c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50</v>
      </c>
      <c r="F23" s="5"/>
      <c r="G23" s="5"/>
      <c r="H23" s="5" t="s">
        <v>51</v>
      </c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52</v>
      </c>
      <c r="F24" s="5"/>
      <c r="G24" s="5"/>
      <c r="H24" s="5" t="s">
        <v>53</v>
      </c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54</v>
      </c>
      <c r="F25" s="5"/>
      <c r="G25" s="5"/>
      <c r="H25" s="5" t="s">
        <v>55</v>
      </c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56</v>
      </c>
      <c r="F26" s="5"/>
      <c r="G26" s="5"/>
      <c r="H26" s="5" t="s">
        <v>57</v>
      </c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48</v>
      </c>
      <c r="F27" s="7"/>
      <c r="G27" s="7"/>
      <c r="H27" s="7" t="s">
        <v>58</v>
      </c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48</v>
      </c>
      <c r="F28" s="7"/>
      <c r="G28" s="7"/>
      <c r="H28" s="7" t="s">
        <v>59</v>
      </c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8"/>
      <c r="H29" s="9" t="s">
        <v>60</v>
      </c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8"/>
      <c r="H30" s="9" t="s">
        <v>61</v>
      </c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8"/>
      <c r="H31" s="9" t="s">
        <v>62</v>
      </c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8"/>
      <c r="H32" s="9" t="s">
        <v>29</v>
      </c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8"/>
      <c r="H33" s="9" t="s">
        <v>63</v>
      </c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8"/>
      <c r="H34" s="9" t="s">
        <v>64</v>
      </c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/>
      <c r="F35" s="8"/>
      <c r="G35" s="8"/>
      <c r="H35" s="9" t="s">
        <v>65</v>
      </c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/>
      <c r="F36" s="8"/>
      <c r="G36" s="8"/>
      <c r="H36" s="9" t="s">
        <v>66</v>
      </c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/>
      <c r="F37" s="8"/>
      <c r="G37" s="8"/>
      <c r="H37" s="9" t="s">
        <v>67</v>
      </c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/>
      <c r="F38" s="8"/>
      <c r="G38" s="8"/>
      <c r="H38" s="9" t="s">
        <v>68</v>
      </c>
      <c r="K38" s="13"/>
      <c r="L38" s="13" t="s">
        <v>69</v>
      </c>
      <c r="M38" s="13"/>
    </row>
    <row r="39" ht="16.5" spans="1:14">
      <c r="A39" s="8">
        <f t="shared" si="0"/>
        <v>10030021</v>
      </c>
      <c r="B39" s="8">
        <v>100300</v>
      </c>
      <c r="C39" s="9">
        <v>21</v>
      </c>
      <c r="D39" s="9">
        <v>1</v>
      </c>
      <c r="E39" s="10"/>
      <c r="F39" s="8"/>
      <c r="G39" s="8">
        <v>100300021</v>
      </c>
      <c r="H39" s="9" t="s">
        <v>70</v>
      </c>
      <c r="I39">
        <v>1</v>
      </c>
      <c r="J39" t="str">
        <f>_xlfn.TEXTJOIN("_",TRUE,C39,I39)</f>
        <v>21_1</v>
      </c>
      <c r="K39">
        <v>6</v>
      </c>
      <c r="L39">
        <v>1</v>
      </c>
      <c r="M39" t="str">
        <f>_xlfn.TEXTJOIN("_",TRUE,C39,L39,K39)</f>
        <v>21_1_6</v>
      </c>
      <c r="N39" t="s">
        <v>71</v>
      </c>
    </row>
    <row r="40" customFormat="1" ht="16.5" spans="1:14">
      <c r="A40" s="8">
        <f t="shared" si="0"/>
        <v>10030022</v>
      </c>
      <c r="B40" s="8">
        <v>100300</v>
      </c>
      <c r="C40" s="9">
        <v>22</v>
      </c>
      <c r="D40" s="9">
        <v>1</v>
      </c>
      <c r="E40" s="10"/>
      <c r="F40" s="8"/>
      <c r="G40" s="8">
        <v>100300022</v>
      </c>
      <c r="H40" s="9" t="s">
        <v>72</v>
      </c>
      <c r="I40">
        <v>1</v>
      </c>
      <c r="J40" t="str">
        <f t="shared" ref="J40:J58" si="1">_xlfn.TEXTJOIN("_",TRUE,C40,I40)</f>
        <v>22_1</v>
      </c>
      <c r="K40" s="13">
        <v>9</v>
      </c>
      <c r="L40">
        <v>1</v>
      </c>
      <c r="M40" t="str">
        <f t="shared" ref="M40:M58" si="2">_xlfn.TEXTJOIN("_",TRUE,C40,L40,K40)</f>
        <v>22_1_9</v>
      </c>
      <c r="N40" t="str">
        <f>_xlfn.TEXTJOIN("|",TRUE,J39:J58)</f>
        <v>21_1|22_1|23_1|24_1|25_1|26_1|27_1|28_1|29_1|30_1|31_1|32_1|33_1|34_1|35_1|36_1|37_1|38_1|39_1|40_1</v>
      </c>
    </row>
    <row r="41" customFormat="1" ht="16.5" spans="1:13">
      <c r="A41" s="8">
        <f t="shared" si="0"/>
        <v>10030023</v>
      </c>
      <c r="B41" s="8">
        <v>100300</v>
      </c>
      <c r="C41" s="9">
        <v>23</v>
      </c>
      <c r="D41" s="9">
        <v>1</v>
      </c>
      <c r="E41" s="10"/>
      <c r="F41" s="8"/>
      <c r="G41" s="8">
        <v>100300023</v>
      </c>
      <c r="H41" s="9" t="s">
        <v>73</v>
      </c>
      <c r="I41">
        <v>1</v>
      </c>
      <c r="J41" t="str">
        <f t="shared" si="1"/>
        <v>23_1</v>
      </c>
      <c r="K41" s="13">
        <v>12</v>
      </c>
      <c r="L41">
        <v>1</v>
      </c>
      <c r="M41" t="str">
        <f t="shared" si="2"/>
        <v>23_1_12</v>
      </c>
    </row>
    <row r="42" customFormat="1" ht="16.5" spans="1:14">
      <c r="A42" s="8">
        <f t="shared" si="0"/>
        <v>10030024</v>
      </c>
      <c r="B42" s="8">
        <v>100300</v>
      </c>
      <c r="C42" s="9">
        <v>24</v>
      </c>
      <c r="D42" s="9">
        <v>1</v>
      </c>
      <c r="E42" s="10"/>
      <c r="F42" s="8"/>
      <c r="G42" s="8">
        <v>100300024</v>
      </c>
      <c r="H42" s="9" t="s">
        <v>74</v>
      </c>
      <c r="I42">
        <v>1</v>
      </c>
      <c r="J42" t="str">
        <f t="shared" si="1"/>
        <v>24_1</v>
      </c>
      <c r="K42" s="13">
        <v>15</v>
      </c>
      <c r="L42">
        <v>1</v>
      </c>
      <c r="M42" t="str">
        <f t="shared" si="2"/>
        <v>24_1_15</v>
      </c>
      <c r="N42" t="s">
        <v>75</v>
      </c>
    </row>
    <row r="43" customFormat="1" ht="16.5" spans="1:14">
      <c r="A43" s="8">
        <f t="shared" si="0"/>
        <v>10030025</v>
      </c>
      <c r="B43" s="8">
        <v>100300</v>
      </c>
      <c r="C43" s="9">
        <v>25</v>
      </c>
      <c r="D43" s="9">
        <v>1</v>
      </c>
      <c r="E43" s="10"/>
      <c r="F43" s="8"/>
      <c r="G43" s="8">
        <v>100300025</v>
      </c>
      <c r="H43" s="9" t="s">
        <v>76</v>
      </c>
      <c r="I43">
        <v>1</v>
      </c>
      <c r="J43" t="str">
        <f t="shared" si="1"/>
        <v>25_1</v>
      </c>
      <c r="K43" s="13">
        <v>21</v>
      </c>
      <c r="L43">
        <v>1</v>
      </c>
      <c r="M43" t="str">
        <f t="shared" si="2"/>
        <v>25_1_21</v>
      </c>
      <c r="N43" t="str">
        <f>_xlfn.TEXTJOIN("|",TRUE,M39:M58)</f>
        <v>21_1_6|22_1_9|23_1_12|24_1_15|25_1_21|26_1_24|27_1_32|28_1_38|29_1_49|30_1_58|31_1_68|32_1_79|33_1_85|34_1_96|35_1_105|36_1_110|37_1_125|38_1_138|39_1_150|40_1_210</v>
      </c>
    </row>
    <row r="44" customFormat="1" ht="16.5" spans="1:13">
      <c r="A44" s="8">
        <f t="shared" si="0"/>
        <v>10030026</v>
      </c>
      <c r="B44" s="8">
        <v>100300</v>
      </c>
      <c r="C44" s="9">
        <v>26</v>
      </c>
      <c r="D44" s="9">
        <v>1</v>
      </c>
      <c r="E44" s="10"/>
      <c r="F44" s="8"/>
      <c r="G44" s="8">
        <v>100300026</v>
      </c>
      <c r="H44" s="9" t="s">
        <v>77</v>
      </c>
      <c r="I44">
        <v>1</v>
      </c>
      <c r="J44" t="str">
        <f t="shared" si="1"/>
        <v>26_1</v>
      </c>
      <c r="K44" s="13">
        <v>24</v>
      </c>
      <c r="L44">
        <v>1</v>
      </c>
      <c r="M44" t="str">
        <f t="shared" si="2"/>
        <v>26_1_24</v>
      </c>
    </row>
    <row r="45" customFormat="1" ht="16.5" spans="1:13">
      <c r="A45" s="8">
        <f t="shared" si="0"/>
        <v>10030027</v>
      </c>
      <c r="B45" s="8">
        <v>100300</v>
      </c>
      <c r="C45" s="9">
        <v>27</v>
      </c>
      <c r="D45" s="9">
        <v>1</v>
      </c>
      <c r="E45" s="10"/>
      <c r="F45" s="8"/>
      <c r="G45" s="8">
        <v>100300027</v>
      </c>
      <c r="H45" s="9" t="s">
        <v>78</v>
      </c>
      <c r="I45">
        <v>1</v>
      </c>
      <c r="J45" t="str">
        <f t="shared" si="1"/>
        <v>27_1</v>
      </c>
      <c r="K45" s="13">
        <v>32</v>
      </c>
      <c r="L45">
        <v>1</v>
      </c>
      <c r="M45" t="str">
        <f t="shared" si="2"/>
        <v>27_1_32</v>
      </c>
    </row>
    <row r="46" customFormat="1" ht="16.5" spans="1:13">
      <c r="A46" s="8">
        <f t="shared" si="0"/>
        <v>10030028</v>
      </c>
      <c r="B46" s="8">
        <v>100300</v>
      </c>
      <c r="C46" s="9">
        <v>28</v>
      </c>
      <c r="D46" s="9">
        <v>1</v>
      </c>
      <c r="E46" s="10"/>
      <c r="F46" s="8"/>
      <c r="G46" s="8">
        <v>100300028</v>
      </c>
      <c r="H46" s="9" t="s">
        <v>79</v>
      </c>
      <c r="I46">
        <v>1</v>
      </c>
      <c r="J46" t="str">
        <f t="shared" si="1"/>
        <v>28_1</v>
      </c>
      <c r="K46" s="13">
        <v>38</v>
      </c>
      <c r="L46">
        <v>1</v>
      </c>
      <c r="M46" t="str">
        <f t="shared" si="2"/>
        <v>28_1_38</v>
      </c>
    </row>
    <row r="47" customFormat="1" ht="16.5" spans="1:13">
      <c r="A47" s="8">
        <f t="shared" ref="A47:A59" si="3">B47*100+C47</f>
        <v>10030029</v>
      </c>
      <c r="B47" s="8">
        <v>100300</v>
      </c>
      <c r="C47" s="9">
        <v>29</v>
      </c>
      <c r="D47" s="9">
        <v>1</v>
      </c>
      <c r="E47" s="10"/>
      <c r="F47" s="8"/>
      <c r="G47" s="8">
        <v>100300029</v>
      </c>
      <c r="H47" s="9" t="s">
        <v>80</v>
      </c>
      <c r="I47">
        <v>1</v>
      </c>
      <c r="J47" t="str">
        <f t="shared" si="1"/>
        <v>29_1</v>
      </c>
      <c r="K47" s="13">
        <v>49</v>
      </c>
      <c r="L47">
        <v>1</v>
      </c>
      <c r="M47" t="str">
        <f t="shared" si="2"/>
        <v>29_1_49</v>
      </c>
    </row>
    <row r="48" customFormat="1" ht="16.5" spans="1:13">
      <c r="A48" s="8">
        <f t="shared" si="3"/>
        <v>10030030</v>
      </c>
      <c r="B48" s="8">
        <v>100300</v>
      </c>
      <c r="C48" s="9">
        <v>30</v>
      </c>
      <c r="D48" s="9">
        <v>1</v>
      </c>
      <c r="E48" s="10"/>
      <c r="F48" s="8"/>
      <c r="G48" s="8">
        <v>100300030</v>
      </c>
      <c r="H48" s="9" t="s">
        <v>81</v>
      </c>
      <c r="I48">
        <v>1</v>
      </c>
      <c r="J48" t="str">
        <f t="shared" si="1"/>
        <v>30_1</v>
      </c>
      <c r="K48" s="13">
        <v>58</v>
      </c>
      <c r="L48">
        <v>1</v>
      </c>
      <c r="M48" t="str">
        <f t="shared" si="2"/>
        <v>30_1_58</v>
      </c>
    </row>
    <row r="49" customFormat="1" ht="16.5" spans="1:13">
      <c r="A49" s="8">
        <f t="shared" si="3"/>
        <v>10030031</v>
      </c>
      <c r="B49" s="8">
        <v>100300</v>
      </c>
      <c r="C49" s="9">
        <v>31</v>
      </c>
      <c r="D49" s="9">
        <v>1</v>
      </c>
      <c r="E49" s="10"/>
      <c r="F49" s="8"/>
      <c r="G49" s="8">
        <v>100300031</v>
      </c>
      <c r="H49" s="9" t="s">
        <v>82</v>
      </c>
      <c r="I49">
        <v>1</v>
      </c>
      <c r="J49" t="str">
        <f t="shared" si="1"/>
        <v>31_1</v>
      </c>
      <c r="K49" s="13">
        <v>68</v>
      </c>
      <c r="L49">
        <v>1</v>
      </c>
      <c r="M49" t="str">
        <f t="shared" si="2"/>
        <v>31_1_68</v>
      </c>
    </row>
    <row r="50" customFormat="1" ht="16.5" spans="1:13">
      <c r="A50" s="8">
        <f t="shared" si="3"/>
        <v>10030032</v>
      </c>
      <c r="B50" s="8">
        <v>100300</v>
      </c>
      <c r="C50" s="9">
        <v>32</v>
      </c>
      <c r="D50" s="9">
        <v>1</v>
      </c>
      <c r="E50" s="10"/>
      <c r="F50" s="8"/>
      <c r="G50" s="8">
        <v>100300032</v>
      </c>
      <c r="H50" s="9" t="s">
        <v>83</v>
      </c>
      <c r="I50">
        <v>1</v>
      </c>
      <c r="J50" t="str">
        <f t="shared" si="1"/>
        <v>32_1</v>
      </c>
      <c r="K50" s="13">
        <v>79</v>
      </c>
      <c r="L50">
        <v>1</v>
      </c>
      <c r="M50" t="str">
        <f t="shared" si="2"/>
        <v>32_1_79</v>
      </c>
    </row>
    <row r="51" customFormat="1" ht="16.5" spans="1:13">
      <c r="A51" s="8">
        <f t="shared" si="3"/>
        <v>10030033</v>
      </c>
      <c r="B51" s="8">
        <v>100300</v>
      </c>
      <c r="C51" s="9">
        <v>33</v>
      </c>
      <c r="D51" s="9">
        <v>1</v>
      </c>
      <c r="E51" s="10"/>
      <c r="F51" s="8"/>
      <c r="G51" s="8">
        <v>100300033</v>
      </c>
      <c r="H51" s="9" t="s">
        <v>84</v>
      </c>
      <c r="I51">
        <v>1</v>
      </c>
      <c r="J51" t="str">
        <f t="shared" si="1"/>
        <v>33_1</v>
      </c>
      <c r="K51" s="13">
        <v>85</v>
      </c>
      <c r="L51">
        <v>1</v>
      </c>
      <c r="M51" t="str">
        <f t="shared" si="2"/>
        <v>33_1_85</v>
      </c>
    </row>
    <row r="52" customFormat="1" ht="16.5" spans="1:13">
      <c r="A52" s="8">
        <f t="shared" si="3"/>
        <v>10030034</v>
      </c>
      <c r="B52" s="8">
        <v>100300</v>
      </c>
      <c r="C52" s="9">
        <v>34</v>
      </c>
      <c r="D52" s="9">
        <v>1</v>
      </c>
      <c r="E52" s="10"/>
      <c r="F52" s="8"/>
      <c r="G52" s="8">
        <v>100300034</v>
      </c>
      <c r="H52" s="9" t="s">
        <v>85</v>
      </c>
      <c r="I52">
        <v>1</v>
      </c>
      <c r="J52" t="str">
        <f t="shared" si="1"/>
        <v>34_1</v>
      </c>
      <c r="K52" s="13">
        <v>96</v>
      </c>
      <c r="L52">
        <v>1</v>
      </c>
      <c r="M52" t="str">
        <f t="shared" si="2"/>
        <v>34_1_96</v>
      </c>
    </row>
    <row r="53" customFormat="1" ht="16.5" spans="1:13">
      <c r="A53" s="8">
        <f t="shared" si="3"/>
        <v>10030035</v>
      </c>
      <c r="B53" s="8">
        <v>100300</v>
      </c>
      <c r="C53" s="9">
        <v>35</v>
      </c>
      <c r="D53" s="9">
        <v>1</v>
      </c>
      <c r="E53" s="10"/>
      <c r="F53" s="8"/>
      <c r="G53" s="8">
        <v>100300035</v>
      </c>
      <c r="H53" s="9" t="s">
        <v>86</v>
      </c>
      <c r="I53">
        <v>1</v>
      </c>
      <c r="J53" t="str">
        <f t="shared" si="1"/>
        <v>35_1</v>
      </c>
      <c r="K53" s="13">
        <v>105</v>
      </c>
      <c r="L53">
        <v>1</v>
      </c>
      <c r="M53" t="str">
        <f t="shared" si="2"/>
        <v>35_1_105</v>
      </c>
    </row>
    <row r="54" customFormat="1" ht="16.5" spans="1:13">
      <c r="A54" s="8">
        <f t="shared" si="3"/>
        <v>10030036</v>
      </c>
      <c r="B54" s="8">
        <v>100300</v>
      </c>
      <c r="C54" s="9">
        <v>36</v>
      </c>
      <c r="D54" s="9">
        <v>1</v>
      </c>
      <c r="E54" s="10"/>
      <c r="F54" s="8"/>
      <c r="G54" s="8">
        <v>100300036</v>
      </c>
      <c r="H54" s="9" t="s">
        <v>87</v>
      </c>
      <c r="I54">
        <v>1</v>
      </c>
      <c r="J54" t="str">
        <f t="shared" si="1"/>
        <v>36_1</v>
      </c>
      <c r="K54" s="13">
        <v>110</v>
      </c>
      <c r="L54">
        <v>1</v>
      </c>
      <c r="M54" t="str">
        <f t="shared" si="2"/>
        <v>36_1_110</v>
      </c>
    </row>
    <row r="55" customFormat="1" ht="16.5" spans="1:13">
      <c r="A55" s="8">
        <f t="shared" si="3"/>
        <v>10030037</v>
      </c>
      <c r="B55" s="8">
        <v>100300</v>
      </c>
      <c r="C55" s="9">
        <v>37</v>
      </c>
      <c r="D55" s="9">
        <v>1</v>
      </c>
      <c r="E55" s="10"/>
      <c r="F55" s="8"/>
      <c r="G55" s="8">
        <v>100300037</v>
      </c>
      <c r="H55" s="9" t="s">
        <v>88</v>
      </c>
      <c r="I55">
        <v>1</v>
      </c>
      <c r="J55" t="str">
        <f t="shared" si="1"/>
        <v>37_1</v>
      </c>
      <c r="K55" s="13">
        <v>125</v>
      </c>
      <c r="L55">
        <v>1</v>
      </c>
      <c r="M55" t="str">
        <f t="shared" si="2"/>
        <v>37_1_125</v>
      </c>
    </row>
    <row r="56" customFormat="1" ht="16.5" spans="1:13">
      <c r="A56" s="8">
        <f t="shared" si="3"/>
        <v>10030038</v>
      </c>
      <c r="B56" s="8">
        <v>100300</v>
      </c>
      <c r="C56" s="9">
        <v>38</v>
      </c>
      <c r="D56" s="9">
        <v>1</v>
      </c>
      <c r="E56" s="10"/>
      <c r="F56" s="8"/>
      <c r="G56" s="8">
        <v>100300038</v>
      </c>
      <c r="H56" s="9" t="s">
        <v>89</v>
      </c>
      <c r="I56">
        <v>1</v>
      </c>
      <c r="J56" t="str">
        <f t="shared" si="1"/>
        <v>38_1</v>
      </c>
      <c r="K56" s="13">
        <v>138</v>
      </c>
      <c r="L56">
        <v>1</v>
      </c>
      <c r="M56" t="str">
        <f t="shared" si="2"/>
        <v>38_1_138</v>
      </c>
    </row>
    <row r="57" customFormat="1" ht="16.5" spans="1:13">
      <c r="A57" s="8">
        <f t="shared" si="3"/>
        <v>10030039</v>
      </c>
      <c r="B57" s="8">
        <v>100300</v>
      </c>
      <c r="C57" s="9">
        <v>39</v>
      </c>
      <c r="D57" s="9">
        <v>1</v>
      </c>
      <c r="E57" s="10"/>
      <c r="F57" s="8"/>
      <c r="G57" s="8">
        <v>100300039</v>
      </c>
      <c r="H57" s="9" t="s">
        <v>90</v>
      </c>
      <c r="I57">
        <v>1</v>
      </c>
      <c r="J57" t="str">
        <f t="shared" si="1"/>
        <v>39_1</v>
      </c>
      <c r="K57" s="13">
        <v>150</v>
      </c>
      <c r="L57">
        <v>1</v>
      </c>
      <c r="M57" t="str">
        <f t="shared" si="2"/>
        <v>39_1_150</v>
      </c>
    </row>
    <row r="58" customFormat="1" ht="16.5" spans="1:13">
      <c r="A58" s="8">
        <f t="shared" si="3"/>
        <v>10030040</v>
      </c>
      <c r="B58" s="8">
        <v>100300</v>
      </c>
      <c r="C58" s="9">
        <v>40</v>
      </c>
      <c r="D58" s="9">
        <v>1</v>
      </c>
      <c r="E58" s="10"/>
      <c r="F58" s="8"/>
      <c r="G58" s="8">
        <v>100300040</v>
      </c>
      <c r="H58" s="9" t="s">
        <v>91</v>
      </c>
      <c r="I58">
        <v>1</v>
      </c>
      <c r="J58" t="str">
        <f t="shared" si="1"/>
        <v>40_1</v>
      </c>
      <c r="K58" s="13">
        <v>210</v>
      </c>
      <c r="L58">
        <v>1</v>
      </c>
      <c r="M58" t="str">
        <f t="shared" si="2"/>
        <v>40_1_210</v>
      </c>
    </row>
    <row r="59" customFormat="1" ht="16.5" spans="1:13">
      <c r="A59" s="8">
        <f t="shared" si="3"/>
        <v>10030099</v>
      </c>
      <c r="B59" s="8">
        <v>100300</v>
      </c>
      <c r="C59" s="9">
        <v>99</v>
      </c>
      <c r="D59" s="9">
        <v>1</v>
      </c>
      <c r="E59" s="10"/>
      <c r="F59" s="8"/>
      <c r="G59" s="8"/>
      <c r="H59" s="9" t="s">
        <v>92</v>
      </c>
      <c r="K59" s="13"/>
      <c r="L59" s="13"/>
      <c r="M59" s="13"/>
    </row>
    <row r="60" ht="16.5" spans="1:13">
      <c r="A60" s="11">
        <f t="shared" ref="A60:A89" si="4">B60*100+C60</f>
        <v>10070001</v>
      </c>
      <c r="B60" s="11">
        <v>100700</v>
      </c>
      <c r="C60" s="12">
        <v>1</v>
      </c>
      <c r="D60" s="12">
        <v>0</v>
      </c>
      <c r="E60" s="12" t="s">
        <v>93</v>
      </c>
      <c r="F60" s="12"/>
      <c r="G60" s="12"/>
      <c r="H60" s="12" t="s">
        <v>94</v>
      </c>
      <c r="K60" s="13"/>
      <c r="L60" s="13"/>
      <c r="M60" s="13"/>
    </row>
    <row r="61" ht="16.5" spans="1:13">
      <c r="A61" s="11">
        <f t="shared" si="4"/>
        <v>10070002</v>
      </c>
      <c r="B61" s="11">
        <v>100700</v>
      </c>
      <c r="C61" s="12">
        <v>2</v>
      </c>
      <c r="D61" s="12">
        <v>0</v>
      </c>
      <c r="E61" s="12" t="s">
        <v>95</v>
      </c>
      <c r="F61" s="12"/>
      <c r="G61" s="12"/>
      <c r="H61" s="12" t="s">
        <v>96</v>
      </c>
      <c r="K61" s="13"/>
      <c r="L61" s="13"/>
      <c r="M61" s="13"/>
    </row>
    <row r="62" ht="16.5" spans="1:13">
      <c r="A62" s="11">
        <f t="shared" si="4"/>
        <v>10070003</v>
      </c>
      <c r="B62" s="11">
        <v>100700</v>
      </c>
      <c r="C62" s="12">
        <v>3</v>
      </c>
      <c r="D62" s="12">
        <v>0</v>
      </c>
      <c r="E62" s="12" t="s">
        <v>97</v>
      </c>
      <c r="F62" s="12"/>
      <c r="G62" s="12"/>
      <c r="H62" s="12" t="s">
        <v>98</v>
      </c>
      <c r="K62" s="13"/>
      <c r="L62" s="13"/>
      <c r="M62" s="13"/>
    </row>
    <row r="63" ht="16.5" spans="1:13">
      <c r="A63" s="11">
        <f t="shared" si="4"/>
        <v>10070004</v>
      </c>
      <c r="B63" s="11">
        <v>100700</v>
      </c>
      <c r="C63" s="12">
        <v>4</v>
      </c>
      <c r="D63" s="12">
        <v>0</v>
      </c>
      <c r="E63" s="12" t="s">
        <v>99</v>
      </c>
      <c r="F63" s="12"/>
      <c r="G63" s="12"/>
      <c r="H63" s="12" t="s">
        <v>100</v>
      </c>
      <c r="K63" s="13"/>
      <c r="L63" s="13"/>
      <c r="M63" s="13"/>
    </row>
    <row r="64" ht="16.5" spans="1:13">
      <c r="A64" s="11">
        <f t="shared" si="4"/>
        <v>10070005</v>
      </c>
      <c r="B64" s="11">
        <v>100700</v>
      </c>
      <c r="C64" s="12">
        <v>5</v>
      </c>
      <c r="D64" s="12">
        <v>0</v>
      </c>
      <c r="E64" s="12" t="s">
        <v>101</v>
      </c>
      <c r="F64" s="12"/>
      <c r="G64" s="12"/>
      <c r="H64" s="12" t="s">
        <v>102</v>
      </c>
      <c r="K64" s="13"/>
      <c r="L64" s="13"/>
      <c r="M64" s="13"/>
    </row>
    <row r="65" ht="16.5" spans="1:13">
      <c r="A65" s="11">
        <f t="shared" si="4"/>
        <v>10070006</v>
      </c>
      <c r="B65" s="11">
        <v>100700</v>
      </c>
      <c r="C65" s="12">
        <v>6</v>
      </c>
      <c r="D65" s="12">
        <v>0</v>
      </c>
      <c r="E65" s="12" t="s">
        <v>103</v>
      </c>
      <c r="F65" s="12"/>
      <c r="G65" s="12"/>
      <c r="H65" s="12" t="s">
        <v>104</v>
      </c>
      <c r="K65" s="13"/>
      <c r="L65" s="13"/>
      <c r="M65" s="13"/>
    </row>
    <row r="66" ht="16.5" spans="1:13">
      <c r="A66" s="11">
        <f t="shared" si="4"/>
        <v>10070007</v>
      </c>
      <c r="B66" s="11">
        <v>100700</v>
      </c>
      <c r="C66" s="12">
        <v>7</v>
      </c>
      <c r="D66" s="12">
        <v>0</v>
      </c>
      <c r="E66" s="12" t="s">
        <v>105</v>
      </c>
      <c r="F66" s="12"/>
      <c r="G66" s="12"/>
      <c r="H66" s="12" t="s">
        <v>106</v>
      </c>
      <c r="K66" s="13"/>
      <c r="L66" s="13"/>
      <c r="M66" s="13"/>
    </row>
    <row r="67" ht="16.5" spans="1:13">
      <c r="A67" s="11">
        <f t="shared" si="4"/>
        <v>10070008</v>
      </c>
      <c r="B67" s="11">
        <v>100700</v>
      </c>
      <c r="C67" s="12">
        <v>8</v>
      </c>
      <c r="D67" s="12">
        <v>0</v>
      </c>
      <c r="E67" s="12" t="s">
        <v>107</v>
      </c>
      <c r="F67" s="12"/>
      <c r="G67" s="12"/>
      <c r="H67" s="12" t="s">
        <v>108</v>
      </c>
      <c r="K67" s="13"/>
      <c r="L67" s="13"/>
      <c r="M67" s="13"/>
    </row>
    <row r="68" ht="16.5" spans="1:13">
      <c r="A68" s="11">
        <f t="shared" si="4"/>
        <v>10070009</v>
      </c>
      <c r="B68" s="11">
        <v>100700</v>
      </c>
      <c r="C68" s="12">
        <v>9</v>
      </c>
      <c r="D68" s="12">
        <v>1</v>
      </c>
      <c r="E68" s="12" t="s">
        <v>109</v>
      </c>
      <c r="F68" s="12"/>
      <c r="G68" s="12"/>
      <c r="H68" s="12" t="s">
        <v>110</v>
      </c>
      <c r="K68" s="13"/>
      <c r="L68" s="13"/>
      <c r="M68" s="13"/>
    </row>
    <row r="69" ht="16.5" spans="1:13">
      <c r="A69" s="11">
        <f t="shared" si="4"/>
        <v>10070010</v>
      </c>
      <c r="B69" s="11">
        <v>100700</v>
      </c>
      <c r="C69" s="12">
        <v>10</v>
      </c>
      <c r="D69" s="12">
        <v>2</v>
      </c>
      <c r="E69" s="12" t="s">
        <v>111</v>
      </c>
      <c r="F69" s="12"/>
      <c r="G69" s="12"/>
      <c r="H69" s="12" t="s">
        <v>112</v>
      </c>
      <c r="K69" s="13"/>
      <c r="L69" s="13"/>
      <c r="M69" s="13"/>
    </row>
    <row r="70" ht="16.5" spans="1:13">
      <c r="A70" s="14">
        <f t="shared" si="4"/>
        <v>10070011</v>
      </c>
      <c r="B70" s="14">
        <v>100700</v>
      </c>
      <c r="C70" s="15">
        <v>11</v>
      </c>
      <c r="D70" s="15">
        <v>0</v>
      </c>
      <c r="E70" s="15" t="s">
        <v>113</v>
      </c>
      <c r="F70" s="12">
        <v>9</v>
      </c>
      <c r="G70" s="12"/>
      <c r="H70" s="15" t="s">
        <v>114</v>
      </c>
      <c r="K70" s="13"/>
      <c r="L70" s="13"/>
      <c r="M70" s="13"/>
    </row>
    <row r="71" ht="16.5" spans="1:13">
      <c r="A71" s="14">
        <f t="shared" si="4"/>
        <v>10070012</v>
      </c>
      <c r="B71" s="14">
        <v>100700</v>
      </c>
      <c r="C71" s="15">
        <v>12</v>
      </c>
      <c r="D71" s="15">
        <v>0</v>
      </c>
      <c r="E71" s="15" t="s">
        <v>115</v>
      </c>
      <c r="F71" s="12">
        <v>9</v>
      </c>
      <c r="G71" s="12"/>
      <c r="H71" s="15" t="s">
        <v>116</v>
      </c>
      <c r="K71" s="13"/>
      <c r="L71" s="13"/>
      <c r="M71" s="13"/>
    </row>
    <row r="72" ht="16.5" spans="1:13">
      <c r="A72" s="14">
        <f t="shared" si="4"/>
        <v>10070013</v>
      </c>
      <c r="B72" s="14">
        <v>100700</v>
      </c>
      <c r="C72" s="15">
        <v>13</v>
      </c>
      <c r="D72" s="15">
        <v>0</v>
      </c>
      <c r="E72" s="15" t="s">
        <v>117</v>
      </c>
      <c r="F72" s="12">
        <v>9</v>
      </c>
      <c r="G72" s="12"/>
      <c r="H72" s="15" t="s">
        <v>118</v>
      </c>
      <c r="K72" s="13"/>
      <c r="L72" s="13"/>
      <c r="M72" s="13"/>
    </row>
    <row r="73" ht="16.5" spans="1:13">
      <c r="A73" s="14">
        <f t="shared" si="4"/>
        <v>10070014</v>
      </c>
      <c r="B73" s="14">
        <v>100700</v>
      </c>
      <c r="C73" s="15">
        <v>14</v>
      </c>
      <c r="D73" s="15">
        <v>0</v>
      </c>
      <c r="E73" s="15" t="s">
        <v>119</v>
      </c>
      <c r="F73" s="12">
        <v>9</v>
      </c>
      <c r="G73" s="12"/>
      <c r="H73" s="15" t="s">
        <v>120</v>
      </c>
      <c r="K73" s="13"/>
      <c r="L73" s="13"/>
      <c r="M73" s="13"/>
    </row>
    <row r="74" ht="16.5" spans="1:13">
      <c r="A74" s="14">
        <f t="shared" si="4"/>
        <v>10070015</v>
      </c>
      <c r="B74" s="14">
        <v>100700</v>
      </c>
      <c r="C74" s="15">
        <v>15</v>
      </c>
      <c r="D74" s="15">
        <v>0</v>
      </c>
      <c r="E74" s="15" t="s">
        <v>121</v>
      </c>
      <c r="F74" s="12">
        <v>9</v>
      </c>
      <c r="G74" s="12"/>
      <c r="H74" s="15" t="s">
        <v>122</v>
      </c>
      <c r="K74" s="13"/>
      <c r="L74" s="13"/>
      <c r="M74" s="13"/>
    </row>
    <row r="75" ht="16.5" spans="1:13">
      <c r="A75" s="14">
        <f t="shared" si="4"/>
        <v>10070016</v>
      </c>
      <c r="B75" s="14">
        <v>100700</v>
      </c>
      <c r="C75" s="15">
        <v>16</v>
      </c>
      <c r="D75" s="15">
        <v>0</v>
      </c>
      <c r="E75" s="15" t="s">
        <v>123</v>
      </c>
      <c r="F75" s="12">
        <v>9</v>
      </c>
      <c r="G75" s="12"/>
      <c r="H75" s="15" t="s">
        <v>124</v>
      </c>
      <c r="K75" s="13"/>
      <c r="L75" s="13"/>
      <c r="M75" s="13"/>
    </row>
    <row r="76" ht="16.5" spans="1:13">
      <c r="A76" s="14">
        <f t="shared" si="4"/>
        <v>10070017</v>
      </c>
      <c r="B76" s="14">
        <v>100700</v>
      </c>
      <c r="C76" s="15">
        <v>17</v>
      </c>
      <c r="D76" s="15">
        <v>0</v>
      </c>
      <c r="E76" s="15" t="s">
        <v>125</v>
      </c>
      <c r="F76" s="12">
        <v>9</v>
      </c>
      <c r="G76" s="12"/>
      <c r="H76" s="15" t="s">
        <v>126</v>
      </c>
      <c r="K76" s="13"/>
      <c r="L76" s="13"/>
      <c r="M76" s="13"/>
    </row>
    <row r="77" ht="16.5" spans="1:13">
      <c r="A77" s="14">
        <f t="shared" si="4"/>
        <v>10070018</v>
      </c>
      <c r="B77" s="14">
        <v>100700</v>
      </c>
      <c r="C77" s="15">
        <v>18</v>
      </c>
      <c r="D77" s="15">
        <v>0</v>
      </c>
      <c r="E77" s="15" t="s">
        <v>127</v>
      </c>
      <c r="F77" s="12">
        <v>9</v>
      </c>
      <c r="G77" s="12"/>
      <c r="H77" s="15" t="s">
        <v>128</v>
      </c>
      <c r="K77" s="13"/>
      <c r="L77" s="13"/>
      <c r="M77" s="13"/>
    </row>
    <row r="78" ht="16.5" spans="1:13">
      <c r="A78" s="8">
        <f t="shared" si="4"/>
        <v>10120001</v>
      </c>
      <c r="B78" s="8">
        <v>101200</v>
      </c>
      <c r="C78" s="9">
        <v>1</v>
      </c>
      <c r="D78" s="9">
        <v>0</v>
      </c>
      <c r="E78" s="10"/>
      <c r="F78" s="8"/>
      <c r="G78" s="8"/>
      <c r="H78" s="9" t="s">
        <v>129</v>
      </c>
      <c r="K78" s="13"/>
      <c r="L78" s="13"/>
      <c r="M78" s="13"/>
    </row>
    <row r="79" ht="16.5" spans="1:13">
      <c r="A79" s="8">
        <f t="shared" si="4"/>
        <v>10120002</v>
      </c>
      <c r="B79" s="8">
        <v>101200</v>
      </c>
      <c r="C79" s="9">
        <v>2</v>
      </c>
      <c r="D79" s="9">
        <v>0</v>
      </c>
      <c r="E79" s="10"/>
      <c r="F79" s="8"/>
      <c r="G79" s="8"/>
      <c r="H79" s="9" t="s">
        <v>130</v>
      </c>
      <c r="K79" s="13"/>
      <c r="L79" s="13"/>
      <c r="M79" s="13"/>
    </row>
    <row r="80" ht="16.5" spans="1:13">
      <c r="A80" s="8">
        <f t="shared" si="4"/>
        <v>10120003</v>
      </c>
      <c r="B80" s="8">
        <v>101200</v>
      </c>
      <c r="C80" s="9">
        <v>3</v>
      </c>
      <c r="D80" s="9">
        <v>0</v>
      </c>
      <c r="E80" s="10"/>
      <c r="F80" s="8"/>
      <c r="G80" s="8"/>
      <c r="H80" s="9" t="s">
        <v>131</v>
      </c>
      <c r="K80" s="13"/>
      <c r="L80" s="13"/>
      <c r="M80" s="13"/>
    </row>
    <row r="81" ht="16.5" spans="1:13">
      <c r="A81" s="8">
        <f t="shared" si="4"/>
        <v>10120004</v>
      </c>
      <c r="B81" s="8">
        <v>101200</v>
      </c>
      <c r="C81" s="9">
        <v>4</v>
      </c>
      <c r="D81" s="9">
        <v>0</v>
      </c>
      <c r="E81" s="10"/>
      <c r="F81" s="8"/>
      <c r="G81" s="8"/>
      <c r="H81" s="9" t="s">
        <v>132</v>
      </c>
      <c r="K81" s="13"/>
      <c r="L81" s="13"/>
      <c r="M81" s="13"/>
    </row>
    <row r="82" ht="16.5" spans="1:13">
      <c r="A82" s="8">
        <f t="shared" si="4"/>
        <v>10120005</v>
      </c>
      <c r="B82" s="8">
        <v>101200</v>
      </c>
      <c r="C82" s="9">
        <v>5</v>
      </c>
      <c r="D82" s="9">
        <v>0</v>
      </c>
      <c r="E82" s="10"/>
      <c r="F82" s="8"/>
      <c r="G82" s="8"/>
      <c r="H82" s="9" t="s">
        <v>133</v>
      </c>
      <c r="K82" s="13"/>
      <c r="L82" s="13"/>
      <c r="M82" s="13"/>
    </row>
    <row r="83" ht="16.5" spans="1:13">
      <c r="A83" s="8">
        <f t="shared" si="4"/>
        <v>10120006</v>
      </c>
      <c r="B83" s="8">
        <v>101200</v>
      </c>
      <c r="C83" s="9">
        <v>6</v>
      </c>
      <c r="D83" s="9">
        <v>0</v>
      </c>
      <c r="E83" s="10"/>
      <c r="F83" s="8"/>
      <c r="G83" s="8"/>
      <c r="H83" s="9" t="s">
        <v>134</v>
      </c>
      <c r="K83" s="13"/>
      <c r="L83" s="13"/>
      <c r="M83" s="13"/>
    </row>
    <row r="84" ht="16.5" spans="1:13">
      <c r="A84" s="8">
        <f t="shared" ref="A84:A103" si="5">B84*100+C84</f>
        <v>10120009</v>
      </c>
      <c r="B84" s="8">
        <v>101200</v>
      </c>
      <c r="C84" s="9">
        <v>9</v>
      </c>
      <c r="D84" s="9">
        <v>2</v>
      </c>
      <c r="E84" s="10"/>
      <c r="F84" s="8"/>
      <c r="G84" s="8"/>
      <c r="H84" s="9" t="s">
        <v>135</v>
      </c>
      <c r="K84" s="13"/>
      <c r="L84" s="13"/>
      <c r="M84" s="13"/>
    </row>
    <row r="85" ht="16.5" spans="1:13">
      <c r="A85" s="8">
        <f t="shared" si="5"/>
        <v>10120010</v>
      </c>
      <c r="B85" s="8">
        <v>101200</v>
      </c>
      <c r="C85" s="9">
        <v>10</v>
      </c>
      <c r="D85" s="9">
        <v>1</v>
      </c>
      <c r="E85" s="10"/>
      <c r="F85" s="8"/>
      <c r="G85" s="8"/>
      <c r="H85" s="9" t="s">
        <v>110</v>
      </c>
      <c r="K85" s="13"/>
      <c r="L85" s="13"/>
      <c r="M85" s="13"/>
    </row>
    <row r="86" ht="16.5" spans="1:13">
      <c r="A86" s="8">
        <f t="shared" si="5"/>
        <v>10120011</v>
      </c>
      <c r="B86" s="8">
        <v>101200</v>
      </c>
      <c r="C86" s="9">
        <v>11</v>
      </c>
      <c r="D86" s="9">
        <v>2</v>
      </c>
      <c r="E86" s="10"/>
      <c r="F86" s="8"/>
      <c r="G86" s="8"/>
      <c r="H86" s="9" t="s">
        <v>136</v>
      </c>
      <c r="K86" s="13"/>
      <c r="L86" s="13"/>
      <c r="M86" s="13"/>
    </row>
    <row r="87" ht="16.5" spans="1:13">
      <c r="A87" s="8">
        <f t="shared" si="5"/>
        <v>10120012</v>
      </c>
      <c r="B87" s="8">
        <v>101200</v>
      </c>
      <c r="C87" s="9">
        <v>12</v>
      </c>
      <c r="D87" s="9">
        <v>2</v>
      </c>
      <c r="E87" s="10"/>
      <c r="F87" s="8"/>
      <c r="G87" s="8"/>
      <c r="H87" s="9" t="s">
        <v>137</v>
      </c>
      <c r="K87" s="13"/>
      <c r="L87" s="13"/>
      <c r="M87" s="13"/>
    </row>
    <row r="88" customFormat="1" ht="16.5" spans="1:13">
      <c r="A88" s="8">
        <f t="shared" si="5"/>
        <v>10120013</v>
      </c>
      <c r="B88" s="8">
        <v>101200</v>
      </c>
      <c r="C88" s="9">
        <v>13</v>
      </c>
      <c r="D88" s="9">
        <v>2</v>
      </c>
      <c r="E88" s="10"/>
      <c r="F88" s="8"/>
      <c r="G88" s="8"/>
      <c r="H88" s="9" t="s">
        <v>138</v>
      </c>
      <c r="K88" s="13"/>
      <c r="L88" s="13"/>
      <c r="M88" s="13"/>
    </row>
    <row r="89" customFormat="1" ht="16.5" spans="1:13">
      <c r="A89" s="8">
        <f t="shared" si="5"/>
        <v>10120014</v>
      </c>
      <c r="B89" s="8">
        <v>101200</v>
      </c>
      <c r="C89" s="9">
        <v>14</v>
      </c>
      <c r="D89" s="9">
        <v>2</v>
      </c>
      <c r="E89" s="10"/>
      <c r="F89" s="8"/>
      <c r="G89" s="8"/>
      <c r="H89" s="9" t="s">
        <v>139</v>
      </c>
      <c r="K89" s="13"/>
      <c r="L89" s="13"/>
      <c r="M89" s="13"/>
    </row>
    <row r="90" customFormat="1" ht="16.5" spans="1:13">
      <c r="A90" s="8">
        <f t="shared" si="5"/>
        <v>10120015</v>
      </c>
      <c r="B90" s="8">
        <v>101200</v>
      </c>
      <c r="C90" s="9">
        <v>15</v>
      </c>
      <c r="D90" s="9">
        <v>2</v>
      </c>
      <c r="E90" s="10"/>
      <c r="F90" s="8"/>
      <c r="G90" s="8"/>
      <c r="H90" s="9" t="s">
        <v>140</v>
      </c>
      <c r="K90" s="13"/>
      <c r="L90" s="13"/>
      <c r="M90" s="13"/>
    </row>
    <row r="91" customFormat="1" ht="16.5" spans="1:13">
      <c r="A91" s="8">
        <f t="shared" si="5"/>
        <v>10120016</v>
      </c>
      <c r="B91" s="8">
        <v>101200</v>
      </c>
      <c r="C91" s="9">
        <v>16</v>
      </c>
      <c r="D91" s="9">
        <v>2</v>
      </c>
      <c r="E91" s="10"/>
      <c r="F91" s="8"/>
      <c r="G91" s="8"/>
      <c r="H91" s="9" t="s">
        <v>141</v>
      </c>
      <c r="K91" s="13"/>
      <c r="L91" s="13"/>
      <c r="M91" s="13"/>
    </row>
    <row r="92" customFormat="1" ht="16.5" spans="1:13">
      <c r="A92" s="8">
        <f t="shared" si="5"/>
        <v>10120021</v>
      </c>
      <c r="B92" s="8">
        <v>101200</v>
      </c>
      <c r="C92" s="9">
        <v>21</v>
      </c>
      <c r="D92" s="9">
        <v>2</v>
      </c>
      <c r="E92" s="10"/>
      <c r="F92" s="8"/>
      <c r="G92" s="8"/>
      <c r="H92" s="9" t="s">
        <v>142</v>
      </c>
      <c r="K92" s="13"/>
      <c r="L92" s="13"/>
      <c r="M92" s="13"/>
    </row>
    <row r="93" customFormat="1" ht="16.5" spans="1:13">
      <c r="A93" s="8">
        <f t="shared" si="5"/>
        <v>10120022</v>
      </c>
      <c r="B93" s="8">
        <v>101200</v>
      </c>
      <c r="C93" s="9">
        <v>22</v>
      </c>
      <c r="D93" s="9">
        <v>2</v>
      </c>
      <c r="E93" s="10"/>
      <c r="F93" s="8"/>
      <c r="G93" s="8"/>
      <c r="H93" s="9" t="s">
        <v>143</v>
      </c>
      <c r="K93" s="13"/>
      <c r="L93" s="13"/>
      <c r="M93" s="13"/>
    </row>
    <row r="94" customFormat="1" ht="16.5" spans="1:13">
      <c r="A94" s="8">
        <f t="shared" si="5"/>
        <v>10120023</v>
      </c>
      <c r="B94" s="8">
        <v>101200</v>
      </c>
      <c r="C94" s="9">
        <v>23</v>
      </c>
      <c r="D94" s="9">
        <v>2</v>
      </c>
      <c r="E94" s="10"/>
      <c r="F94" s="8"/>
      <c r="G94" s="8"/>
      <c r="H94" s="9" t="s">
        <v>144</v>
      </c>
      <c r="K94" s="13"/>
      <c r="L94" s="13"/>
      <c r="M94" s="13"/>
    </row>
    <row r="95" customFormat="1" ht="16.5" spans="1:13">
      <c r="A95" s="8">
        <f t="shared" si="5"/>
        <v>10120024</v>
      </c>
      <c r="B95" s="8">
        <v>101200</v>
      </c>
      <c r="C95" s="9">
        <v>24</v>
      </c>
      <c r="D95" s="9">
        <v>2</v>
      </c>
      <c r="E95" s="10"/>
      <c r="F95" s="8"/>
      <c r="G95" s="8"/>
      <c r="H95" s="9" t="s">
        <v>145</v>
      </c>
      <c r="K95" s="13"/>
      <c r="L95" s="13"/>
      <c r="M95" s="13"/>
    </row>
    <row r="96" customFormat="1" ht="16.5" spans="1:13">
      <c r="A96" s="8">
        <f t="shared" si="5"/>
        <v>10120025</v>
      </c>
      <c r="B96" s="8">
        <v>101200</v>
      </c>
      <c r="C96" s="9">
        <v>25</v>
      </c>
      <c r="D96" s="9">
        <v>2</v>
      </c>
      <c r="E96" s="10"/>
      <c r="F96" s="8"/>
      <c r="G96" s="8"/>
      <c r="H96" s="9" t="s">
        <v>146</v>
      </c>
      <c r="K96" s="13"/>
      <c r="L96" s="13"/>
      <c r="M96" s="13"/>
    </row>
    <row r="97" customFormat="1" ht="16.5" spans="1:13">
      <c r="A97" s="8">
        <f t="shared" si="5"/>
        <v>10120026</v>
      </c>
      <c r="B97" s="8">
        <v>101200</v>
      </c>
      <c r="C97" s="9">
        <v>26</v>
      </c>
      <c r="D97" s="9">
        <v>2</v>
      </c>
      <c r="E97" s="10"/>
      <c r="F97" s="8"/>
      <c r="G97" s="8"/>
      <c r="H97" s="9" t="s">
        <v>147</v>
      </c>
      <c r="K97" s="13"/>
      <c r="L97" s="13"/>
      <c r="M97" s="13"/>
    </row>
    <row r="98" customFormat="1" ht="16.5" spans="1:13">
      <c r="A98" s="8">
        <f t="shared" si="5"/>
        <v>10120031</v>
      </c>
      <c r="B98" s="8">
        <v>101200</v>
      </c>
      <c r="C98" s="9">
        <v>31</v>
      </c>
      <c r="D98" s="9">
        <v>2</v>
      </c>
      <c r="E98" s="10"/>
      <c r="F98" s="8"/>
      <c r="G98" s="8"/>
      <c r="H98" s="9" t="s">
        <v>148</v>
      </c>
      <c r="K98" s="13"/>
      <c r="L98" s="13"/>
      <c r="M98" s="13"/>
    </row>
    <row r="99" customFormat="1" ht="16.5" spans="1:13">
      <c r="A99" s="8">
        <f t="shared" si="5"/>
        <v>10120032</v>
      </c>
      <c r="B99" s="8">
        <v>101200</v>
      </c>
      <c r="C99" s="9">
        <v>32</v>
      </c>
      <c r="D99" s="9">
        <v>2</v>
      </c>
      <c r="E99" s="10"/>
      <c r="F99" s="8"/>
      <c r="G99" s="8"/>
      <c r="H99" s="9" t="s">
        <v>149</v>
      </c>
      <c r="K99" s="13"/>
      <c r="L99" s="13"/>
      <c r="M99" s="13"/>
    </row>
    <row r="100" customFormat="1" ht="16.5" spans="1:13">
      <c r="A100" s="8">
        <f t="shared" si="5"/>
        <v>10120033</v>
      </c>
      <c r="B100" s="8">
        <v>101200</v>
      </c>
      <c r="C100" s="9">
        <v>33</v>
      </c>
      <c r="D100" s="9">
        <v>2</v>
      </c>
      <c r="E100" s="10"/>
      <c r="F100" s="8"/>
      <c r="G100" s="8"/>
      <c r="H100" s="9" t="s">
        <v>150</v>
      </c>
      <c r="K100" s="13"/>
      <c r="L100" s="13"/>
      <c r="M100" s="13"/>
    </row>
    <row r="101" customFormat="1" ht="16.5" spans="1:13">
      <c r="A101" s="8">
        <f t="shared" si="5"/>
        <v>10120034</v>
      </c>
      <c r="B101" s="8">
        <v>101200</v>
      </c>
      <c r="C101" s="9">
        <v>34</v>
      </c>
      <c r="D101" s="9">
        <v>2</v>
      </c>
      <c r="E101" s="10"/>
      <c r="F101" s="8"/>
      <c r="G101" s="8"/>
      <c r="H101" s="9" t="s">
        <v>151</v>
      </c>
      <c r="K101" s="13"/>
      <c r="L101" s="13"/>
      <c r="M101" s="13"/>
    </row>
    <row r="102" customFormat="1" ht="16.5" spans="1:13">
      <c r="A102" s="8">
        <f t="shared" si="5"/>
        <v>10120035</v>
      </c>
      <c r="B102" s="8">
        <v>101200</v>
      </c>
      <c r="C102" s="9">
        <v>35</v>
      </c>
      <c r="D102" s="9">
        <v>2</v>
      </c>
      <c r="E102" s="10"/>
      <c r="F102" s="8"/>
      <c r="G102" s="8"/>
      <c r="H102" s="9" t="s">
        <v>152</v>
      </c>
      <c r="K102" s="13"/>
      <c r="L102" s="13"/>
      <c r="M102" s="13"/>
    </row>
    <row r="103" customFormat="1" ht="16.5" spans="1:13">
      <c r="A103" s="8">
        <f t="shared" si="5"/>
        <v>10120036</v>
      </c>
      <c r="B103" s="8">
        <v>101200</v>
      </c>
      <c r="C103" s="9">
        <v>36</v>
      </c>
      <c r="D103" s="9">
        <v>2</v>
      </c>
      <c r="E103" s="10"/>
      <c r="F103" s="8"/>
      <c r="G103" s="8"/>
      <c r="H103" s="9" t="s">
        <v>153</v>
      </c>
      <c r="K103" s="13"/>
      <c r="L103" s="13"/>
      <c r="M103" s="13"/>
    </row>
    <row r="104" ht="16.5" spans="1:13">
      <c r="A104" s="16">
        <f t="shared" ref="A104:A116" si="6">B104*100+C104</f>
        <v>10140001</v>
      </c>
      <c r="B104" s="16">
        <v>101400</v>
      </c>
      <c r="C104" s="17">
        <v>1</v>
      </c>
      <c r="D104" s="17">
        <v>0</v>
      </c>
      <c r="E104" s="17"/>
      <c r="F104" s="17"/>
      <c r="G104" s="17"/>
      <c r="H104" s="17" t="s">
        <v>154</v>
      </c>
      <c r="K104" s="13"/>
      <c r="L104" s="13"/>
      <c r="M104" s="13"/>
    </row>
    <row r="105" ht="16.5" spans="1:13">
      <c r="A105" s="16">
        <f t="shared" si="6"/>
        <v>10140102</v>
      </c>
      <c r="B105" s="16">
        <v>101401</v>
      </c>
      <c r="C105" s="17">
        <v>2</v>
      </c>
      <c r="D105" s="17">
        <v>0</v>
      </c>
      <c r="E105" s="17"/>
      <c r="F105" s="17"/>
      <c r="G105" s="17"/>
      <c r="H105" s="17">
        <v>9</v>
      </c>
      <c r="K105" s="13"/>
      <c r="L105" s="13"/>
      <c r="M105" s="13"/>
    </row>
    <row r="106" ht="16.5" spans="1:13">
      <c r="A106" s="16">
        <f t="shared" si="6"/>
        <v>10140203</v>
      </c>
      <c r="B106" s="16">
        <v>101402</v>
      </c>
      <c r="C106" s="17">
        <v>3</v>
      </c>
      <c r="D106" s="17">
        <v>0</v>
      </c>
      <c r="E106" s="17"/>
      <c r="F106" s="17"/>
      <c r="G106" s="17"/>
      <c r="H106" s="17">
        <v>10</v>
      </c>
      <c r="K106" s="13"/>
      <c r="L106" s="13"/>
      <c r="M106" s="13"/>
    </row>
    <row r="107" ht="16.5" spans="1:13">
      <c r="A107" s="16">
        <f t="shared" si="6"/>
        <v>10140304</v>
      </c>
      <c r="B107" s="16">
        <v>101403</v>
      </c>
      <c r="C107" s="17">
        <v>4</v>
      </c>
      <c r="D107" s="17">
        <v>0</v>
      </c>
      <c r="E107" s="17"/>
      <c r="F107" s="17"/>
      <c r="G107" s="17"/>
      <c r="H107" s="17" t="s">
        <v>19</v>
      </c>
      <c r="K107" s="13"/>
      <c r="L107" s="13"/>
      <c r="M107" s="13"/>
    </row>
    <row r="108" ht="16.5" spans="1:13">
      <c r="A108" s="16">
        <f t="shared" si="6"/>
        <v>10140405</v>
      </c>
      <c r="B108" s="16">
        <v>101404</v>
      </c>
      <c r="C108" s="17">
        <v>5</v>
      </c>
      <c r="D108" s="17">
        <v>0</v>
      </c>
      <c r="E108" s="17"/>
      <c r="F108" s="17"/>
      <c r="G108" s="17"/>
      <c r="H108" s="17" t="s">
        <v>21</v>
      </c>
      <c r="K108" s="13"/>
      <c r="L108" s="13"/>
      <c r="M108" s="13"/>
    </row>
    <row r="109" ht="16.5" spans="1:13">
      <c r="A109" s="16">
        <f t="shared" si="6"/>
        <v>10140506</v>
      </c>
      <c r="B109" s="16">
        <v>101405</v>
      </c>
      <c r="C109" s="17">
        <v>6</v>
      </c>
      <c r="D109" s="17">
        <v>0</v>
      </c>
      <c r="E109" s="17"/>
      <c r="F109" s="17"/>
      <c r="G109" s="17"/>
      <c r="H109" s="17" t="s">
        <v>23</v>
      </c>
      <c r="K109" s="13"/>
      <c r="L109" s="13"/>
      <c r="M109" s="13"/>
    </row>
    <row r="110" ht="16.5" spans="1:13">
      <c r="A110" s="16">
        <f t="shared" si="6"/>
        <v>10140607</v>
      </c>
      <c r="B110" s="16">
        <v>101406</v>
      </c>
      <c r="C110" s="17">
        <v>7</v>
      </c>
      <c r="D110" s="17">
        <v>0</v>
      </c>
      <c r="E110" s="17"/>
      <c r="F110" s="17"/>
      <c r="G110" s="17"/>
      <c r="H110" s="17" t="s">
        <v>25</v>
      </c>
      <c r="K110" s="13"/>
      <c r="L110" s="13"/>
      <c r="M110" s="13"/>
    </row>
    <row r="111" ht="16.5" spans="1:13">
      <c r="A111" s="16">
        <f t="shared" si="6"/>
        <v>10140708</v>
      </c>
      <c r="B111" s="16">
        <v>101407</v>
      </c>
      <c r="C111" s="17">
        <v>8</v>
      </c>
      <c r="D111" s="17">
        <v>0</v>
      </c>
      <c r="E111" s="17"/>
      <c r="F111" s="17"/>
      <c r="G111" s="17"/>
      <c r="H111" s="17" t="s">
        <v>155</v>
      </c>
      <c r="K111" s="13"/>
      <c r="L111" s="13"/>
      <c r="M111" s="13"/>
    </row>
    <row r="112" ht="16.5" spans="1:13">
      <c r="A112" s="16">
        <f t="shared" si="6"/>
        <v>10140809</v>
      </c>
      <c r="B112" s="16">
        <v>101408</v>
      </c>
      <c r="C112" s="17">
        <v>9</v>
      </c>
      <c r="D112" s="17">
        <v>0</v>
      </c>
      <c r="E112" s="17"/>
      <c r="F112" s="17"/>
      <c r="G112" s="17"/>
      <c r="H112" s="17" t="s">
        <v>156</v>
      </c>
      <c r="K112" s="13"/>
      <c r="L112" s="13"/>
      <c r="M112" s="13"/>
    </row>
    <row r="113" ht="16.5" spans="1:13">
      <c r="A113" s="16">
        <f t="shared" si="6"/>
        <v>10140910</v>
      </c>
      <c r="B113" s="16">
        <v>101409</v>
      </c>
      <c r="C113" s="17">
        <v>10</v>
      </c>
      <c r="D113" s="17">
        <v>0</v>
      </c>
      <c r="E113" s="17"/>
      <c r="F113" s="17"/>
      <c r="G113" s="17"/>
      <c r="H113" s="17" t="s">
        <v>157</v>
      </c>
      <c r="K113" s="13"/>
      <c r="L113" s="13"/>
      <c r="M113" s="13"/>
    </row>
    <row r="114" ht="16.5" spans="1:13">
      <c r="A114" s="16">
        <f t="shared" si="6"/>
        <v>10141011</v>
      </c>
      <c r="B114" s="16">
        <v>101410</v>
      </c>
      <c r="C114" s="17">
        <v>11</v>
      </c>
      <c r="D114" s="17">
        <v>0</v>
      </c>
      <c r="E114" s="17"/>
      <c r="F114" s="17"/>
      <c r="G114" s="17"/>
      <c r="H114" s="17" t="s">
        <v>158</v>
      </c>
      <c r="K114" s="13"/>
      <c r="L114" s="13"/>
      <c r="M114" s="13"/>
    </row>
    <row r="115" ht="16.5" spans="1:13">
      <c r="A115" s="16">
        <f t="shared" si="6"/>
        <v>10141112</v>
      </c>
      <c r="B115" s="16">
        <v>101411</v>
      </c>
      <c r="C115" s="17">
        <v>12</v>
      </c>
      <c r="D115" s="17">
        <v>1</v>
      </c>
      <c r="E115" s="17"/>
      <c r="F115" s="17"/>
      <c r="G115" s="17"/>
      <c r="H115" s="17" t="s">
        <v>110</v>
      </c>
      <c r="K115" s="13"/>
      <c r="L115" s="13"/>
      <c r="M115" s="13"/>
    </row>
    <row r="116" ht="16.5" spans="1:13">
      <c r="A116" s="16">
        <f t="shared" si="6"/>
        <v>10141213</v>
      </c>
      <c r="B116" s="16">
        <v>101412</v>
      </c>
      <c r="C116" s="17">
        <v>13</v>
      </c>
      <c r="D116" s="17">
        <v>2</v>
      </c>
      <c r="E116" s="17"/>
      <c r="F116" s="17"/>
      <c r="G116" s="17"/>
      <c r="H116" s="17" t="s">
        <v>159</v>
      </c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2025-09-10T07:20:44Z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