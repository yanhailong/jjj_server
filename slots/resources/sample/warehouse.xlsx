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<sst xmlns="http://schemas.openxmlformats.org/spreadsheetml/2006/main" count="427" uniqueCount="83">
  <si>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</si>
  <si>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</si>
  <si>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</si>
  <si>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</si>
  <si>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</si>
  <si>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</si>
  <si>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</si>
  <si>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</si>
  <si>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</si>
  <si>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</si>
  <si>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</si>
  <si>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</si>
  <si>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</si>
  <si>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</si>
  <si>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</si>
  <si>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</si>
  <si>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</si>
  <si>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</si>
  <si>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</si>
  <si>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</si>
  <si>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</si>
  <si>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</si>
  <si>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</si>
  <si>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</si>
  <si>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</si>
  <si>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</si>
  <si>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</si>
  <si>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</si>
  <si>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</si>
  <si>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</si>
  <si>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</si>
  <si>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</si>
  <si>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</si>
  <si>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</si>
  <si>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</si>
  <si>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</si>
  <si>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</si>
  <si>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</si>
  <si>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</si>
  <si>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</si>
  <si>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</si>
  <si>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</si>
  <si>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</si>
  <si>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</si>
  <si>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</si>
  <si>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</si>
  <si>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</si>
  <si>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</si>
  <si>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leishen</t>
  </si>
  <si>
    <t>圣诞狂欢夜</t>
  </si>
  <si>
    <t>DazeBeforeChristmas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</si>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</sst>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4"/>
  <sheetViews>
    <sheetView tabSelected="1" workbookViewId="0">
      <pane ySplit="4" topLeftCell="A12" activePane="bottomLeft" state="frozen"/>
      <selection/>
      <selection pane="bottomLeft" activeCell="F24" sqref="F24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0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0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0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0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0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0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0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0" t="s">
        <v>34</v>
      </c>
      <c r="N16">
        <v>50000000</v>
      </c>
      <c r="O16" s="15">
        <v>1990000</v>
      </c>
    </row>
    <row r="17" spans="1:17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5000</v>
      </c>
      <c r="O17" s="15">
        <v>1990000</v>
      </c>
    </row>
    <row r="18" spans="1:17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0" t="s">
        <v>34</v>
      </c>
      <c r="N18">
        <v>500000</v>
      </c>
      <c r="O18" s="15">
        <v>1990000</v>
      </c>
    </row>
    <row r="19" spans="1:17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0" t="s">
        <v>34</v>
      </c>
      <c r="N19">
        <v>50000000</v>
      </c>
      <c r="O19" s="15">
        <v>1990000</v>
      </c>
    </row>
    <row r="20" spans="1:17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5000</v>
      </c>
      <c r="O20" s="15">
        <v>1990000</v>
      </c>
    </row>
    <row r="21" spans="1:17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0" t="s">
        <v>34</v>
      </c>
      <c r="N21">
        <v>500000</v>
      </c>
      <c r="O21" s="15">
        <v>1990000</v>
      </c>
    </row>
    <row r="22" spans="1:17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0" t="s">
        <v>34</v>
      </c>
      <c r="N22">
        <v>50000000</v>
      </c>
      <c r="O22" s="15">
        <v>1990000</v>
      </c>
    </row>
    <row r="23" spans="1:17">
      <c r="A23" s="1">
        <f t="shared" ref="A23:A28" si="4">B23*10+H23</f>
        <v>1017001</v>
      </c>
      <c r="B23" s="12">
        <v>101700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5000</v>
      </c>
      <c r="O23" s="15">
        <v>1990000</v>
      </c>
    </row>
    <row r="24" spans="1:17">
      <c r="A24" s="1">
        <f t="shared" si="4"/>
        <v>1017002</v>
      </c>
      <c r="B24" s="12">
        <v>101700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0" t="s">
        <v>34</v>
      </c>
      <c r="N24">
        <v>500000</v>
      </c>
      <c r="O24" s="15">
        <v>1990000</v>
      </c>
    </row>
    <row r="25" spans="1:17">
      <c r="A25" s="1">
        <f t="shared" si="4"/>
        <v>1017003</v>
      </c>
      <c r="B25" s="12">
        <v>101700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0" t="s">
        <v>34</v>
      </c>
      <c r="N25">
        <v>50000000</v>
      </c>
      <c r="O25" s="15">
        <v>1990000</v>
      </c>
    </row>
    <row r="26" spans="1:17">
      <c r="A26" s="1">
        <f t="shared" si="4"/>
        <v>1022001</v>
      </c>
      <c r="B26" s="12">
        <v>102200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5000</v>
      </c>
      <c r="O26" s="15">
        <v>1990000</v>
      </c>
    </row>
    <row r="27" spans="1:17">
      <c r="A27" s="1">
        <f t="shared" si="4"/>
        <v>1022002</v>
      </c>
      <c r="B27" s="12">
        <v>102200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0" t="s">
        <v>34</v>
      </c>
      <c r="N27">
        <v>500000</v>
      </c>
      <c r="O27" s="15">
        <v>1990000</v>
      </c>
    </row>
    <row r="28" spans="1:17">
      <c r="A28" s="1">
        <f t="shared" si="4"/>
        <v>1022003</v>
      </c>
      <c r="B28" s="12">
        <v>102200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0" t="s">
        <v>34</v>
      </c>
      <c r="N28">
        <v>50000000</v>
      </c>
      <c r="O28" s="15">
        <v>1990000</v>
      </c>
    </row>
    <row r="29" spans="1:17">
      <c r="A29" s="1">
        <f t="shared" ref="A29:A75" si="5">B29*10+H29</f>
        <v>2001001</v>
      </c>
      <c r="B29" s="12">
        <v>200100</v>
      </c>
      <c r="C29" s="12">
        <v>2</v>
      </c>
      <c r="D29" s="12" t="s">
        <v>51</v>
      </c>
      <c r="E29" s="13">
        <v>200100038</v>
      </c>
      <c r="F29" s="13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5000</v>
      </c>
      <c r="O29" s="15">
        <v>1990000</v>
      </c>
    </row>
    <row r="30" spans="1:17">
      <c r="A30" s="1">
        <f t="shared" si="5"/>
        <v>2001002</v>
      </c>
      <c r="B30" s="12">
        <v>200100</v>
      </c>
      <c r="C30" s="12">
        <v>2</v>
      </c>
      <c r="D30" s="12" t="str">
        <f>D29</f>
        <v>紅黑大戰</v>
      </c>
      <c r="E30" s="13">
        <v>200100038</v>
      </c>
      <c r="F30" s="13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0" t="s">
        <v>34</v>
      </c>
      <c r="N30">
        <v>500000</v>
      </c>
      <c r="O30" s="15">
        <v>1990000</v>
      </c>
    </row>
    <row r="31" spans="1:17">
      <c r="A31" s="1">
        <f t="shared" si="5"/>
        <v>2001003</v>
      </c>
      <c r="B31" s="12">
        <v>200100</v>
      </c>
      <c r="C31" s="12">
        <v>2</v>
      </c>
      <c r="D31" s="12" t="str">
        <f>D30</f>
        <v>紅黑大戰</v>
      </c>
      <c r="E31" s="13">
        <v>200100038</v>
      </c>
      <c r="F31" s="13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0" t="s">
        <v>34</v>
      </c>
      <c r="N31">
        <v>50000000</v>
      </c>
      <c r="O31" s="15">
        <v>1990000</v>
      </c>
      <c r="Q31"/>
    </row>
    <row r="32" spans="1:17">
      <c r="A32" s="1">
        <f t="shared" si="5"/>
        <v>2001011</v>
      </c>
      <c r="B32" s="12">
        <v>200101</v>
      </c>
      <c r="C32" s="12">
        <v>2</v>
      </c>
      <c r="D32" s="12" t="s">
        <v>53</v>
      </c>
      <c r="E32" s="13">
        <v>200101001</v>
      </c>
      <c r="F32" s="13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34</v>
      </c>
      <c r="N32">
        <v>5000</v>
      </c>
      <c r="O32" s="15">
        <v>1990000</v>
      </c>
    </row>
    <row r="33" s="1" customFormat="1" spans="1:19">
      <c r="A33" s="1">
        <f t="shared" si="5"/>
        <v>2001012</v>
      </c>
      <c r="B33" s="12">
        <v>200101</v>
      </c>
      <c r="C33" s="12">
        <v>2</v>
      </c>
      <c r="D33" s="12" t="str">
        <f t="shared" ref="D33:D37" si="6">D32</f>
        <v>龍虎鬥</v>
      </c>
      <c r="E33" s="13">
        <v>200101001</v>
      </c>
      <c r="F33" s="13" t="s">
        <v>54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0" t="s">
        <v>34</v>
      </c>
      <c r="N33">
        <v>500000</v>
      </c>
      <c r="O33" s="15">
        <v>1990000</v>
      </c>
      <c r="S33" s="3"/>
    </row>
    <row r="34" s="1" customFormat="1" spans="1:19">
      <c r="A34" s="1">
        <f t="shared" si="5"/>
        <v>2001013</v>
      </c>
      <c r="B34" s="12">
        <v>200101</v>
      </c>
      <c r="C34" s="12">
        <v>2</v>
      </c>
      <c r="D34" s="12" t="str">
        <f t="shared" si="6"/>
        <v>龍虎鬥</v>
      </c>
      <c r="E34" s="13">
        <v>200101001</v>
      </c>
      <c r="F34" s="13" t="s">
        <v>54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0" t="s">
        <v>34</v>
      </c>
      <c r="N34">
        <v>50000000</v>
      </c>
      <c r="O34" s="15">
        <v>1990000</v>
      </c>
      <c r="S34" s="3"/>
    </row>
    <row r="35" spans="1:19">
      <c r="A35" s="1">
        <f t="shared" si="5"/>
        <v>2003001</v>
      </c>
      <c r="B35" s="12">
        <v>200300</v>
      </c>
      <c r="C35" s="12">
        <v>2</v>
      </c>
      <c r="D35" s="12" t="s">
        <v>55</v>
      </c>
      <c r="E35" s="13">
        <v>200300001</v>
      </c>
      <c r="F35" s="13" t="s">
        <v>56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5000</v>
      </c>
      <c r="O35" s="15">
        <v>1990000</v>
      </c>
    </row>
    <row r="36" s="1" customFormat="1" spans="1:19">
      <c r="A36" s="1">
        <f t="shared" si="5"/>
        <v>2003002</v>
      </c>
      <c r="B36" s="12">
        <v>200300</v>
      </c>
      <c r="C36" s="12">
        <v>2</v>
      </c>
      <c r="D36" s="12" t="str">
        <f t="shared" si="6"/>
        <v>飛禽走獸</v>
      </c>
      <c r="E36" s="13">
        <v>200300001</v>
      </c>
      <c r="F36" s="13" t="s">
        <v>56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0" t="s">
        <v>34</v>
      </c>
      <c r="N36">
        <v>500000</v>
      </c>
      <c r="O36" s="15">
        <v>1990000</v>
      </c>
      <c r="Q36" s="3"/>
      <c r="R36" s="12"/>
      <c r="S36" s="3"/>
    </row>
    <row r="37" s="1" customFormat="1" spans="1:19">
      <c r="A37" s="1">
        <f t="shared" si="5"/>
        <v>2003003</v>
      </c>
      <c r="B37" s="12">
        <v>200300</v>
      </c>
      <c r="C37" s="12">
        <v>2</v>
      </c>
      <c r="D37" s="12" t="str">
        <f t="shared" si="6"/>
        <v>飛禽走獸</v>
      </c>
      <c r="E37" s="13">
        <v>200300001</v>
      </c>
      <c r="F37" s="13" t="s">
        <v>56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0" t="s">
        <v>34</v>
      </c>
      <c r="N37">
        <v>50000000</v>
      </c>
      <c r="O37" s="15">
        <v>1990000</v>
      </c>
      <c r="Q37" s="3"/>
      <c r="R37" s="16"/>
      <c r="S37" s="16"/>
    </row>
    <row r="38" spans="1:19">
      <c r="A38" s="1">
        <f t="shared" si="5"/>
        <v>2004001</v>
      </c>
      <c r="B38" s="12">
        <v>200400</v>
      </c>
      <c r="C38" s="12">
        <v>2</v>
      </c>
      <c r="D38" s="16" t="s">
        <v>57</v>
      </c>
      <c r="E38" s="13">
        <v>200400009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5000</v>
      </c>
      <c r="O38" s="15">
        <v>1990000</v>
      </c>
      <c r="Q38" s="3"/>
      <c r="R38" s="16"/>
      <c r="S38" s="16"/>
    </row>
    <row r="39" s="1" customFormat="1" spans="1:19">
      <c r="A39" s="1">
        <f t="shared" si="5"/>
        <v>2004002</v>
      </c>
      <c r="B39" s="12">
        <v>200400</v>
      </c>
      <c r="C39" s="12">
        <v>2</v>
      </c>
      <c r="D39" s="16" t="s">
        <v>57</v>
      </c>
      <c r="E39" s="13">
        <v>200400009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0" t="s">
        <v>34</v>
      </c>
      <c r="N39">
        <v>500000</v>
      </c>
      <c r="O39" s="15">
        <v>1990000</v>
      </c>
      <c r="Q39" s="3"/>
      <c r="R39" s="16"/>
      <c r="S39" s="16"/>
    </row>
    <row r="40" s="1" customFormat="1" spans="1:19">
      <c r="A40" s="1">
        <f t="shared" si="5"/>
        <v>2004003</v>
      </c>
      <c r="B40" s="12">
        <v>200400</v>
      </c>
      <c r="C40" s="12">
        <v>2</v>
      </c>
      <c r="D40" s="16" t="s">
        <v>57</v>
      </c>
      <c r="E40" s="13">
        <v>200400009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0" t="s">
        <v>34</v>
      </c>
      <c r="N40">
        <v>50000000</v>
      </c>
      <c r="O40" s="15">
        <v>1990000</v>
      </c>
      <c r="Q40" s="3"/>
      <c r="R40" s="16"/>
      <c r="S40" s="16"/>
    </row>
    <row r="41" spans="1:19">
      <c r="A41" s="1">
        <f t="shared" si="5"/>
        <v>2005001</v>
      </c>
      <c r="B41" s="12">
        <v>200500</v>
      </c>
      <c r="C41" s="12">
        <v>2</v>
      </c>
      <c r="D41" s="12" t="s">
        <v>59</v>
      </c>
      <c r="E41" s="13">
        <v>200500025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61</v>
      </c>
      <c r="N41">
        <v>5000</v>
      </c>
      <c r="O41" s="15">
        <v>1990000</v>
      </c>
      <c r="Q41" s="3"/>
      <c r="R41" s="16"/>
      <c r="S41" s="16"/>
    </row>
    <row r="42" spans="1:19">
      <c r="A42" s="1">
        <f t="shared" si="5"/>
        <v>2005002</v>
      </c>
      <c r="B42" s="12">
        <v>200500</v>
      </c>
      <c r="C42" s="12">
        <v>2</v>
      </c>
      <c r="D42" s="12" t="s">
        <v>59</v>
      </c>
      <c r="E42" s="13">
        <v>200500025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0" t="s">
        <v>61</v>
      </c>
      <c r="N42">
        <v>500000</v>
      </c>
      <c r="O42" s="15">
        <v>1990000</v>
      </c>
      <c r="Q42" s="3"/>
      <c r="R42" s="16"/>
      <c r="S42" s="16"/>
    </row>
    <row r="43" spans="1:19">
      <c r="A43" s="1">
        <f t="shared" si="5"/>
        <v>2005003</v>
      </c>
      <c r="B43" s="12">
        <v>200500</v>
      </c>
      <c r="C43" s="12">
        <v>2</v>
      </c>
      <c r="D43" s="12" t="s">
        <v>59</v>
      </c>
      <c r="E43" s="13">
        <v>200500025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0" t="s">
        <v>61</v>
      </c>
      <c r="N43">
        <v>50000000</v>
      </c>
      <c r="O43" s="15">
        <v>1990000</v>
      </c>
      <c r="Q43" s="3"/>
      <c r="R43" s="16"/>
      <c r="S43" s="16"/>
    </row>
    <row r="44" spans="1:19">
      <c r="A44" s="1">
        <f t="shared" si="5"/>
        <v>2006001</v>
      </c>
      <c r="B44" s="12">
        <v>200600</v>
      </c>
      <c r="C44" s="12">
        <v>2</v>
      </c>
      <c r="D44" s="13" t="s">
        <v>62</v>
      </c>
      <c r="E44" s="13">
        <v>200600001</v>
      </c>
      <c r="F44" s="13" t="s">
        <v>63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5000</v>
      </c>
      <c r="O44" s="15">
        <v>1990000</v>
      </c>
      <c r="Q44" s="3"/>
      <c r="R44" s="16"/>
      <c r="S44" s="16"/>
    </row>
    <row r="45" s="1" customFormat="1" spans="1:19">
      <c r="A45" s="1">
        <f t="shared" si="5"/>
        <v>2006002</v>
      </c>
      <c r="B45" s="12">
        <v>200600</v>
      </c>
      <c r="C45" s="12">
        <v>2</v>
      </c>
      <c r="D45" s="13" t="s">
        <v>62</v>
      </c>
      <c r="E45" s="13">
        <v>200600001</v>
      </c>
      <c r="F45" s="13" t="s">
        <v>63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0" t="s">
        <v>34</v>
      </c>
      <c r="N45">
        <v>500000</v>
      </c>
      <c r="O45" s="15">
        <v>1990000</v>
      </c>
      <c r="Q45" s="3"/>
      <c r="R45" s="16"/>
      <c r="S45" s="16"/>
    </row>
    <row r="46" s="1" customFormat="1" spans="1:19">
      <c r="A46" s="1">
        <f t="shared" si="5"/>
        <v>2006003</v>
      </c>
      <c r="B46" s="12">
        <v>200600</v>
      </c>
      <c r="C46" s="12">
        <v>2</v>
      </c>
      <c r="D46" s="13" t="s">
        <v>62</v>
      </c>
      <c r="E46" s="13">
        <v>200600001</v>
      </c>
      <c r="F46" s="13" t="s">
        <v>63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0" t="s">
        <v>34</v>
      </c>
      <c r="N46">
        <v>50000000</v>
      </c>
      <c r="O46" s="15">
        <v>1990000</v>
      </c>
      <c r="Q46" s="3"/>
      <c r="R46"/>
      <c r="S46" s="16"/>
    </row>
    <row r="47" spans="1:19">
      <c r="A47" s="1">
        <f t="shared" si="5"/>
        <v>2007001</v>
      </c>
      <c r="B47" s="12">
        <v>200700</v>
      </c>
      <c r="C47" s="12">
        <v>2</v>
      </c>
      <c r="D47" s="12" t="s">
        <v>64</v>
      </c>
      <c r="E47" s="13">
        <v>200700001</v>
      </c>
      <c r="F47" s="13" t="s">
        <v>65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5000</v>
      </c>
      <c r="O47" s="15">
        <v>1990000</v>
      </c>
      <c r="Q47" s="3"/>
      <c r="R47" s="16"/>
      <c r="S47" s="16"/>
    </row>
    <row r="48" s="1" customFormat="1" spans="1:19">
      <c r="A48" s="1">
        <f t="shared" si="5"/>
        <v>2007002</v>
      </c>
      <c r="B48" s="12">
        <v>200700</v>
      </c>
      <c r="C48" s="12">
        <v>2</v>
      </c>
      <c r="D48" s="12" t="str">
        <f t="shared" ref="D45:D49" si="7">D47</f>
        <v>越南色碟</v>
      </c>
      <c r="E48" s="13">
        <v>200700001</v>
      </c>
      <c r="F48" s="13" t="s">
        <v>65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0" t="s">
        <v>34</v>
      </c>
      <c r="N48">
        <v>500000</v>
      </c>
      <c r="O48" s="15">
        <v>1990000</v>
      </c>
      <c r="Q48" s="3"/>
      <c r="R48" s="16"/>
      <c r="S48" s="16"/>
    </row>
    <row r="49" s="1" customFormat="1" spans="1:19">
      <c r="A49" s="1">
        <f t="shared" si="5"/>
        <v>2007003</v>
      </c>
      <c r="B49" s="12">
        <v>200700</v>
      </c>
      <c r="C49" s="12">
        <v>2</v>
      </c>
      <c r="D49" s="12" t="str">
        <f t="shared" si="7"/>
        <v>越南色碟</v>
      </c>
      <c r="E49" s="13">
        <v>200700001</v>
      </c>
      <c r="F49" s="13" t="s">
        <v>65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0" t="s">
        <v>34</v>
      </c>
      <c r="N49">
        <v>50000000</v>
      </c>
      <c r="O49" s="15">
        <v>1990000</v>
      </c>
      <c r="S49" s="3"/>
    </row>
    <row r="50" s="1" customFormat="1" spans="1:19">
      <c r="A50" s="1">
        <f t="shared" si="5"/>
        <v>2008001</v>
      </c>
      <c r="B50" s="12">
        <v>200800</v>
      </c>
      <c r="C50" s="12">
        <v>2</v>
      </c>
      <c r="D50" s="13" t="s">
        <v>66</v>
      </c>
      <c r="E50" s="13">
        <v>200800001</v>
      </c>
      <c r="F50" s="13" t="s">
        <v>67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0" t="s">
        <v>34</v>
      </c>
      <c r="N50">
        <v>5000</v>
      </c>
      <c r="O50" s="15">
        <v>1990000</v>
      </c>
      <c r="S50" s="3"/>
    </row>
    <row r="51" s="1" customFormat="1" spans="1:19">
      <c r="A51" s="1">
        <f t="shared" si="5"/>
        <v>2008002</v>
      </c>
      <c r="B51" s="12">
        <v>200800</v>
      </c>
      <c r="C51" s="12">
        <v>2</v>
      </c>
      <c r="D51" s="13" t="s">
        <v>66</v>
      </c>
      <c r="E51" s="13">
        <v>200800001</v>
      </c>
      <c r="F51" s="13" t="s">
        <v>67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0" t="s">
        <v>34</v>
      </c>
      <c r="N51">
        <v>500000</v>
      </c>
      <c r="O51" s="15">
        <v>1990000</v>
      </c>
      <c r="S51" s="3"/>
    </row>
    <row r="52" s="1" customFormat="1" spans="1:19">
      <c r="A52" s="1">
        <f t="shared" si="5"/>
        <v>2008003</v>
      </c>
      <c r="B52" s="12">
        <v>200800</v>
      </c>
      <c r="C52" s="12">
        <v>2</v>
      </c>
      <c r="D52" s="13" t="s">
        <v>66</v>
      </c>
      <c r="E52" s="13">
        <v>200800001</v>
      </c>
      <c r="F52" s="13" t="s">
        <v>67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0" t="s">
        <v>34</v>
      </c>
      <c r="N52">
        <v>50000000</v>
      </c>
      <c r="O52" s="15">
        <v>1990000</v>
      </c>
      <c r="S52" s="3"/>
    </row>
    <row r="53" spans="1:19">
      <c r="A53" s="1">
        <f t="shared" si="5"/>
        <v>2009001</v>
      </c>
      <c r="B53" s="17">
        <v>200900</v>
      </c>
      <c r="C53" s="12">
        <v>2</v>
      </c>
      <c r="D53" s="17" t="s">
        <v>68</v>
      </c>
      <c r="E53" s="13">
        <v>200900001</v>
      </c>
      <c r="F53" s="13" t="s">
        <v>69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0" t="s">
        <v>34</v>
      </c>
      <c r="N53">
        <v>5000</v>
      </c>
      <c r="O53" s="15">
        <v>1990000</v>
      </c>
    </row>
    <row r="54" spans="1:19">
      <c r="A54" s="1">
        <f t="shared" si="5"/>
        <v>2009002</v>
      </c>
      <c r="B54" s="12">
        <v>200900</v>
      </c>
      <c r="C54" s="12">
        <v>2</v>
      </c>
      <c r="D54" s="12" t="str">
        <f>D53</f>
        <v>魚蝦蟹</v>
      </c>
      <c r="E54" s="13">
        <v>200900001</v>
      </c>
      <c r="F54" s="13" t="s">
        <v>69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0" t="s">
        <v>34</v>
      </c>
      <c r="N54">
        <v>500000</v>
      </c>
      <c r="O54" s="15">
        <v>1990000</v>
      </c>
    </row>
    <row r="55" spans="1:19">
      <c r="A55" s="1">
        <f t="shared" si="5"/>
        <v>2009003</v>
      </c>
      <c r="B55" s="12">
        <v>200900</v>
      </c>
      <c r="C55" s="12">
        <v>2</v>
      </c>
      <c r="D55" s="12" t="str">
        <f>D54</f>
        <v>魚蝦蟹</v>
      </c>
      <c r="E55" s="13">
        <v>200900001</v>
      </c>
      <c r="F55" s="13" t="s">
        <v>69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0" t="s">
        <v>34</v>
      </c>
      <c r="N55">
        <v>50000000</v>
      </c>
      <c r="O55" s="15">
        <v>1990000</v>
      </c>
    </row>
    <row r="56" spans="1:19">
      <c r="A56" s="1">
        <f t="shared" si="5"/>
        <v>2010001</v>
      </c>
      <c r="B56" s="12">
        <v>201000</v>
      </c>
      <c r="C56" s="12">
        <v>2</v>
      </c>
      <c r="D56" s="12" t="s">
        <v>70</v>
      </c>
      <c r="E56" s="13">
        <v>101000006</v>
      </c>
      <c r="F56" s="13"/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0" t="s">
        <v>34</v>
      </c>
      <c r="N56">
        <v>5000</v>
      </c>
      <c r="O56" s="15">
        <v>1990000</v>
      </c>
    </row>
    <row r="57" spans="1:19">
      <c r="A57" s="1">
        <f t="shared" si="5"/>
        <v>2010002</v>
      </c>
      <c r="B57" s="12">
        <v>201000</v>
      </c>
      <c r="C57" s="12">
        <v>2</v>
      </c>
      <c r="D57" s="12" t="s">
        <v>70</v>
      </c>
      <c r="E57" s="13">
        <v>101000006</v>
      </c>
      <c r="F57" s="13"/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0" t="s">
        <v>34</v>
      </c>
      <c r="N57">
        <v>500000</v>
      </c>
      <c r="O57" s="15">
        <v>1990000</v>
      </c>
    </row>
    <row r="58" spans="1:19">
      <c r="A58" s="1">
        <f t="shared" si="5"/>
        <v>2010003</v>
      </c>
      <c r="B58" s="12">
        <v>201000</v>
      </c>
      <c r="C58" s="12">
        <v>2</v>
      </c>
      <c r="D58" s="12" t="s">
        <v>70</v>
      </c>
      <c r="E58" s="13">
        <v>101000006</v>
      </c>
      <c r="F58" s="13"/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0" t="s">
        <v>34</v>
      </c>
      <c r="N58">
        <v>50000000</v>
      </c>
      <c r="O58" s="15">
        <v>1990000</v>
      </c>
    </row>
    <row r="59" spans="1:19">
      <c r="A59" s="1">
        <f t="shared" si="5"/>
        <v>3001001</v>
      </c>
      <c r="B59" s="12">
        <v>300100</v>
      </c>
      <c r="C59" s="12">
        <v>3</v>
      </c>
      <c r="D59" s="12" t="s">
        <v>71</v>
      </c>
      <c r="E59" s="13">
        <v>300100001</v>
      </c>
      <c r="F59" s="13" t="s">
        <v>72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21" t="s">
        <v>73</v>
      </c>
      <c r="M59" s="21" t="s">
        <v>74</v>
      </c>
      <c r="N59">
        <v>5000</v>
      </c>
      <c r="O59" s="15">
        <v>1990000</v>
      </c>
    </row>
    <row r="60" s="1" customFormat="1" spans="1:19">
      <c r="A60" s="1">
        <f t="shared" si="5"/>
        <v>3001002</v>
      </c>
      <c r="B60" s="12">
        <v>300100</v>
      </c>
      <c r="C60" s="12">
        <v>3</v>
      </c>
      <c r="D60" s="12" t="s">
        <v>71</v>
      </c>
      <c r="E60" s="13">
        <v>300100001</v>
      </c>
      <c r="F60" s="13" t="s">
        <v>72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21" t="s">
        <v>73</v>
      </c>
      <c r="M60" s="21" t="s">
        <v>74</v>
      </c>
      <c r="N60">
        <v>500000</v>
      </c>
      <c r="O60" s="15">
        <v>1990000</v>
      </c>
      <c r="S60" s="3"/>
    </row>
    <row r="61" s="1" customFormat="1" spans="1:19">
      <c r="A61" s="1">
        <f t="shared" si="5"/>
        <v>3001003</v>
      </c>
      <c r="B61" s="12">
        <v>300100</v>
      </c>
      <c r="C61" s="12">
        <v>3</v>
      </c>
      <c r="D61" s="12" t="s">
        <v>71</v>
      </c>
      <c r="E61" s="13">
        <v>300100001</v>
      </c>
      <c r="F61" s="13" t="s">
        <v>72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21" t="s">
        <v>73</v>
      </c>
      <c r="M61" s="21" t="s">
        <v>74</v>
      </c>
      <c r="N61">
        <v>50000000</v>
      </c>
      <c r="O61" s="15">
        <v>1990000</v>
      </c>
      <c r="S61" s="3"/>
    </row>
    <row r="62" s="1" customFormat="1" spans="1:19">
      <c r="A62" s="1">
        <f t="shared" si="5"/>
        <v>3002001</v>
      </c>
      <c r="B62" s="12">
        <v>300200</v>
      </c>
      <c r="C62" s="12">
        <v>3</v>
      </c>
      <c r="D62" s="12" t="s">
        <v>75</v>
      </c>
      <c r="E62" s="13">
        <v>300200006</v>
      </c>
      <c r="F62" s="13" t="s">
        <v>76</v>
      </c>
      <c r="G62" s="1" t="s">
        <v>32</v>
      </c>
      <c r="H62" s="1">
        <v>1</v>
      </c>
      <c r="I62" s="1">
        <v>2000</v>
      </c>
      <c r="J62" s="1">
        <v>-1</v>
      </c>
      <c r="K62" s="1">
        <v>0</v>
      </c>
      <c r="L62" s="21" t="s">
        <v>77</v>
      </c>
      <c r="M62" s="21" t="s">
        <v>74</v>
      </c>
      <c r="N62">
        <v>5000</v>
      </c>
      <c r="O62" s="15">
        <v>1990000</v>
      </c>
      <c r="S62" s="3"/>
    </row>
    <row r="63" s="1" customFormat="1" spans="1:19">
      <c r="A63" s="1">
        <f t="shared" si="5"/>
        <v>3002002</v>
      </c>
      <c r="B63" s="12">
        <v>300200</v>
      </c>
      <c r="C63" s="12">
        <v>3</v>
      </c>
      <c r="D63" s="12" t="s">
        <v>75</v>
      </c>
      <c r="E63" s="13">
        <v>300200006</v>
      </c>
      <c r="F63" s="13" t="s">
        <v>76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1" t="s">
        <v>77</v>
      </c>
      <c r="M63" s="21" t="s">
        <v>74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3002003</v>
      </c>
      <c r="B64" s="12">
        <v>300200</v>
      </c>
      <c r="C64" s="12">
        <v>3</v>
      </c>
      <c r="D64" s="12" t="s">
        <v>75</v>
      </c>
      <c r="E64" s="13">
        <v>300200006</v>
      </c>
      <c r="F64" s="13" t="s">
        <v>76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1" t="s">
        <v>77</v>
      </c>
      <c r="M64" s="21" t="s">
        <v>74</v>
      </c>
      <c r="N64">
        <v>50000000</v>
      </c>
      <c r="O64" s="15">
        <v>1990000</v>
      </c>
      <c r="S64" s="3"/>
    </row>
    <row r="65" s="1" customFormat="1" spans="1:19">
      <c r="A65" s="1">
        <f t="shared" ref="A65:A71" si="8">B65*100+H65</f>
        <v>20010010</v>
      </c>
      <c r="B65" s="13">
        <v>200100</v>
      </c>
      <c r="C65" s="13">
        <v>2</v>
      </c>
      <c r="D65" s="13" t="s">
        <v>51</v>
      </c>
      <c r="E65" s="13">
        <v>200100038</v>
      </c>
      <c r="F65" s="13" t="s">
        <v>52</v>
      </c>
      <c r="G65" s="18" t="s">
        <v>78</v>
      </c>
      <c r="H65" s="18">
        <v>10</v>
      </c>
      <c r="I65" s="18">
        <v>0</v>
      </c>
      <c r="J65" s="18">
        <v>-1</v>
      </c>
      <c r="K65" s="1">
        <v>0</v>
      </c>
      <c r="L65" s="18" t="s">
        <v>79</v>
      </c>
      <c r="M65" s="18">
        <v>0</v>
      </c>
      <c r="N65">
        <v>200</v>
      </c>
      <c r="O65" s="19">
        <v>1980000</v>
      </c>
      <c r="S65" s="3"/>
    </row>
    <row r="66" s="1" customFormat="1" spans="1:19">
      <c r="A66" s="1">
        <f t="shared" si="8"/>
        <v>20010011</v>
      </c>
      <c r="B66" s="13">
        <v>200100</v>
      </c>
      <c r="C66" s="13">
        <v>2</v>
      </c>
      <c r="D66" s="13" t="s">
        <v>51</v>
      </c>
      <c r="E66" s="13">
        <v>200100038</v>
      </c>
      <c r="F66" s="13" t="s">
        <v>52</v>
      </c>
      <c r="G66" s="18" t="s">
        <v>80</v>
      </c>
      <c r="H66" s="18">
        <v>11</v>
      </c>
      <c r="I66" s="18">
        <v>0</v>
      </c>
      <c r="J66" s="18">
        <v>-1</v>
      </c>
      <c r="K66" s="1">
        <v>0</v>
      </c>
      <c r="L66" s="18" t="s">
        <v>79</v>
      </c>
      <c r="M66" s="18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20010012</v>
      </c>
      <c r="B67" s="13">
        <v>200100</v>
      </c>
      <c r="C67" s="13">
        <v>2</v>
      </c>
      <c r="D67" s="13" t="s">
        <v>51</v>
      </c>
      <c r="E67" s="13">
        <v>200100038</v>
      </c>
      <c r="F67" s="13" t="s">
        <v>52</v>
      </c>
      <c r="G67" s="18" t="s">
        <v>81</v>
      </c>
      <c r="H67" s="18">
        <v>12</v>
      </c>
      <c r="I67" s="18">
        <v>0</v>
      </c>
      <c r="J67" s="18">
        <v>-1</v>
      </c>
      <c r="K67" s="1">
        <v>0</v>
      </c>
      <c r="L67" s="18" t="s">
        <v>79</v>
      </c>
      <c r="M67" s="18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20010110</v>
      </c>
      <c r="B68" s="13">
        <v>200101</v>
      </c>
      <c r="C68" s="13">
        <v>2</v>
      </c>
      <c r="D68" s="13" t="s">
        <v>53</v>
      </c>
      <c r="E68" s="13">
        <v>200101001</v>
      </c>
      <c r="F68" s="13" t="s">
        <v>54</v>
      </c>
      <c r="G68" s="18" t="s">
        <v>78</v>
      </c>
      <c r="H68" s="18">
        <v>10</v>
      </c>
      <c r="I68" s="18">
        <v>0</v>
      </c>
      <c r="J68" s="18">
        <v>-1</v>
      </c>
      <c r="K68" s="1">
        <v>0</v>
      </c>
      <c r="L68" s="18" t="s">
        <v>79</v>
      </c>
      <c r="M68" s="18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20010111</v>
      </c>
      <c r="B69" s="13">
        <v>200101</v>
      </c>
      <c r="C69" s="13">
        <v>2</v>
      </c>
      <c r="D69" s="13" t="s">
        <v>53</v>
      </c>
      <c r="E69" s="13">
        <v>200101001</v>
      </c>
      <c r="F69" s="13" t="s">
        <v>54</v>
      </c>
      <c r="G69" s="18" t="s">
        <v>80</v>
      </c>
      <c r="H69" s="18">
        <v>11</v>
      </c>
      <c r="I69" s="18">
        <v>0</v>
      </c>
      <c r="J69" s="18">
        <v>-1</v>
      </c>
      <c r="K69" s="1">
        <v>0</v>
      </c>
      <c r="L69" s="18" t="s">
        <v>79</v>
      </c>
      <c r="M69" s="18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20010112</v>
      </c>
      <c r="B70" s="13">
        <v>200101</v>
      </c>
      <c r="C70" s="13">
        <v>2</v>
      </c>
      <c r="D70" s="13" t="s">
        <v>53</v>
      </c>
      <c r="E70" s="13">
        <v>200101001</v>
      </c>
      <c r="F70" s="13" t="s">
        <v>54</v>
      </c>
      <c r="G70" s="18" t="s">
        <v>81</v>
      </c>
      <c r="H70" s="18">
        <v>12</v>
      </c>
      <c r="I70" s="18">
        <v>0</v>
      </c>
      <c r="J70" s="18">
        <v>-1</v>
      </c>
      <c r="K70" s="1">
        <v>0</v>
      </c>
      <c r="L70" s="18" t="s">
        <v>79</v>
      </c>
      <c r="M70" s="18">
        <v>0</v>
      </c>
      <c r="N70">
        <v>100000</v>
      </c>
      <c r="O70" s="19">
        <v>1980000</v>
      </c>
      <c r="S70" s="3"/>
    </row>
    <row r="71" s="1" customFormat="1" spans="1:19">
      <c r="A71" s="1">
        <f t="shared" si="8"/>
        <v>20030010</v>
      </c>
      <c r="B71" s="13">
        <v>200300</v>
      </c>
      <c r="C71" s="13">
        <v>2</v>
      </c>
      <c r="D71" s="13" t="s">
        <v>55</v>
      </c>
      <c r="E71" s="13">
        <v>200300001</v>
      </c>
      <c r="F71" s="13" t="s">
        <v>56</v>
      </c>
      <c r="G71" s="18" t="s">
        <v>78</v>
      </c>
      <c r="H71" s="18">
        <v>10</v>
      </c>
      <c r="I71" s="18">
        <v>0</v>
      </c>
      <c r="J71" s="18">
        <v>-1</v>
      </c>
      <c r="K71" s="1">
        <v>0</v>
      </c>
      <c r="L71" s="18" t="s">
        <v>79</v>
      </c>
      <c r="M71" s="18">
        <v>0</v>
      </c>
      <c r="N71">
        <v>200</v>
      </c>
      <c r="O71" s="19">
        <v>1980000</v>
      </c>
      <c r="S71" s="3"/>
    </row>
    <row r="72" s="1" customFormat="1" spans="1:19">
      <c r="A72" s="1">
        <f t="shared" ref="A72:A80" si="9">B72*100+H72</f>
        <v>20030011</v>
      </c>
      <c r="B72" s="13">
        <v>200300</v>
      </c>
      <c r="C72" s="13">
        <v>2</v>
      </c>
      <c r="D72" s="13" t="s">
        <v>55</v>
      </c>
      <c r="E72" s="13">
        <v>200300001</v>
      </c>
      <c r="F72" s="13" t="s">
        <v>56</v>
      </c>
      <c r="G72" s="18" t="s">
        <v>80</v>
      </c>
      <c r="H72" s="18">
        <v>11</v>
      </c>
      <c r="I72" s="18">
        <v>0</v>
      </c>
      <c r="J72" s="18">
        <v>-1</v>
      </c>
      <c r="K72" s="1">
        <v>0</v>
      </c>
      <c r="L72" s="18" t="s">
        <v>79</v>
      </c>
      <c r="M72" s="18">
        <v>0</v>
      </c>
      <c r="N72">
        <v>5000</v>
      </c>
      <c r="O72" s="19">
        <v>1980000</v>
      </c>
      <c r="S72" s="3"/>
    </row>
    <row r="73" s="1" customFormat="1" spans="1:19">
      <c r="A73" s="1">
        <f t="shared" si="9"/>
        <v>20030012</v>
      </c>
      <c r="B73" s="13">
        <v>200300</v>
      </c>
      <c r="C73" s="13">
        <v>2</v>
      </c>
      <c r="D73" s="13" t="s">
        <v>55</v>
      </c>
      <c r="E73" s="13">
        <v>200300001</v>
      </c>
      <c r="F73" s="13" t="s">
        <v>56</v>
      </c>
      <c r="G73" s="18" t="s">
        <v>81</v>
      </c>
      <c r="H73" s="18">
        <v>12</v>
      </c>
      <c r="I73" s="18">
        <v>0</v>
      </c>
      <c r="J73" s="18">
        <v>-1</v>
      </c>
      <c r="K73" s="1">
        <v>0</v>
      </c>
      <c r="L73" s="18" t="s">
        <v>79</v>
      </c>
      <c r="M73" s="18">
        <v>0</v>
      </c>
      <c r="N73">
        <v>100000</v>
      </c>
      <c r="O73" s="19">
        <v>1980000</v>
      </c>
      <c r="S73" s="3"/>
    </row>
    <row r="74" s="1" customFormat="1" spans="1:19">
      <c r="A74" s="1">
        <f t="shared" si="9"/>
        <v>20040010</v>
      </c>
      <c r="B74" s="13">
        <v>200400</v>
      </c>
      <c r="C74" s="13">
        <v>2</v>
      </c>
      <c r="D74" s="16" t="s">
        <v>57</v>
      </c>
      <c r="E74" s="13">
        <v>200400009</v>
      </c>
      <c r="F74" s="13" t="s">
        <v>58</v>
      </c>
      <c r="G74" s="18" t="s">
        <v>78</v>
      </c>
      <c r="H74" s="18">
        <v>10</v>
      </c>
      <c r="I74" s="18">
        <v>0</v>
      </c>
      <c r="J74" s="18">
        <v>-1</v>
      </c>
      <c r="K74" s="1">
        <v>0</v>
      </c>
      <c r="L74" s="18" t="s">
        <v>79</v>
      </c>
      <c r="M74" s="18">
        <v>0</v>
      </c>
      <c r="N74">
        <v>200</v>
      </c>
      <c r="O74" s="19">
        <v>1980000</v>
      </c>
      <c r="S74" s="3"/>
    </row>
    <row r="75" s="1" customFormat="1" spans="1:19">
      <c r="A75" s="1">
        <f t="shared" si="9"/>
        <v>20040011</v>
      </c>
      <c r="B75" s="13">
        <v>200400</v>
      </c>
      <c r="C75" s="13">
        <v>2</v>
      </c>
      <c r="D75" s="16" t="s">
        <v>57</v>
      </c>
      <c r="E75" s="13">
        <v>200400009</v>
      </c>
      <c r="F75" s="13" t="s">
        <v>58</v>
      </c>
      <c r="G75" s="18" t="s">
        <v>80</v>
      </c>
      <c r="H75" s="18">
        <v>11</v>
      </c>
      <c r="I75" s="18">
        <v>0</v>
      </c>
      <c r="J75" s="18">
        <v>-1</v>
      </c>
      <c r="K75" s="1">
        <v>0</v>
      </c>
      <c r="L75" s="18" t="s">
        <v>79</v>
      </c>
      <c r="M75" s="18">
        <v>0</v>
      </c>
      <c r="N75">
        <v>5000</v>
      </c>
      <c r="O75" s="19">
        <v>1980000</v>
      </c>
      <c r="S75" s="3"/>
    </row>
    <row r="76" s="1" customFormat="1" spans="1:19">
      <c r="A76" s="1">
        <f t="shared" si="9"/>
        <v>20040012</v>
      </c>
      <c r="B76" s="13">
        <v>200400</v>
      </c>
      <c r="C76" s="13">
        <v>2</v>
      </c>
      <c r="D76" s="16" t="s">
        <v>57</v>
      </c>
      <c r="E76" s="13">
        <v>200400009</v>
      </c>
      <c r="F76" s="13" t="s">
        <v>58</v>
      </c>
      <c r="G76" s="18" t="s">
        <v>81</v>
      </c>
      <c r="H76" s="18">
        <v>12</v>
      </c>
      <c r="I76" s="18">
        <v>0</v>
      </c>
      <c r="J76" s="18">
        <v>-1</v>
      </c>
      <c r="K76" s="1">
        <v>0</v>
      </c>
      <c r="L76" s="18" t="s">
        <v>79</v>
      </c>
      <c r="M76" s="18">
        <v>0</v>
      </c>
      <c r="N76">
        <v>100000</v>
      </c>
      <c r="O76" s="19">
        <v>1980000</v>
      </c>
      <c r="S76" s="3"/>
    </row>
    <row r="77" s="1" customFormat="1" spans="1:19">
      <c r="A77" s="1">
        <f t="shared" si="9"/>
        <v>20050010</v>
      </c>
      <c r="B77" s="13">
        <v>200500</v>
      </c>
      <c r="C77" s="13">
        <v>2</v>
      </c>
      <c r="D77" s="13" t="s">
        <v>59</v>
      </c>
      <c r="E77" s="13">
        <v>200500025</v>
      </c>
      <c r="F77" s="13" t="s">
        <v>60</v>
      </c>
      <c r="G77" s="18" t="s">
        <v>78</v>
      </c>
      <c r="H77" s="18">
        <v>10</v>
      </c>
      <c r="I77" s="18">
        <v>0</v>
      </c>
      <c r="J77" s="18">
        <v>-1</v>
      </c>
      <c r="K77" s="1">
        <v>0</v>
      </c>
      <c r="L77" s="18" t="s">
        <v>79</v>
      </c>
      <c r="M77" s="18">
        <v>0</v>
      </c>
      <c r="N77">
        <v>200</v>
      </c>
      <c r="O77" s="19">
        <v>1980000</v>
      </c>
      <c r="S77" s="3"/>
    </row>
    <row r="78" s="1" customFormat="1" spans="1:19">
      <c r="A78" s="1">
        <f t="shared" si="9"/>
        <v>20050011</v>
      </c>
      <c r="B78" s="13">
        <v>200500</v>
      </c>
      <c r="C78" s="13">
        <v>2</v>
      </c>
      <c r="D78" s="13" t="s">
        <v>59</v>
      </c>
      <c r="E78" s="13">
        <v>200500025</v>
      </c>
      <c r="F78" s="13" t="s">
        <v>60</v>
      </c>
      <c r="G78" s="18" t="s">
        <v>80</v>
      </c>
      <c r="H78" s="18">
        <v>11</v>
      </c>
      <c r="I78" s="18">
        <v>0</v>
      </c>
      <c r="J78" s="18">
        <v>-1</v>
      </c>
      <c r="K78" s="1">
        <v>0</v>
      </c>
      <c r="L78" s="18" t="s">
        <v>79</v>
      </c>
      <c r="M78" s="18">
        <v>0</v>
      </c>
      <c r="N78">
        <v>5000</v>
      </c>
      <c r="O78" s="19">
        <v>1980000</v>
      </c>
      <c r="S78" s="3"/>
    </row>
    <row r="79" s="1" customFormat="1" spans="1:19">
      <c r="A79" s="1">
        <f t="shared" si="9"/>
        <v>20050012</v>
      </c>
      <c r="B79" s="13">
        <v>200500</v>
      </c>
      <c r="C79" s="13">
        <v>2</v>
      </c>
      <c r="D79" s="13" t="s">
        <v>59</v>
      </c>
      <c r="E79" s="13">
        <v>200500025</v>
      </c>
      <c r="F79" s="13" t="s">
        <v>60</v>
      </c>
      <c r="G79" s="18" t="s">
        <v>81</v>
      </c>
      <c r="H79" s="18">
        <v>12</v>
      </c>
      <c r="I79" s="18">
        <v>0</v>
      </c>
      <c r="J79" s="18">
        <v>-1</v>
      </c>
      <c r="K79" s="1">
        <v>0</v>
      </c>
      <c r="L79" s="18" t="s">
        <v>79</v>
      </c>
      <c r="M79" s="18">
        <v>0</v>
      </c>
      <c r="N79">
        <v>100000</v>
      </c>
      <c r="O79" s="19">
        <v>1980000</v>
      </c>
      <c r="S79" s="3"/>
    </row>
    <row r="80" spans="1:19">
      <c r="A80" s="1">
        <f t="shared" si="9"/>
        <v>20060010</v>
      </c>
      <c r="B80" s="13">
        <v>200600</v>
      </c>
      <c r="C80" s="13">
        <v>2</v>
      </c>
      <c r="D80" s="13" t="s">
        <v>62</v>
      </c>
      <c r="E80" s="13">
        <v>200600001</v>
      </c>
      <c r="F80" s="13" t="s">
        <v>63</v>
      </c>
      <c r="G80" s="18" t="s">
        <v>78</v>
      </c>
      <c r="H80" s="18">
        <v>10</v>
      </c>
      <c r="I80" s="18">
        <v>0</v>
      </c>
      <c r="J80" s="18">
        <v>-1</v>
      </c>
      <c r="K80" s="1">
        <v>0</v>
      </c>
      <c r="L80" s="18" t="s">
        <v>79</v>
      </c>
      <c r="M80" s="18">
        <v>0</v>
      </c>
      <c r="N80">
        <v>200</v>
      </c>
      <c r="O80" s="19">
        <v>1980000</v>
      </c>
    </row>
    <row r="81" spans="1:19">
      <c r="A81" s="1">
        <f t="shared" ref="A81:A95" si="10">B81*100+H81</f>
        <v>20060011</v>
      </c>
      <c r="B81" s="13">
        <v>200600</v>
      </c>
      <c r="C81" s="13">
        <v>2</v>
      </c>
      <c r="D81" s="13" t="s">
        <v>62</v>
      </c>
      <c r="E81" s="13">
        <v>200600001</v>
      </c>
      <c r="F81" s="13" t="s">
        <v>63</v>
      </c>
      <c r="G81" s="18" t="s">
        <v>80</v>
      </c>
      <c r="H81" s="18">
        <v>11</v>
      </c>
      <c r="I81" s="18">
        <v>0</v>
      </c>
      <c r="J81" s="18">
        <v>-1</v>
      </c>
      <c r="K81" s="1">
        <v>0</v>
      </c>
      <c r="L81" s="18" t="s">
        <v>79</v>
      </c>
      <c r="M81" s="18">
        <v>0</v>
      </c>
      <c r="N81">
        <v>5000</v>
      </c>
      <c r="O81" s="19">
        <v>1980000</v>
      </c>
    </row>
    <row r="82" spans="1:19">
      <c r="A82" s="1">
        <f t="shared" si="10"/>
        <v>20060012</v>
      </c>
      <c r="B82" s="13">
        <v>200600</v>
      </c>
      <c r="C82" s="13">
        <v>2</v>
      </c>
      <c r="D82" s="13" t="s">
        <v>62</v>
      </c>
      <c r="E82" s="13">
        <v>200600001</v>
      </c>
      <c r="F82" s="13" t="s">
        <v>63</v>
      </c>
      <c r="G82" s="18" t="s">
        <v>81</v>
      </c>
      <c r="H82" s="18">
        <v>12</v>
      </c>
      <c r="I82" s="18">
        <v>0</v>
      </c>
      <c r="J82" s="18">
        <v>-1</v>
      </c>
      <c r="K82" s="1">
        <v>0</v>
      </c>
      <c r="L82" s="18" t="s">
        <v>79</v>
      </c>
      <c r="M82" s="18">
        <v>0</v>
      </c>
      <c r="N82">
        <v>100000</v>
      </c>
      <c r="O82" s="19">
        <v>1980000</v>
      </c>
    </row>
    <row r="83" spans="1:19">
      <c r="A83" s="1">
        <f t="shared" si="10"/>
        <v>20070010</v>
      </c>
      <c r="B83" s="13">
        <v>200700</v>
      </c>
      <c r="C83" s="13">
        <v>2</v>
      </c>
      <c r="D83" s="12" t="s">
        <v>64</v>
      </c>
      <c r="E83" s="13">
        <v>200700001</v>
      </c>
      <c r="F83" s="13" t="s">
        <v>65</v>
      </c>
      <c r="G83" s="18" t="s">
        <v>78</v>
      </c>
      <c r="H83" s="18">
        <v>10</v>
      </c>
      <c r="I83" s="18">
        <v>0</v>
      </c>
      <c r="J83" s="18">
        <v>-1</v>
      </c>
      <c r="K83" s="1">
        <v>0</v>
      </c>
      <c r="L83" s="18" t="s">
        <v>79</v>
      </c>
      <c r="M83" s="18">
        <v>0</v>
      </c>
      <c r="N83">
        <v>200</v>
      </c>
      <c r="O83" s="19">
        <v>1980000</v>
      </c>
    </row>
    <row r="84" spans="1:19">
      <c r="A84" s="1">
        <f t="shared" si="10"/>
        <v>20070011</v>
      </c>
      <c r="B84" s="13">
        <v>200700</v>
      </c>
      <c r="C84" s="13">
        <v>2</v>
      </c>
      <c r="D84" s="12" t="str">
        <f>D83</f>
        <v>越南色碟</v>
      </c>
      <c r="E84" s="13">
        <v>200700001</v>
      </c>
      <c r="F84" s="13" t="s">
        <v>65</v>
      </c>
      <c r="G84" s="18" t="s">
        <v>80</v>
      </c>
      <c r="H84" s="18">
        <v>11</v>
      </c>
      <c r="I84" s="18">
        <v>0</v>
      </c>
      <c r="J84" s="18">
        <v>-1</v>
      </c>
      <c r="K84" s="1">
        <v>0</v>
      </c>
      <c r="L84" s="18" t="s">
        <v>79</v>
      </c>
      <c r="M84" s="18">
        <v>0</v>
      </c>
      <c r="N84">
        <v>5000</v>
      </c>
      <c r="O84" s="19">
        <v>1980000</v>
      </c>
    </row>
    <row r="85" spans="1:19">
      <c r="A85" s="1">
        <f t="shared" si="10"/>
        <v>20070012</v>
      </c>
      <c r="B85" s="13">
        <v>200700</v>
      </c>
      <c r="C85" s="13">
        <v>2</v>
      </c>
      <c r="D85" s="12" t="str">
        <f>D84</f>
        <v>越南色碟</v>
      </c>
      <c r="E85" s="13">
        <v>200700001</v>
      </c>
      <c r="F85" s="13" t="s">
        <v>65</v>
      </c>
      <c r="G85" s="18" t="s">
        <v>81</v>
      </c>
      <c r="H85" s="18">
        <v>12</v>
      </c>
      <c r="I85" s="18">
        <v>0</v>
      </c>
      <c r="J85" s="18">
        <v>-1</v>
      </c>
      <c r="K85" s="1">
        <v>0</v>
      </c>
      <c r="L85" s="18" t="s">
        <v>79</v>
      </c>
      <c r="M85" s="18">
        <v>0</v>
      </c>
      <c r="N85">
        <v>100000</v>
      </c>
      <c r="O85" s="19">
        <v>1980000</v>
      </c>
    </row>
    <row r="86" spans="1:19">
      <c r="A86" s="1">
        <f t="shared" si="10"/>
        <v>20080010</v>
      </c>
      <c r="B86" s="13">
        <v>200800</v>
      </c>
      <c r="C86" s="13">
        <v>2</v>
      </c>
      <c r="D86" s="13" t="s">
        <v>66</v>
      </c>
      <c r="E86" s="13">
        <v>200800001</v>
      </c>
      <c r="F86" s="13" t="s">
        <v>67</v>
      </c>
      <c r="G86" s="18" t="s">
        <v>78</v>
      </c>
      <c r="H86" s="18">
        <v>10</v>
      </c>
      <c r="I86" s="18">
        <v>0</v>
      </c>
      <c r="J86" s="18">
        <v>-1</v>
      </c>
      <c r="K86" s="1">
        <v>0</v>
      </c>
      <c r="L86" s="18" t="s">
        <v>79</v>
      </c>
      <c r="M86" s="18">
        <v>0</v>
      </c>
      <c r="N86">
        <v>200</v>
      </c>
      <c r="O86" s="19">
        <v>1980000</v>
      </c>
    </row>
    <row r="87" spans="1:19">
      <c r="A87" s="1">
        <f t="shared" si="10"/>
        <v>20080011</v>
      </c>
      <c r="B87" s="13">
        <v>200800</v>
      </c>
      <c r="C87" s="13">
        <v>2</v>
      </c>
      <c r="D87" s="13" t="s">
        <v>66</v>
      </c>
      <c r="E87" s="13">
        <v>200800001</v>
      </c>
      <c r="F87" s="13" t="s">
        <v>67</v>
      </c>
      <c r="G87" s="18" t="s">
        <v>80</v>
      </c>
      <c r="H87" s="18">
        <v>11</v>
      </c>
      <c r="I87" s="18">
        <v>0</v>
      </c>
      <c r="J87" s="18">
        <v>-1</v>
      </c>
      <c r="K87" s="1">
        <v>0</v>
      </c>
      <c r="L87" s="18" t="s">
        <v>79</v>
      </c>
      <c r="M87" s="18">
        <v>0</v>
      </c>
      <c r="N87">
        <v>5000</v>
      </c>
      <c r="O87" s="19">
        <v>1980000</v>
      </c>
    </row>
    <row r="88" spans="1:19">
      <c r="A88" s="1">
        <f t="shared" si="10"/>
        <v>20080012</v>
      </c>
      <c r="B88" s="13">
        <v>200800</v>
      </c>
      <c r="C88" s="13">
        <v>2</v>
      </c>
      <c r="D88" s="13" t="s">
        <v>66</v>
      </c>
      <c r="E88" s="13">
        <v>200800001</v>
      </c>
      <c r="F88" s="13" t="s">
        <v>67</v>
      </c>
      <c r="G88" s="18" t="s">
        <v>81</v>
      </c>
      <c r="H88" s="18">
        <v>12</v>
      </c>
      <c r="I88" s="18">
        <v>0</v>
      </c>
      <c r="J88" s="18">
        <v>-1</v>
      </c>
      <c r="K88" s="1">
        <v>0</v>
      </c>
      <c r="L88" s="18" t="s">
        <v>79</v>
      </c>
      <c r="M88" s="18">
        <v>0</v>
      </c>
      <c r="N88">
        <v>100000</v>
      </c>
      <c r="O88" s="19">
        <v>1980000</v>
      </c>
    </row>
    <row r="89" spans="1:19">
      <c r="A89" s="1">
        <f t="shared" si="10"/>
        <v>20090010</v>
      </c>
      <c r="B89" s="13">
        <v>200900</v>
      </c>
      <c r="C89" s="13">
        <v>2</v>
      </c>
      <c r="D89" s="13" t="s">
        <v>68</v>
      </c>
      <c r="E89" s="13">
        <v>200900001</v>
      </c>
      <c r="F89" s="13" t="s">
        <v>69</v>
      </c>
      <c r="G89" s="18" t="s">
        <v>78</v>
      </c>
      <c r="H89" s="18">
        <v>10</v>
      </c>
      <c r="I89" s="18">
        <v>0</v>
      </c>
      <c r="J89" s="18">
        <v>-1</v>
      </c>
      <c r="K89" s="1">
        <v>0</v>
      </c>
      <c r="L89" s="18" t="s">
        <v>79</v>
      </c>
      <c r="M89" s="18">
        <v>0</v>
      </c>
      <c r="N89">
        <v>200</v>
      </c>
      <c r="O89" s="19">
        <v>1980000</v>
      </c>
    </row>
    <row r="90" spans="1:19">
      <c r="A90" s="1">
        <f t="shared" si="10"/>
        <v>20090011</v>
      </c>
      <c r="B90" s="13">
        <v>200900</v>
      </c>
      <c r="C90" s="13">
        <v>2</v>
      </c>
      <c r="D90" s="13" t="s">
        <v>68</v>
      </c>
      <c r="E90" s="13">
        <v>200900001</v>
      </c>
      <c r="F90" s="13" t="s">
        <v>69</v>
      </c>
      <c r="G90" s="18" t="s">
        <v>80</v>
      </c>
      <c r="H90" s="18">
        <v>11</v>
      </c>
      <c r="I90" s="18">
        <v>0</v>
      </c>
      <c r="J90" s="18">
        <v>-1</v>
      </c>
      <c r="K90" s="1">
        <v>0</v>
      </c>
      <c r="L90" s="18" t="s">
        <v>79</v>
      </c>
      <c r="M90" s="18">
        <v>0</v>
      </c>
      <c r="N90">
        <v>5000</v>
      </c>
      <c r="O90" s="19">
        <v>1980000</v>
      </c>
    </row>
    <row r="91" spans="1:19">
      <c r="A91" s="1">
        <f t="shared" si="10"/>
        <v>20090012</v>
      </c>
      <c r="B91" s="13">
        <v>200900</v>
      </c>
      <c r="C91" s="13">
        <v>2</v>
      </c>
      <c r="D91" s="13" t="s">
        <v>68</v>
      </c>
      <c r="E91" s="13">
        <v>200900001</v>
      </c>
      <c r="F91" s="13" t="s">
        <v>69</v>
      </c>
      <c r="G91" s="18" t="s">
        <v>81</v>
      </c>
      <c r="H91" s="18">
        <v>12</v>
      </c>
      <c r="I91" s="18">
        <v>0</v>
      </c>
      <c r="J91" s="18">
        <v>-1</v>
      </c>
      <c r="K91" s="1">
        <v>0</v>
      </c>
      <c r="L91" s="18" t="s">
        <v>79</v>
      </c>
      <c r="M91" s="18">
        <v>0</v>
      </c>
      <c r="N91">
        <v>100000</v>
      </c>
      <c r="O91" s="19">
        <v>1980000</v>
      </c>
    </row>
    <row r="92" s="1" customFormat="1" spans="1:19">
      <c r="A92" s="1">
        <f t="shared" si="10"/>
        <v>30020010</v>
      </c>
      <c r="B92" s="12">
        <v>300200</v>
      </c>
      <c r="C92" s="12">
        <v>3</v>
      </c>
      <c r="D92" s="12" t="s">
        <v>75</v>
      </c>
      <c r="E92" s="13">
        <v>300200006</v>
      </c>
      <c r="F92" s="13" t="s">
        <v>76</v>
      </c>
      <c r="G92" s="18" t="s">
        <v>78</v>
      </c>
      <c r="H92" s="18">
        <v>10</v>
      </c>
      <c r="I92" s="18">
        <v>0</v>
      </c>
      <c r="J92" s="1">
        <v>-1</v>
      </c>
      <c r="K92" s="1">
        <v>0</v>
      </c>
      <c r="L92" s="21" t="s">
        <v>82</v>
      </c>
      <c r="M92" s="18">
        <v>0</v>
      </c>
      <c r="N92">
        <v>200</v>
      </c>
      <c r="O92" s="19">
        <v>1980000</v>
      </c>
      <c r="S92" s="3"/>
    </row>
    <row r="93" s="1" customFormat="1" spans="1:19">
      <c r="A93" s="1">
        <f t="shared" si="10"/>
        <v>30020011</v>
      </c>
      <c r="B93" s="12">
        <v>300200</v>
      </c>
      <c r="C93" s="12">
        <v>3</v>
      </c>
      <c r="D93" s="12" t="s">
        <v>75</v>
      </c>
      <c r="E93" s="13">
        <v>300200006</v>
      </c>
      <c r="F93" s="13" t="s">
        <v>76</v>
      </c>
      <c r="G93" s="18" t="s">
        <v>80</v>
      </c>
      <c r="H93" s="18">
        <v>11</v>
      </c>
      <c r="I93" s="18">
        <v>0</v>
      </c>
      <c r="J93" s="1">
        <v>-1</v>
      </c>
      <c r="K93" s="1">
        <v>0</v>
      </c>
      <c r="L93" s="21" t="s">
        <v>82</v>
      </c>
      <c r="M93" s="18">
        <v>0</v>
      </c>
      <c r="N93">
        <v>5000</v>
      </c>
      <c r="O93" s="19">
        <v>1980000</v>
      </c>
      <c r="S93" s="3"/>
    </row>
    <row r="94" s="1" customFormat="1" spans="1:19">
      <c r="A94" s="1">
        <f t="shared" si="10"/>
        <v>30020012</v>
      </c>
      <c r="B94" s="12">
        <v>300200</v>
      </c>
      <c r="C94" s="12">
        <v>3</v>
      </c>
      <c r="D94" s="12" t="s">
        <v>75</v>
      </c>
      <c r="E94" s="13">
        <v>300200006</v>
      </c>
      <c r="F94" s="13" t="s">
        <v>76</v>
      </c>
      <c r="G94" s="18" t="s">
        <v>81</v>
      </c>
      <c r="H94" s="18">
        <v>12</v>
      </c>
      <c r="I94" s="18">
        <v>0</v>
      </c>
      <c r="J94" s="1">
        <v>-1</v>
      </c>
      <c r="K94" s="1">
        <v>0</v>
      </c>
      <c r="L94" s="21" t="s">
        <v>82</v>
      </c>
      <c r="M94" s="18">
        <v>0</v>
      </c>
      <c r="N94">
        <v>100000</v>
      </c>
      <c r="O94" s="19">
        <v>1980000</v>
      </c>
      <c r="S94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2025-12-04T07:15:03Z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