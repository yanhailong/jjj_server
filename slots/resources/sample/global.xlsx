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16" authorId="0">
      <text>
        <r>
          <rPr>
            <b/>
            <sz val="9"/>
            <rFont val="宋体"/>
            <charset val="134"/>
          </rPr>
          <t>Administrator:</t>
        </r>
        <r>
          <rPr>
            <sz val="9"/>
            <rFont val="宋体"/>
            <charset val="134"/>
          </rPr>
          <t xml:space="preserve">
赢家抽3%，再次基础上再抽3333/10000返给房主</t>
        </r>
      </text>
    </comment>
    <comment ref="G18" authorId="0">
      <text>
        <r>
          <rPr>
            <b/>
            <sz val="9"/>
            <rFont val="宋体"/>
            <charset val="134"/>
          </rPr>
          <t>Administrator:</t>
        </r>
        <r>
          <rPr>
            <sz val="9"/>
            <rFont val="宋体"/>
            <charset val="134"/>
          </rPr>
          <t xml:space="preserve">
默认头像：默认头像框：默认国旗：默认头衔：默认筹码：默认牌背：默认大厅背景
不需要时填0，不要改变分割</t>
        </r>
      </text>
    </comment>
    <comment ref="E35" authorId="0">
      <text>
        <r>
          <rPr>
            <b/>
            <sz val="9"/>
            <rFont val="宋体"/>
            <charset val="134"/>
          </rPr>
          <t>Administrator:</t>
        </r>
        <r>
          <rPr>
            <sz val="9"/>
            <rFont val="宋体"/>
            <charset val="134"/>
          </rPr>
          <t xml:space="preserve">
奖池总量
总量 ÷ 平均中奖金额 = 中奖次数
1000000000 ÷ 718000 = 1392.7577
初始天数30天</t>
        </r>
      </text>
    </comment>
    <comment ref="C37" authorId="0">
      <text>
        <r>
          <rPr>
            <b/>
            <sz val="9"/>
            <rFont val="宋体"/>
            <charset val="134"/>
          </rPr>
          <t>Administrator:</t>
        </r>
        <r>
          <rPr>
            <sz val="9"/>
            <rFont val="宋体"/>
            <charset val="134"/>
          </rPr>
          <t xml:space="preserve">
修改此比例后，需要在多语言表中(67016)修正描述数值</t>
        </r>
      </text>
    </comment>
    <comment ref="B48" authorId="0">
      <text>
        <r>
          <rPr>
            <b/>
            <sz val="9"/>
            <rFont val="宋体"/>
            <charset val="134"/>
          </rPr>
          <t>Administrator:</t>
        </r>
        <r>
          <rPr>
            <sz val="9"/>
            <rFont val="宋体"/>
            <charset val="134"/>
          </rPr>
          <t xml:space="preserve">
机器人积分增长最大值 = 参数 * 总排名（300） / 100</t>
        </r>
      </text>
    </comment>
    <comment ref="C50" authorId="0">
      <text>
        <r>
          <rPr>
            <b/>
            <sz val="9"/>
            <rFont val="宋体"/>
            <charset val="134"/>
          </rPr>
          <t>Administrator:</t>
        </r>
        <r>
          <rPr>
            <sz val="9"/>
            <rFont val="宋体"/>
            <charset val="134"/>
          </rPr>
          <t xml:space="preserve">
为空时表示不开此活动</t>
        </r>
      </text>
    </comment>
    <comment ref="B51" authorId="0">
      <text>
        <r>
          <rPr>
            <b/>
            <sz val="9"/>
            <rFont val="宋体"/>
            <charset val="134"/>
          </rPr>
          <t>Administrator:</t>
        </r>
        <r>
          <rPr>
            <sz val="9"/>
            <rFont val="宋体"/>
            <charset val="134"/>
          </rPr>
          <t xml:space="preserve">
废弃</t>
        </r>
      </text>
    </comment>
    <comment ref="D52" authorId="0">
      <text>
        <r>
          <rPr>
            <b/>
            <sz val="9"/>
            <rFont val="宋体"/>
            <charset val="134"/>
          </rPr>
          <t>Administrator:</t>
        </r>
        <r>
          <rPr>
            <sz val="9"/>
            <rFont val="宋体"/>
            <charset val="134"/>
          </rPr>
          <t xml:space="preserve">
值为0表示不返利
</t>
        </r>
      </text>
    </comment>
    <comment ref="D53" authorId="0">
      <text>
        <r>
          <rPr>
            <b/>
            <sz val="9"/>
            <rFont val="宋体"/>
            <charset val="134"/>
          </rPr>
          <t>Administrator:</t>
        </r>
        <r>
          <rPr>
            <sz val="9"/>
            <rFont val="宋体"/>
            <charset val="134"/>
          </rPr>
          <t xml:space="preserve">
值为0表示不返利
</t>
        </r>
      </text>
    </comment>
    <comment ref="D54" authorId="0">
      <text>
        <r>
          <rPr>
            <b/>
            <sz val="9"/>
            <rFont val="宋体"/>
            <charset val="134"/>
          </rPr>
          <t>Administrator:</t>
        </r>
        <r>
          <rPr>
            <sz val="9"/>
            <rFont val="宋体"/>
            <charset val="134"/>
          </rPr>
          <t xml:space="preserve">
值为0表示不返利
</t>
        </r>
      </text>
    </comment>
    <comment ref="C56" authorId="0">
      <text>
        <r>
          <rPr>
            <b/>
            <sz val="9"/>
            <rFont val="宋体"/>
            <charset val="134"/>
          </rPr>
          <t>Administrator:</t>
        </r>
        <r>
          <rPr>
            <sz val="9"/>
            <rFont val="宋体"/>
            <charset val="134"/>
          </rPr>
          <t xml:space="preserve">
配置几月几号领取，就在当天可领取奖励</t>
        </r>
      </text>
    </comment>
    <comment ref="C65" authorId="0">
      <text>
        <r>
          <rPr>
            <b/>
            <sz val="9"/>
            <rFont val="宋体"/>
            <charset val="134"/>
          </rPr>
          <t xml:space="preserve">Administrator:
</t>
        </r>
        <r>
          <rPr>
            <sz val="9"/>
            <rFont val="宋体"/>
            <charset val="134"/>
          </rPr>
          <t>游戏大类_有效的游戏ID范围|……
1_-1|2_201000_200100|3_300400
【游戏大类】
1:slot类型游戏
2:押注类游戏
3:对战类游戏
【有效的游戏ID】
Warehouse表中的gameID
-1:此类型的所有游戏
100100：金矿大亨
……</t>
        </r>
      </text>
    </comment>
    <comment ref="D77" authorId="0">
      <text>
        <r>
          <rPr>
            <b/>
            <sz val="9"/>
            <rFont val="宋体"/>
            <charset val="134"/>
          </rPr>
          <t>Administrator:</t>
        </r>
        <r>
          <rPr>
            <sz val="9"/>
            <rFont val="宋体"/>
            <charset val="134"/>
          </rPr>
          <t xml:space="preserve">
1表示可以重复触发
-1表示不能触发</t>
        </r>
      </text>
    </comment>
    <comment ref="D82" authorId="0">
      <text>
        <r>
          <rPr>
            <b/>
            <sz val="9"/>
            <rFont val="宋体"/>
            <charset val="134"/>
          </rPr>
          <t>Administrator:</t>
        </r>
        <r>
          <rPr>
            <sz val="9"/>
            <rFont val="宋体"/>
            <charset val="134"/>
          </rPr>
          <t xml:space="preserve">
间隔时间配置不能低于16s</t>
        </r>
      </text>
    </comment>
    <comment ref="F82" authorId="0">
      <text>
        <r>
          <rPr>
            <b/>
            <sz val="9"/>
            <rFont val="宋体"/>
            <charset val="134"/>
          </rPr>
          <t>Administrator:</t>
        </r>
        <r>
          <rPr>
            <sz val="9"/>
            <rFont val="宋体"/>
            <charset val="134"/>
          </rPr>
          <t xml:space="preserve">
TRUE表示开启
FALSE表示关闭</t>
        </r>
      </text>
    </comment>
  </commentList>
</comments>
</file>

<file path=xl/sharedStrings.xml><?xml version="1.0" encoding="utf-8"?>
<sst xmlns="http://schemas.openxmlformats.org/spreadsheetml/2006/main" count="166" uniqueCount="159">
  <si>
    <t>sid</t>
  </si>
  <si>
    <t>值</t>
  </si>
  <si>
    <t>整形</t>
  </si>
  <si>
    <t>长整型</t>
  </si>
  <si>
    <t>布尔值</t>
  </si>
  <si>
    <t>备注</t>
  </si>
  <si>
    <t>int</t>
  </si>
  <si>
    <t>String</t>
  </si>
  <si>
    <t>long</t>
  </si>
  <si>
    <t>bool</t>
  </si>
  <si>
    <t>id</t>
  </si>
  <si>
    <t>value</t>
  </si>
  <si>
    <t>intValue</t>
  </si>
  <si>
    <t>longValue</t>
  </si>
  <si>
    <t>boolValue</t>
  </si>
  <si>
    <t>玩家最大等级</t>
  </si>
  <si>
    <t>基础经验倍率</t>
  </si>
  <si>
    <t>万分比</t>
  </si>
  <si>
    <t>基础流水倍率（打码量）</t>
  </si>
  <si>
    <t>商店价格显示转换</t>
  </si>
  <si>
    <t>表中值除以此值</t>
  </si>
  <si>
    <t>百家乐允许显示最多的房间数量</t>
  </si>
  <si>
    <t>优先显示最近创建的房间</t>
  </si>
  <si>
    <t>sweet win</t>
  </si>
  <si>
    <t>5,10</t>
  </si>
  <si>
    <t>slot中奖倍数大于押注倍数后触发大奖表现。此配置下限 &gt;= 【中奖金额 ÷ baseRoom表_单线押分 ÷ baseRoom表_押分系数】 &gt; 此配置范围时，展示表现</t>
  </si>
  <si>
    <t>big win</t>
  </si>
  <si>
    <t>10,20</t>
  </si>
  <si>
    <t>mega win</t>
  </si>
  <si>
    <t>20,30</t>
  </si>
  <si>
    <t>epic win</t>
  </si>
  <si>
    <t>30,50</t>
  </si>
  <si>
    <t>legendary win</t>
  </si>
  <si>
    <t>50,9999999</t>
  </si>
  <si>
    <t>押注桌面展示的筹码数量上限</t>
  </si>
  <si>
    <t>创建房间功能基础收益万分比</t>
  </si>
  <si>
    <t>每局结束从赢方获得的奖金中扣除此比例金额提供给创建房间的玩家</t>
  </si>
  <si>
    <t>创建房间-【邀请码每日0点重置后获得次数】</t>
  </si>
  <si>
    <t>默认装扮</t>
  </si>
  <si>
    <t>1:1001:2023:0:4001:5001:6001</t>
  </si>
  <si>
    <t>avatar表的ID</t>
  </si>
  <si>
    <t>牌局开启后需要的等待时间（分钟）</t>
  </si>
  <si>
    <t>最多连续坐庄次数</t>
  </si>
  <si>
    <t>我的赌场清除CD价值，每X秒需要Y钻石（道具ID_道具数量_单位时间秒）</t>
  </si>
  <si>
    <t>1980000_500_60</t>
  </si>
  <si>
    <t>钻石和金币等价，30000金币等于1$，设1分钟=0.02$=0.14￥=0.02*30000=600</t>
  </si>
  <si>
    <t>默认邮件有效期（秒）</t>
  </si>
  <si>
    <t>我的赌场购买一键领取的消耗（道具ID_道具数量_持续时间分钟）</t>
  </si>
  <si>
    <t>1980000_3000_1440</t>
  </si>
  <si>
    <t>钻石和金币等价，30000金币等于1$，设1分钟=0.001$=0.007￥=1*0.001*30000=30</t>
  </si>
  <si>
    <t>收藏游戏数量上限</t>
  </si>
  <si>
    <t>摇钱树活动增长金额</t>
  </si>
  <si>
    <t>0_12_5000_10000|12_24_5000_10000</t>
  </si>
  <si>
    <t>开始时间/时_结束时间/时（左闭右开）_每次增长值_每次增长下限|</t>
  </si>
  <si>
    <t>摇钱树活动增加频率</t>
  </si>
  <si>
    <t>2_1000</t>
  </si>
  <si>
    <t>增长间隔（秒）_增长触发概率万分比</t>
  </si>
  <si>
    <t>摇钱树活动当前奖金累计进入下一期的万分比比例</t>
  </si>
  <si>
    <t>摇钱树活动当玩家产生有效打码量的金额万分比进入奖池</t>
  </si>
  <si>
    <t>摇钱树活动每日免费获得一个祈福卡道具（重置时间跟随系统）</t>
  </si>
  <si>
    <t>1022501_1</t>
  </si>
  <si>
    <t>储钱罐：每次下注金币的万分比飞入储钱罐</t>
  </si>
  <si>
    <t>创建房间-房间销毁时房主获得实际准备金的万分比</t>
  </si>
  <si>
    <t>不得超过10000</t>
  </si>
  <si>
    <t>刮刮奖活动每次消耗道具数量</t>
  </si>
  <si>
    <t>1022502_1</t>
  </si>
  <si>
    <t>幸运夺宝能配置商品数量上限</t>
  </si>
  <si>
    <t>官方派奖每个转盘需求积分：初、中、高(字段废弃，配置移到ActivityConfig.xlsx)</t>
  </si>
  <si>
    <t>10_200_5000</t>
  </si>
  <si>
    <t>官方派奖转盘奖池金币数量（废弃，在活动配置表中配置）</t>
  </si>
  <si>
    <t>从OfficialAwards表中取平均中奖金额</t>
  </si>
  <si>
    <t>活动时间</t>
  </si>
  <si>
    <t>天</t>
  </si>
  <si>
    <t>毫秒</t>
  </si>
  <si>
    <t>官方派奖：有效下注转换积分比例 ：有效下注 = X积分(字段废弃)</t>
  </si>
  <si>
    <t>100000_1</t>
  </si>
  <si>
    <t>官方派奖：充值转换积分比例 ：充值金额（290,000 越南盾 = 1 积分 )</t>
  </si>
  <si>
    <t>1_10</t>
  </si>
  <si>
    <t>官方派奖：转盘1次数_转盘2次数_转盘3次数（真人抽奖后机器人跟着的抽奖次数，填10，表示玩家抽1次，机器人抽10次）</t>
  </si>
  <si>
    <t>1_1_1</t>
  </si>
  <si>
    <t>机器人奖池比例</t>
  </si>
  <si>
    <t>官方派奖：机器人中奖间隔（毫秒_权重|毫秒_权重）</t>
  </si>
  <si>
    <t>33600_1000|28000_1000|22400_1000|16800_1000|11200_1000</t>
  </si>
  <si>
    <t>平均中奖间隔</t>
  </si>
  <si>
    <t>共5档</t>
  </si>
  <si>
    <t>每档偏移</t>
  </si>
  <si>
    <t>每档时间</t>
  </si>
  <si>
    <t>积分大奖： 转盘每次消耗积分数</t>
  </si>
  <si>
    <t>积分大奖：上榜的最低积分要求(日榜、周榜ID110 ，月榜ID42)</t>
  </si>
  <si>
    <t>积分大奖：月总榜-上榜的最低积分要求</t>
  </si>
  <si>
    <t>积分大奖：每日转盘默认初始次数上限</t>
  </si>
  <si>
    <t>积分大奖：充值多少金额给一次转盘次数</t>
  </si>
  <si>
    <t>积分大奖：积分保底奖励（积分数量_奖励道具ID_奖励道具数量）</t>
  </si>
  <si>
    <t>300_1990000_25100|600_1990000_50200|1200_1990000_100400|2400_1990000_200900|3600_1990000_301300|4800_1990000_401800</t>
  </si>
  <si>
    <t>VIP充值：充值金额与经验转换比例(充值金额_获得vip经验，最低支持0.01_1，美元)</t>
  </si>
  <si>
    <t>1_30000</t>
  </si>
  <si>
    <t>积分大奖：实物奖励兑换码过期时间（天）</t>
  </si>
  <si>
    <t>目标积分</t>
  </si>
  <si>
    <t>积分大奖：占用榜单的机器人条件，触发的倒计时，单位秒【倒计时下限_倒计时上限_最小增长积分_前X名用机器人占榜】</t>
  </si>
  <si>
    <t>90_210_60_45</t>
  </si>
  <si>
    <t>目标积分 / （24*60/时间间隔分）*100/(总排名/MAX(1,(当前名次*(当前名次-1)))+总排名/当前名次) =增长积分</t>
  </si>
  <si>
    <t>名次</t>
  </si>
  <si>
    <t>积分大奖: 【日榜排行榜显示人数_周榜排行榜显示人数_月榜排行榜显示人数】</t>
  </si>
  <si>
    <t>300_50_10</t>
  </si>
  <si>
    <t>间隔</t>
  </si>
  <si>
    <t>新手奖励</t>
  </si>
  <si>
    <t>1990000_214300</t>
  </si>
  <si>
    <t>手机短信区号（印度、巴基斯坦、菲律宾、巴西、尼日利亚）废弃</t>
  </si>
  <si>
    <t>‌91_92_63_55_234</t>
  </si>
  <si>
    <t>VIP充值返利给金币时的金币数量，金币数量 = 返利金额 * 此值</t>
  </si>
  <si>
    <t>推广分享给金币时的金币数量，金币数量 = 返利金额 * 此值</t>
  </si>
  <si>
    <t>VIP充值返利给钻石时的钻石数量，钻石数量 = 返利金额 * 此值</t>
  </si>
  <si>
    <t>幸运夺宝开奖时间(秒)</t>
  </si>
  <si>
    <t>VIP季度奖励领取时间(月份1日期1_月份2日期2_月份3日期3_月份4日期4)</t>
  </si>
  <si>
    <t>0331_0630_0930_1231</t>
  </si>
  <si>
    <t>推广分享链接及宣传图</t>
  </si>
  <si>
    <t>https://aws-s3-jjg-asset-bucket.s3.ap-southeast-1.amazonaws.com/tanchuang_res/english/tc_sc_1.png</t>
  </si>
  <si>
    <t>隐私政策链接</t>
  </si>
  <si>
    <t>https://chat.kinghush.com/privacy.html</t>
  </si>
  <si>
    <t>推广分享：分享1人得固定奖励</t>
  </si>
  <si>
    <t>1990000_210000</t>
  </si>
  <si>
    <t>推广分享：二维码图片配置(该资源放在资源服务器实时下载显示的)</t>
  </si>
  <si>
    <t>ShareQRCode/QR_Code001.png</t>
  </si>
  <si>
    <t>推广分享：周榜上榜条件设置(收益数量)</t>
  </si>
  <si>
    <t>1990000_7500000</t>
  </si>
  <si>
    <t>推广分享：有效用户达标条件（有效下注累计_数值|累计充值_数值）</t>
  </si>
  <si>
    <t>AND(totalValidBets(4200000),totalRecharge(10,0))</t>
  </si>
  <si>
    <t>财富轮盘：昨日输的金币兑换为积分的比例（昨日所输金币_获得积分）</t>
  </si>
  <si>
    <t>50_1</t>
  </si>
  <si>
    <t>财富轮盘：每次抽奖所消耗的积分</t>
  </si>
  <si>
    <t>财富轮盘：指定游戏内的打码才可以转为积分，填游戏范围</t>
  </si>
  <si>
    <t>1_-1</t>
  </si>
  <si>
    <t>买一送七：限购时间，单位秒，活动开始后到此倒计时结束之间才能付费参与活动</t>
  </si>
  <si>
    <t>摇钱树奖池保底：当摇钱树奖池金额低于此值时，始终不中奖</t>
  </si>
  <si>
    <t>货币文本符号，服务器发个前端放在货币数值前面</t>
  </si>
  <si>
    <t>$</t>
  </si>
  <si>
    <t>幸运夺宝：商品价值货币的图标</t>
  </si>
  <si>
    <t>jinbi_11.png</t>
  </si>
  <si>
    <t>幸运夺宝：抢购商品所需要的道具ID(仅在界面左上角处显示的抢购消耗道具的信息)</t>
  </si>
  <si>
    <t>积分大奖：上榜的最低积分要求(周榜)</t>
  </si>
  <si>
    <t>机器人最低准入倍数放大基数：用于选择机器人的携带金额，机器人携带金额= 游戏最小准入金额× 此倍数</t>
  </si>
  <si>
    <t>创建房间-Slot游戏新增超时提出的倒计时，单位毫秒</t>
  </si>
  <si>
    <t>活动-分享按钮：活动参与条件，不满足时分享失败|奖励道具ID_道具数量|每天账号领取次数_相同设备最多领取次数_注册IP地址领取次数_登录IP地址领取次数|领取奖励条件</t>
  </si>
  <si>
    <t>bindPhone()|1990000_3000|1_5_20_100|accountTotalRecharge(100)</t>
  </si>
  <si>
    <t>创建房间-房间时间上限，房间时长不能超过此值，单位：小时</t>
  </si>
  <si>
    <t>截图分享-在slot游戏中中奖达到多少倍触发截图分享</t>
  </si>
  <si>
    <t>截图分享-在slot游戏中同一房间获得X倍奖励是否重复触发截图分享（在当日分享次数足够时）</t>
  </si>
  <si>
    <t>截图分享-在slot游戏中同一用户每日最多触发多少次截图分享</t>
  </si>
  <si>
    <t>充值挑战活动：福利中充值返利的金币数量=预算价值*此值</t>
  </si>
  <si>
    <t>礼包码输入错误后需要等待的时间（单位：秒）</t>
  </si>
  <si>
    <t>充值引导：点击充值引导图标，跳转客服链接</t>
  </si>
  <si>
    <t>https://j5wxcf.7mmon3ss.com/chatwindow.aspx?siteId=65002831&amp;planId=c245fbe6-4ec5-46d6-8542-657f871cc0b3</t>
  </si>
  <si>
    <t>机器人跑马灯开关以及机器人跑马灯读取runninglight中数据间隔时间（毫秒）</t>
  </si>
  <si>
    <t>免费旋转转盘抽奖结果控制（填转盘ID 第一次为1，第二次为2，填1_2）、后续获得比例万分比</t>
  </si>
  <si>
    <t>7_2|7537</t>
  </si>
  <si>
    <t>免费旋转分享转盘人数、流水（有效下注）、充值金额与人数要求（达到充值金额）</t>
  </si>
  <si>
    <t>10|10000|1|1</t>
  </si>
  <si>
    <t>免费旋转活动用户在每轮抽奖中需要达到的目标金额</t>
  </si>
  <si>
    <t>免费旋转活动用户每轮抽奖持续的时间（单位：小时）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</si>
</sst>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等线"/>
      <charset val="134"/>
      <scheme val="minor"/>
    </font>
    <font>
      <sz val="11"/>
      <color theme="1"/>
      <name val="微软雅黑"/>
      <charset val="134"/>
    </font>
    <font>
      <sz val="11"/>
      <color theme="0" tint="-0.249977111117893"/>
      <name val="微软雅黑"/>
      <charset val="134"/>
    </font>
    <font>
      <sz val="11"/>
      <name val="微软雅黑"/>
      <charset val="134"/>
    </font>
    <font>
      <sz val="10"/>
      <color theme="1"/>
      <name val="微软雅黑"/>
      <charset val="134"/>
    </font>
    <font>
      <b/>
      <sz val="11"/>
      <color rgb="FFFF0000"/>
      <name val="微软雅黑"/>
      <charset val="134"/>
    </font>
    <font>
      <sz val="11"/>
      <color rgb="FFFF0000"/>
      <name val="微软雅黑"/>
      <charset val="134"/>
    </font>
    <font>
      <b/>
      <sz val="11"/>
      <color theme="2"/>
      <name val="微软雅黑"/>
      <charset val="134"/>
    </font>
    <font>
      <sz val="11"/>
      <color theme="0" tint="-0.249977111117893"/>
      <name val="Times New Roman"/>
      <charset val="134"/>
    </font>
    <font>
      <sz val="10.5"/>
      <color theme="0" tint="-0.249977111117893"/>
      <name val="Arial"/>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4"/>
        <bgColor indexed="64"/>
      </patternFill>
    </fill>
    <fill>
      <patternFill patternType="solid">
        <fgColor theme="7" tint="0.4"/>
        <bgColor indexed="64"/>
      </patternFill>
    </fill>
    <fill>
      <patternFill patternType="solid">
        <fgColor theme="5" tint="0.8"/>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7"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39">
    <xf numFmtId="0" fontId="0" fillId="0" borderId="0" xfId="0"/>
    <xf numFmtId="0" fontId="1" fillId="2" borderId="0" xfId="0" applyFont="1" applyFill="1"/>
    <xf numFmtId="0" fontId="2" fillId="0" borderId="0" xfId="0" applyFont="1"/>
    <xf numFmtId="0" fontId="3"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5" fillId="0" borderId="0" xfId="0" applyFont="1" applyAlignment="1">
      <alignment vertical="center"/>
    </xf>
    <xf numFmtId="3" fontId="1" fillId="0" borderId="0" xfId="0" applyNumberFormat="1" applyFont="1" applyAlignment="1">
      <alignment vertical="center"/>
    </xf>
    <xf numFmtId="20" fontId="1" fillId="0" borderId="0" xfId="0" applyNumberFormat="1" applyFont="1"/>
    <xf numFmtId="0" fontId="6" fillId="2" borderId="0" xfId="0" applyFont="1" applyFill="1"/>
    <xf numFmtId="0" fontId="1" fillId="0" borderId="0" xfId="0" applyFont="1" applyAlignment="1">
      <alignment horizontal="left"/>
    </xf>
    <xf numFmtId="0" fontId="2" fillId="7" borderId="0" xfId="0" applyFont="1" applyFill="1"/>
    <xf numFmtId="0" fontId="7" fillId="0" borderId="0" xfId="0" applyFont="1"/>
    <xf numFmtId="0" fontId="1" fillId="7" borderId="0" xfId="0" applyFont="1" applyFill="1"/>
    <xf numFmtId="0" fontId="5" fillId="6" borderId="0" xfId="0" applyFont="1" applyFill="1" applyAlignment="1"/>
    <xf numFmtId="0" fontId="3" fillId="7" borderId="0" xfId="0" applyFont="1" applyFill="1"/>
    <xf numFmtId="176" fontId="1" fillId="0" borderId="0" xfId="0" applyNumberFormat="1" applyFont="1"/>
    <xf numFmtId="9" fontId="1" fillId="0" borderId="0" xfId="0" applyNumberFormat="1" applyFont="1"/>
    <xf numFmtId="0" fontId="5" fillId="3" borderId="0" xfId="0" applyFont="1" applyFill="1"/>
    <xf numFmtId="0" fontId="5" fillId="4" borderId="0" xfId="0" applyFont="1" applyFill="1"/>
    <xf numFmtId="0" fontId="1" fillId="0" borderId="0" xfId="0" applyFont="1" applyFill="1" applyAlignment="1"/>
    <xf numFmtId="0" fontId="8" fillId="0" borderId="0" xfId="0" applyFont="1"/>
    <xf numFmtId="0" fontId="6" fillId="4" borderId="0" xfId="0" applyFont="1" applyFill="1"/>
    <xf numFmtId="0" fontId="6" fillId="5" borderId="0" xfId="0" applyFont="1" applyFill="1"/>
    <xf numFmtId="0" fontId="9" fillId="0" borderId="0" xfId="0" applyFont="1"/>
    <xf numFmtId="0" fontId="10" fillId="0" borderId="0" xfId="6" applyAlignment="1"/>
    <xf numFmtId="0" fontId="5" fillId="5" borderId="0" xfId="0" applyFont="1" applyFill="1"/>
    <xf numFmtId="0" fontId="5" fillId="6" borderId="0" xfId="0" applyFont="1" applyFill="1"/>
    <xf numFmtId="0" fontId="1" fillId="0" borderId="1" xfId="0" applyFont="1" applyBorder="1"/>
    <xf numFmtId="0" fontId="1" fillId="0" borderId="0" xfId="0" applyFont="1" applyAlignment="1">
      <alignment horizontal="right"/>
    </xf>
    <xf numFmtId="0" fontId="1" fillId="0" borderId="0" xfId="0" applyFont="1" applyFill="1" applyAlignment="1">
      <alignment vertical="center"/>
    </xf>
    <xf numFmtId="3" fontId="1" fillId="0" borderId="0" xfId="0" applyNumberFormat="1" applyFont="1" applyAlignment="1" quotePrefix="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j5wxcf.7mmon3ss.com/chatwindow.aspx?siteId=65002831&amp;planId=c245fbe6-4ec5-46d6-8542-657f871cc0b3" TargetMode="External"/><Relationship Id="rId4" Type="http://schemas.openxmlformats.org/officeDocument/2006/relationships/hyperlink" Target="https://chat.kinghush.com/privacy.html" TargetMode="External"/><Relationship Id="rId3" Type="http://schemas.openxmlformats.org/officeDocument/2006/relationships/hyperlink" Target="https://aws-s3-jjg-asset-bucket.s3.ap-southeast-1.amazonaws.com/tanchuang_res/english/tc_sc_1.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6"/>
  <sheetViews>
    <sheetView tabSelected="1" zoomScale="85" zoomScaleNormal="85" workbookViewId="0">
      <pane ySplit="3" topLeftCell="A55" activePane="bottomLeft" state="frozen"/>
      <selection/>
      <selection pane="bottomLeft" activeCell="C87" sqref="C87"/>
    </sheetView>
  </sheetViews>
  <sheetFormatPr defaultColWidth="9" defaultRowHeight="16.5"/>
  <cols>
    <col min="1" max="1" width="9" style="8"/>
    <col min="2" max="2" width="134.125" style="8" customWidth="1"/>
    <col min="3" max="3" width="36.5" style="8" customWidth="1"/>
    <col min="4" max="4" width="28.375" style="8" customWidth="1"/>
    <col min="5" max="5" width="11.5" style="8" customWidth="1"/>
    <col min="6" max="6" width="9.625" style="8" customWidth="1"/>
    <col min="7" max="7" width="23.375" style="8" customWidth="1"/>
    <col min="8" max="8" width="12.75" style="8"/>
    <col min="9" max="10" width="14.125" style="8"/>
    <col min="11" max="11" width="9" style="8"/>
    <col min="12" max="12" width="12.875" style="8"/>
    <col min="13" max="13" width="9" style="8"/>
    <col min="14" max="17" width="10.375" style="8"/>
    <col min="18" max="18" width="9.25" style="8"/>
    <col min="19" max="16384" width="9" style="8"/>
  </cols>
  <sheetData>
    <row r="1" spans="1:7">
      <c r="A1" s="9" t="s">
        <v>0</v>
      </c>
      <c r="B1" s="10"/>
      <c r="C1" s="10" t="s">
        <v>1</v>
      </c>
      <c r="D1" s="10" t="s">
        <v>2</v>
      </c>
      <c r="E1" s="10" t="s">
        <v>3</v>
      </c>
      <c r="F1" s="10" t="s">
        <v>4</v>
      </c>
      <c r="G1" s="10" t="s">
        <v>5</v>
      </c>
    </row>
    <row r="2" spans="1:7">
      <c r="A2" s="11" t="s">
        <v>6</v>
      </c>
      <c r="B2" s="10"/>
      <c r="C2" s="10" t="s">
        <v>7</v>
      </c>
      <c r="D2" s="12" t="s">
        <v>6</v>
      </c>
      <c r="E2" s="8" t="s">
        <v>8</v>
      </c>
      <c r="F2" s="10" t="s">
        <v>9</v>
      </c>
      <c r="G2" s="10"/>
    </row>
    <row r="3" spans="1:7">
      <c r="A3" s="9" t="s">
        <v>10</v>
      </c>
      <c r="B3" s="10"/>
      <c r="C3" s="10" t="s">
        <v>11</v>
      </c>
      <c r="D3" s="8" t="s">
        <v>12</v>
      </c>
      <c r="E3" s="8" t="s">
        <v>13</v>
      </c>
      <c r="F3" s="8" t="s">
        <v>14</v>
      </c>
      <c r="G3" s="10"/>
    </row>
    <row r="4" spans="1:7">
      <c r="A4" s="13"/>
      <c r="B4" s="12"/>
      <c r="C4" s="12"/>
      <c r="G4" s="12"/>
    </row>
    <row r="5" spans="1:7">
      <c r="A5" s="8">
        <v>1</v>
      </c>
      <c r="B5" s="12" t="s">
        <v>15</v>
      </c>
      <c r="D5" s="12">
        <v>999</v>
      </c>
      <c r="E5" s="12"/>
      <c r="F5" s="12"/>
      <c r="G5" s="12"/>
    </row>
    <row r="6" spans="1:7">
      <c r="A6" s="8">
        <v>2</v>
      </c>
      <c r="B6" s="12" t="s">
        <v>16</v>
      </c>
      <c r="D6" s="14">
        <v>10000</v>
      </c>
      <c r="E6" s="12"/>
      <c r="F6" s="12"/>
      <c r="G6" s="12" t="s">
        <v>17</v>
      </c>
    </row>
    <row r="7" spans="1:7">
      <c r="A7" s="8">
        <v>3</v>
      </c>
      <c r="B7" s="12" t="s">
        <v>18</v>
      </c>
      <c r="D7" s="12">
        <v>10000</v>
      </c>
      <c r="E7" s="12"/>
      <c r="F7" s="12"/>
      <c r="G7" s="12" t="s">
        <v>17</v>
      </c>
    </row>
    <row r="8" spans="1:7">
      <c r="A8" s="8">
        <v>4</v>
      </c>
      <c r="B8" s="12" t="s">
        <v>19</v>
      </c>
      <c r="C8" s="12">
        <v>100</v>
      </c>
      <c r="D8" s="12"/>
      <c r="E8" s="12"/>
      <c r="F8" s="12"/>
      <c r="G8" s="12" t="s">
        <v>20</v>
      </c>
    </row>
    <row r="9" spans="1:7">
      <c r="A9" s="8">
        <v>5</v>
      </c>
      <c r="B9" s="8" t="s">
        <v>21</v>
      </c>
      <c r="C9" s="8">
        <v>4</v>
      </c>
      <c r="G9" s="8" t="s">
        <v>22</v>
      </c>
    </row>
    <row r="10" spans="1:7">
      <c r="A10" s="8">
        <v>6</v>
      </c>
      <c r="B10" s="12" t="s">
        <v>23</v>
      </c>
      <c r="C10" s="39" t="s">
        <v>24</v>
      </c>
      <c r="D10" s="15"/>
      <c r="E10" s="12"/>
      <c r="F10" s="12"/>
      <c r="G10" s="8" t="s">
        <v>25</v>
      </c>
    </row>
    <row r="11" spans="1:7">
      <c r="A11" s="8">
        <v>7</v>
      </c>
      <c r="B11" s="12" t="s">
        <v>26</v>
      </c>
      <c r="C11" s="40" t="s">
        <v>27</v>
      </c>
      <c r="D11" s="12"/>
      <c r="E11" s="12"/>
      <c r="F11" s="12"/>
      <c r="G11" s="8" t="s">
        <v>25</v>
      </c>
    </row>
    <row r="12" spans="1:7">
      <c r="A12" s="8">
        <v>8</v>
      </c>
      <c r="B12" s="12" t="s">
        <v>28</v>
      </c>
      <c r="C12" s="40" t="s">
        <v>29</v>
      </c>
      <c r="D12" s="12"/>
      <c r="E12" s="12"/>
      <c r="F12" s="12"/>
      <c r="G12" s="8" t="s">
        <v>25</v>
      </c>
    </row>
    <row r="13" spans="1:7">
      <c r="A13" s="8">
        <v>9</v>
      </c>
      <c r="B13" s="12" t="s">
        <v>30</v>
      </c>
      <c r="C13" s="40" t="s">
        <v>31</v>
      </c>
      <c r="D13" s="12"/>
      <c r="E13" s="12"/>
      <c r="F13" s="12"/>
      <c r="G13" s="8" t="s">
        <v>25</v>
      </c>
    </row>
    <row r="14" spans="1:7">
      <c r="A14" s="8">
        <v>10</v>
      </c>
      <c r="B14" s="12" t="s">
        <v>32</v>
      </c>
      <c r="C14" s="40" t="s">
        <v>33</v>
      </c>
      <c r="D14" s="12"/>
      <c r="E14" s="12"/>
      <c r="F14" s="12"/>
      <c r="G14" s="8" t="s">
        <v>25</v>
      </c>
    </row>
    <row r="15" spans="1:7">
      <c r="A15" s="8">
        <v>11</v>
      </c>
      <c r="B15" s="8" t="s">
        <v>34</v>
      </c>
      <c r="D15" s="8">
        <f>2*3*5*3</f>
        <v>90</v>
      </c>
    </row>
    <row r="16" spans="1:7">
      <c r="A16" s="8">
        <v>12</v>
      </c>
      <c r="B16" s="8" t="s">
        <v>35</v>
      </c>
      <c r="D16" s="8">
        <v>3333</v>
      </c>
      <c r="G16" s="8" t="s">
        <v>36</v>
      </c>
    </row>
    <row r="17" spans="1:12">
      <c r="A17" s="8">
        <v>13</v>
      </c>
      <c r="B17" s="8" t="s">
        <v>37</v>
      </c>
      <c r="D17" s="8">
        <v>1</v>
      </c>
    </row>
    <row r="18" spans="1:12">
      <c r="A18" s="8">
        <v>14</v>
      </c>
      <c r="B18" s="8" t="s">
        <v>38</v>
      </c>
      <c r="C18" s="16" t="s">
        <v>39</v>
      </c>
      <c r="G18" s="8" t="s">
        <v>40</v>
      </c>
    </row>
    <row r="19" spans="1:12">
      <c r="A19" s="8">
        <v>15</v>
      </c>
      <c r="B19" s="8" t="s">
        <v>41</v>
      </c>
      <c r="D19" s="8">
        <v>5</v>
      </c>
    </row>
    <row r="20" spans="1:12">
      <c r="A20" s="8">
        <v>16</v>
      </c>
      <c r="B20" s="8" t="s">
        <v>42</v>
      </c>
      <c r="D20" s="8">
        <v>10</v>
      </c>
    </row>
    <row r="21" spans="1:12">
      <c r="A21" s="8">
        <v>17</v>
      </c>
      <c r="B21" s="8" t="s">
        <v>43</v>
      </c>
      <c r="C21" s="8" t="s">
        <v>44</v>
      </c>
      <c r="G21" s="8" t="s">
        <v>45</v>
      </c>
    </row>
    <row r="22" spans="1:12">
      <c r="A22" s="8">
        <v>18</v>
      </c>
      <c r="B22" s="8" t="s">
        <v>46</v>
      </c>
      <c r="D22" s="8">
        <v>600</v>
      </c>
    </row>
    <row r="23" spans="1:12">
      <c r="A23" s="8">
        <v>19</v>
      </c>
      <c r="B23" s="8" t="s">
        <v>47</v>
      </c>
      <c r="C23" s="8" t="s">
        <v>48</v>
      </c>
      <c r="G23" s="8" t="s">
        <v>49</v>
      </c>
      <c r="L23" s="8">
        <f>60*24*30</f>
        <v>43200</v>
      </c>
    </row>
    <row r="24" spans="1:12">
      <c r="A24" s="8">
        <v>20</v>
      </c>
      <c r="B24" s="8" t="s">
        <v>50</v>
      </c>
      <c r="D24" s="8">
        <v>10</v>
      </c>
    </row>
    <row r="25" s="1" customFormat="1" spans="1:12">
      <c r="A25" s="1">
        <v>21</v>
      </c>
      <c r="B25" s="1" t="s">
        <v>51</v>
      </c>
      <c r="C25" s="17" t="s">
        <v>52</v>
      </c>
      <c r="G25" s="1" t="s">
        <v>53</v>
      </c>
    </row>
    <row r="26" s="1" customFormat="1" spans="1:12">
      <c r="A26" s="1">
        <v>22</v>
      </c>
      <c r="B26" s="1" t="s">
        <v>54</v>
      </c>
      <c r="C26" s="1" t="s">
        <v>55</v>
      </c>
      <c r="G26" s="1" t="s">
        <v>56</v>
      </c>
    </row>
    <row r="27" s="1" customFormat="1" spans="1:12">
      <c r="A27" s="1">
        <v>23</v>
      </c>
      <c r="B27" s="1" t="s">
        <v>57</v>
      </c>
      <c r="D27" s="1">
        <v>10000</v>
      </c>
    </row>
    <row r="28" s="1" customFormat="1" spans="1:12">
      <c r="A28" s="1">
        <v>24</v>
      </c>
      <c r="B28" s="1" t="s">
        <v>58</v>
      </c>
      <c r="D28" s="1">
        <v>100</v>
      </c>
    </row>
    <row r="29" s="1" customFormat="1" spans="1:12">
      <c r="A29" s="1">
        <v>25</v>
      </c>
      <c r="B29" s="1" t="s">
        <v>59</v>
      </c>
      <c r="C29" s="1" t="s">
        <v>60</v>
      </c>
    </row>
    <row r="30" spans="1:12">
      <c r="A30" s="8">
        <v>26</v>
      </c>
      <c r="B30" s="8" t="s">
        <v>61</v>
      </c>
      <c r="C30" s="18"/>
      <c r="D30" s="8">
        <v>100</v>
      </c>
    </row>
    <row r="31" spans="1:12">
      <c r="A31" s="8">
        <v>27</v>
      </c>
      <c r="B31" s="8" t="s">
        <v>62</v>
      </c>
      <c r="D31" s="8">
        <v>10000</v>
      </c>
      <c r="G31" s="8" t="s">
        <v>63</v>
      </c>
    </row>
    <row r="32" spans="1:12">
      <c r="A32" s="8">
        <v>28</v>
      </c>
      <c r="B32" s="8" t="s">
        <v>64</v>
      </c>
      <c r="C32" s="8" t="s">
        <v>65</v>
      </c>
    </row>
    <row r="33" spans="1:23">
      <c r="A33" s="8">
        <v>29</v>
      </c>
      <c r="B33" s="8" t="s">
        <v>66</v>
      </c>
      <c r="D33" s="8">
        <v>10</v>
      </c>
    </row>
    <row r="34" s="2" customFormat="1" spans="1:23">
      <c r="A34" s="19">
        <v>30</v>
      </c>
      <c r="B34" s="19" t="s">
        <v>67</v>
      </c>
      <c r="C34" s="2" t="s">
        <v>68</v>
      </c>
    </row>
    <row r="35" s="2" customFormat="1" spans="1:23">
      <c r="A35" s="19">
        <v>31</v>
      </c>
      <c r="B35" s="19" t="s">
        <v>69</v>
      </c>
      <c r="E35" s="20">
        <v>372460972.440945</v>
      </c>
      <c r="G35" s="2" t="s">
        <v>70</v>
      </c>
      <c r="H35" s="20">
        <v>8692.20472440945</v>
      </c>
      <c r="I35" s="2" t="s">
        <v>71</v>
      </c>
      <c r="J35" s="2">
        <v>1</v>
      </c>
      <c r="K35" s="2" t="s">
        <v>72</v>
      </c>
      <c r="L35" s="2">
        <f>J35*24*60*60*1000</f>
        <v>86400000</v>
      </c>
      <c r="M35" s="2" t="s">
        <v>73</v>
      </c>
    </row>
    <row r="36" spans="1:23">
      <c r="A36" s="19">
        <v>32</v>
      </c>
      <c r="B36" s="19" t="s">
        <v>74</v>
      </c>
      <c r="C36" s="2" t="s">
        <v>75</v>
      </c>
    </row>
    <row r="37" spans="1:23">
      <c r="A37" s="21">
        <v>33</v>
      </c>
      <c r="B37" s="21" t="s">
        <v>76</v>
      </c>
      <c r="C37" s="22" t="s">
        <v>77</v>
      </c>
    </row>
    <row r="38" s="3" customFormat="1" spans="1:23">
      <c r="A38" s="23">
        <v>34</v>
      </c>
      <c r="B38" s="23" t="s">
        <v>78</v>
      </c>
      <c r="C38" s="3" t="s">
        <v>79</v>
      </c>
      <c r="G38" s="3" t="s">
        <v>80</v>
      </c>
      <c r="H38" s="3">
        <v>90</v>
      </c>
    </row>
    <row r="39" spans="1:23">
      <c r="A39" s="21">
        <v>35</v>
      </c>
      <c r="B39" s="21" t="s">
        <v>81</v>
      </c>
      <c r="C39" s="8" t="s">
        <v>82</v>
      </c>
      <c r="G39" s="8" t="s">
        <v>83</v>
      </c>
      <c r="H39" s="24">
        <f>ROUND(L35/(E35*H38/100/H35),0)</f>
        <v>2240</v>
      </c>
      <c r="I39" s="8" t="s">
        <v>73</v>
      </c>
      <c r="J39" s="8" t="s">
        <v>84</v>
      </c>
      <c r="K39" s="25" t="s">
        <v>85</v>
      </c>
      <c r="L39" s="25">
        <v>0.25</v>
      </c>
      <c r="M39" s="8" t="s">
        <v>86</v>
      </c>
      <c r="N39" s="8">
        <f>ROUND(P39*(1+2*L39),0)</f>
        <v>3360</v>
      </c>
      <c r="O39" s="8">
        <f>ROUND(P39*(1+1*L39),0)</f>
        <v>2800</v>
      </c>
      <c r="P39" s="8">
        <f>H39</f>
        <v>2240</v>
      </c>
      <c r="Q39" s="8">
        <f>ROUND(P39*(1-1*L39),0)</f>
        <v>1680</v>
      </c>
      <c r="R39" s="8">
        <f>ROUND(P39*(1-2*L39),0)</f>
        <v>1120</v>
      </c>
      <c r="S39" s="8" t="str">
        <f>_xlfn.TEXTJOIN("_",TRUE,N39,1000)</f>
        <v>3360_1000</v>
      </c>
      <c r="T39" s="8" t="str">
        <f>_xlfn.TEXTJOIN("_",TRUE,O39,1000)</f>
        <v>2800_1000</v>
      </c>
      <c r="U39" s="8" t="str">
        <f>_xlfn.TEXTJOIN("_",TRUE,P39,1000)</f>
        <v>2240_1000</v>
      </c>
      <c r="V39" s="8" t="str">
        <f>_xlfn.TEXTJOIN("_",TRUE,Q39,1000)</f>
        <v>1680_1000</v>
      </c>
      <c r="W39" s="8" t="str">
        <f>_xlfn.TEXTJOIN("_",TRUE,R39,1000)</f>
        <v>1120_1000</v>
      </c>
    </row>
    <row r="40" s="4" customFormat="1" spans="1:23">
      <c r="A40" s="4">
        <v>40</v>
      </c>
      <c r="B40" s="4" t="s">
        <v>87</v>
      </c>
      <c r="D40" s="26">
        <v>88</v>
      </c>
    </row>
    <row r="41" s="4" customFormat="1" spans="1:23">
      <c r="A41" s="4">
        <v>41</v>
      </c>
      <c r="B41" s="4" t="s">
        <v>88</v>
      </c>
      <c r="D41" s="26">
        <v>600</v>
      </c>
    </row>
    <row r="42" s="4" customFormat="1" spans="1:23">
      <c r="A42" s="4">
        <v>42</v>
      </c>
      <c r="B42" s="4" t="s">
        <v>89</v>
      </c>
      <c r="D42" s="26">
        <v>18000</v>
      </c>
    </row>
    <row r="43" s="4" customFormat="1" spans="1:23">
      <c r="A43" s="4">
        <v>43</v>
      </c>
      <c r="B43" s="4" t="s">
        <v>90</v>
      </c>
      <c r="D43" s="26">
        <v>1</v>
      </c>
    </row>
    <row r="44" s="4" customFormat="1" spans="1:23">
      <c r="A44" s="4">
        <v>44</v>
      </c>
      <c r="B44" s="4" t="s">
        <v>91</v>
      </c>
      <c r="D44" s="26">
        <v>10</v>
      </c>
    </row>
    <row r="45" s="4" customFormat="1" spans="1:23">
      <c r="A45" s="4">
        <v>45</v>
      </c>
      <c r="B45" s="4" t="s">
        <v>92</v>
      </c>
      <c r="C45" s="26" t="s">
        <v>93</v>
      </c>
    </row>
    <row r="46" s="5" customFormat="1" spans="1:23">
      <c r="A46" s="5">
        <v>46</v>
      </c>
      <c r="B46" s="5" t="s">
        <v>94</v>
      </c>
      <c r="C46" s="27" t="s">
        <v>95</v>
      </c>
    </row>
    <row r="47" s="4" customFormat="1" spans="1:23">
      <c r="A47" s="4">
        <v>47</v>
      </c>
      <c r="B47" s="4" t="s">
        <v>96</v>
      </c>
      <c r="D47" s="4">
        <v>3</v>
      </c>
      <c r="H47" s="4" t="s">
        <v>97</v>
      </c>
      <c r="I47" s="4">
        <v>6000</v>
      </c>
    </row>
    <row r="48" s="4" customFormat="1" spans="1:23">
      <c r="A48" s="4">
        <v>48</v>
      </c>
      <c r="B48" s="4" t="s">
        <v>98</v>
      </c>
      <c r="C48" s="4" t="s">
        <v>99</v>
      </c>
      <c r="G48" s="4" t="s">
        <v>100</v>
      </c>
      <c r="H48" s="4" t="s">
        <v>101</v>
      </c>
      <c r="I48" s="4">
        <v>30</v>
      </c>
      <c r="J48" s="4">
        <f>I47/(24*60/I49)*100/(I48/1+I48/1)</f>
        <v>104.166666666667</v>
      </c>
    </row>
    <row r="49" s="4" customFormat="1" spans="1:9">
      <c r="A49" s="4">
        <v>49</v>
      </c>
      <c r="B49" s="4" t="s">
        <v>102</v>
      </c>
      <c r="C49" s="4" t="s">
        <v>103</v>
      </c>
      <c r="H49" s="4" t="s">
        <v>104</v>
      </c>
      <c r="I49" s="4">
        <v>15</v>
      </c>
    </row>
    <row r="50" spans="1:9">
      <c r="A50" s="8">
        <v>50</v>
      </c>
      <c r="B50" s="8" t="s">
        <v>105</v>
      </c>
      <c r="C50" s="28" t="s">
        <v>106</v>
      </c>
      <c r="I50" s="8">
        <v>600</v>
      </c>
    </row>
    <row r="51" s="2" customFormat="1" spans="1:9">
      <c r="A51" s="2">
        <v>51</v>
      </c>
      <c r="B51" s="2" t="s">
        <v>107</v>
      </c>
      <c r="C51" s="29" t="s">
        <v>108</v>
      </c>
      <c r="I51" s="2">
        <v>1200</v>
      </c>
    </row>
    <row r="52" s="5" customFormat="1" spans="1:9">
      <c r="A52" s="5">
        <v>52</v>
      </c>
      <c r="B52" s="5" t="s">
        <v>109</v>
      </c>
      <c r="D52" s="30">
        <v>30000</v>
      </c>
    </row>
    <row r="53" s="6" customFormat="1" spans="1:9">
      <c r="A53" s="6">
        <v>53</v>
      </c>
      <c r="B53" s="6" t="s">
        <v>110</v>
      </c>
      <c r="D53" s="31">
        <v>30000</v>
      </c>
    </row>
    <row r="54" s="5" customFormat="1" spans="1:9">
      <c r="A54" s="5">
        <v>54</v>
      </c>
      <c r="B54" s="5" t="s">
        <v>111</v>
      </c>
      <c r="D54" s="5">
        <v>0</v>
      </c>
    </row>
    <row r="55" customFormat="1" spans="1:9">
      <c r="A55" s="8">
        <v>55</v>
      </c>
      <c r="B55" s="8" t="s">
        <v>112</v>
      </c>
      <c r="C55" s="8"/>
      <c r="D55" s="8">
        <v>60</v>
      </c>
    </row>
    <row r="56" s="5" customFormat="1" spans="1:9">
      <c r="A56" s="5">
        <v>56</v>
      </c>
      <c r="B56" s="5" t="s">
        <v>113</v>
      </c>
      <c r="C56" s="5" t="s">
        <v>114</v>
      </c>
    </row>
    <row r="57" s="2" customFormat="1" spans="1:9">
      <c r="A57" s="2">
        <v>60</v>
      </c>
      <c r="B57" s="2" t="s">
        <v>115</v>
      </c>
      <c r="C57" s="32" t="s">
        <v>116</v>
      </c>
    </row>
    <row r="58" spans="1:9">
      <c r="A58" s="8">
        <v>61</v>
      </c>
      <c r="B58" s="8" t="s">
        <v>117</v>
      </c>
      <c r="C58" s="33" t="s">
        <v>118</v>
      </c>
    </row>
    <row r="59" s="6" customFormat="1" spans="1:9">
      <c r="A59" s="6">
        <v>62</v>
      </c>
      <c r="B59" s="6" t="s">
        <v>119</v>
      </c>
      <c r="C59" s="31" t="s">
        <v>120</v>
      </c>
    </row>
    <row r="60" s="6" customFormat="1" spans="1:9">
      <c r="A60" s="6">
        <v>63</v>
      </c>
      <c r="B60" s="6" t="s">
        <v>121</v>
      </c>
      <c r="C60" s="6" t="s">
        <v>122</v>
      </c>
    </row>
    <row r="61" s="6" customFormat="1" spans="1:9">
      <c r="A61" s="6">
        <v>64</v>
      </c>
      <c r="B61" s="6" t="s">
        <v>123</v>
      </c>
      <c r="C61" s="34" t="s">
        <v>124</v>
      </c>
    </row>
    <row r="62" s="6" customFormat="1" spans="1:9">
      <c r="A62" s="6">
        <v>65</v>
      </c>
      <c r="B62" s="6" t="s">
        <v>125</v>
      </c>
      <c r="C62" s="34" t="s">
        <v>126</v>
      </c>
    </row>
    <row r="63" s="7" customFormat="1" spans="1:9">
      <c r="A63" s="7">
        <v>70</v>
      </c>
      <c r="B63" s="7" t="s">
        <v>127</v>
      </c>
      <c r="C63" s="35" t="s">
        <v>128</v>
      </c>
      <c r="D63" s="35"/>
    </row>
    <row r="64" s="7" customFormat="1" spans="1:9">
      <c r="A64" s="7">
        <v>71</v>
      </c>
      <c r="B64" s="7" t="s">
        <v>129</v>
      </c>
      <c r="C64" s="35"/>
      <c r="D64" s="35">
        <v>5000</v>
      </c>
    </row>
    <row r="65" s="7" customFormat="1" spans="1:20">
      <c r="A65" s="7">
        <v>72</v>
      </c>
      <c r="B65" s="7" t="s">
        <v>130</v>
      </c>
      <c r="C65" s="35" t="s">
        <v>131</v>
      </c>
    </row>
    <row r="66" spans="1:20">
      <c r="A66" s="36">
        <v>80</v>
      </c>
      <c r="B66" s="36" t="s">
        <v>132</v>
      </c>
      <c r="C66" s="36"/>
      <c r="D66" s="36">
        <v>259200</v>
      </c>
      <c r="E66" s="11"/>
      <c r="F66" s="11"/>
      <c r="G66" s="11"/>
      <c r="H66" s="11"/>
      <c r="I66" s="11"/>
      <c r="J66" s="11"/>
      <c r="K66" s="11"/>
      <c r="L66" s="11"/>
      <c r="M66" s="11"/>
      <c r="N66" s="11"/>
      <c r="O66" s="11"/>
      <c r="P66" s="11"/>
      <c r="Q66" s="11"/>
      <c r="R66" s="11"/>
      <c r="S66" s="11"/>
      <c r="T66" s="11"/>
    </row>
    <row r="67" s="1" customFormat="1" spans="1:20">
      <c r="A67" s="1">
        <v>90</v>
      </c>
      <c r="B67" s="1" t="s">
        <v>133</v>
      </c>
      <c r="D67" s="1">
        <v>150000</v>
      </c>
    </row>
    <row r="68" spans="1:20">
      <c r="A68" s="8">
        <v>100</v>
      </c>
      <c r="B68" s="8" t="s">
        <v>134</v>
      </c>
      <c r="C68" s="8" t="s">
        <v>135</v>
      </c>
    </row>
    <row r="69" spans="1:20">
      <c r="A69" s="8">
        <v>101</v>
      </c>
      <c r="B69" s="8" t="s">
        <v>136</v>
      </c>
      <c r="C69" s="8" t="s">
        <v>137</v>
      </c>
    </row>
    <row r="70" spans="1:20">
      <c r="A70" s="8">
        <v>102</v>
      </c>
      <c r="B70" s="8" t="s">
        <v>138</v>
      </c>
      <c r="D70" s="37">
        <v>1022503</v>
      </c>
    </row>
    <row r="71" s="4" customFormat="1" spans="1:20">
      <c r="A71" s="4">
        <v>110</v>
      </c>
      <c r="B71" s="4" t="s">
        <v>139</v>
      </c>
      <c r="D71" s="26">
        <v>4200</v>
      </c>
    </row>
    <row r="72" spans="1:20">
      <c r="A72" s="8">
        <v>111</v>
      </c>
      <c r="B72" s="8" t="s">
        <v>140</v>
      </c>
      <c r="D72" s="8">
        <v>500</v>
      </c>
    </row>
    <row r="73" spans="1:20">
      <c r="A73" s="8">
        <v>112</v>
      </c>
      <c r="B73" s="8" t="s">
        <v>141</v>
      </c>
      <c r="D73" s="8">
        <v>300000</v>
      </c>
    </row>
    <row r="74" spans="1:20">
      <c r="A74" s="8">
        <v>113</v>
      </c>
      <c r="B74" s="8" t="s">
        <v>142</v>
      </c>
      <c r="C74" s="8" t="s">
        <v>143</v>
      </c>
    </row>
    <row r="75" spans="1:20">
      <c r="A75" s="8">
        <v>114</v>
      </c>
      <c r="B75" s="8" t="s">
        <v>144</v>
      </c>
      <c r="D75" s="8">
        <v>168</v>
      </c>
    </row>
    <row r="76" customFormat="1" spans="1:20">
      <c r="A76" s="8">
        <v>120</v>
      </c>
      <c r="B76" s="8" t="s">
        <v>145</v>
      </c>
      <c r="C76" s="8"/>
      <c r="D76" s="8">
        <v>5</v>
      </c>
      <c r="E76" s="8"/>
      <c r="F76" s="8"/>
      <c r="G76" s="8"/>
      <c r="H76" s="8"/>
      <c r="I76" s="8"/>
      <c r="J76" s="8"/>
      <c r="K76" s="8"/>
      <c r="L76" s="8"/>
      <c r="M76" s="8"/>
      <c r="N76" s="8"/>
      <c r="O76" s="8"/>
      <c r="P76" s="8"/>
      <c r="Q76" s="8"/>
      <c r="R76" s="8"/>
    </row>
    <row r="77" customFormat="1" spans="1:20">
      <c r="A77" s="8">
        <v>121</v>
      </c>
      <c r="B77" s="8" t="s">
        <v>146</v>
      </c>
      <c r="C77" s="8"/>
      <c r="D77" s="8">
        <v>-1</v>
      </c>
      <c r="E77" s="8"/>
      <c r="F77" s="8"/>
      <c r="G77" s="8"/>
      <c r="H77" s="8"/>
      <c r="I77" s="8"/>
      <c r="J77" s="8"/>
      <c r="K77" s="8"/>
      <c r="L77" s="8"/>
      <c r="M77" s="8"/>
      <c r="N77" s="8"/>
      <c r="O77" s="8"/>
      <c r="P77" s="8"/>
      <c r="Q77" s="8"/>
      <c r="R77" s="8"/>
    </row>
    <row r="78" customFormat="1" spans="1:20">
      <c r="A78" s="8">
        <v>122</v>
      </c>
      <c r="B78" s="8" t="s">
        <v>147</v>
      </c>
      <c r="C78" s="8"/>
      <c r="D78" s="8">
        <v>99</v>
      </c>
      <c r="E78" s="8"/>
      <c r="F78" s="8"/>
      <c r="G78" s="8"/>
      <c r="H78" s="8"/>
      <c r="I78" s="8"/>
      <c r="J78" s="8"/>
      <c r="K78" s="8"/>
      <c r="L78" s="8"/>
      <c r="M78" s="8"/>
      <c r="N78" s="8"/>
      <c r="O78" s="8"/>
      <c r="P78" s="8"/>
      <c r="Q78" s="8"/>
      <c r="R78" s="8"/>
    </row>
    <row r="79" customFormat="1" spans="1:20">
      <c r="A79" s="8">
        <v>123</v>
      </c>
      <c r="B79" s="8" t="s">
        <v>148</v>
      </c>
      <c r="C79" s="8"/>
      <c r="D79" s="8">
        <v>30000</v>
      </c>
      <c r="E79" s="8"/>
      <c r="F79" s="8"/>
      <c r="G79" s="8"/>
      <c r="H79" s="8"/>
      <c r="I79" s="8"/>
      <c r="J79" s="8"/>
      <c r="K79" s="8"/>
      <c r="L79" s="8"/>
      <c r="M79" s="8"/>
      <c r="N79" s="8"/>
      <c r="O79" s="8"/>
      <c r="P79" s="8"/>
      <c r="Q79" s="8"/>
      <c r="R79" s="8"/>
    </row>
    <row r="80" spans="1:20">
      <c r="A80" s="8">
        <v>124</v>
      </c>
      <c r="B80" s="8" t="s">
        <v>149</v>
      </c>
      <c r="D80" s="8">
        <v>10</v>
      </c>
    </row>
    <row r="81" spans="1:6">
      <c r="A81" s="8">
        <v>125</v>
      </c>
      <c r="B81" s="8" t="s">
        <v>150</v>
      </c>
      <c r="C81" s="33" t="s">
        <v>151</v>
      </c>
    </row>
    <row r="82" spans="1:6">
      <c r="A82" s="8">
        <v>126</v>
      </c>
      <c r="B82" s="8" t="s">
        <v>152</v>
      </c>
      <c r="D82" s="8">
        <v>20000</v>
      </c>
      <c r="F82" s="38" t="b">
        <v>1</v>
      </c>
    </row>
    <row r="83" spans="1:6">
      <c r="A83" s="8">
        <v>127</v>
      </c>
      <c r="B83" s="8" t="s">
        <v>153</v>
      </c>
      <c r="C83" s="8" t="s">
        <v>154</v>
      </c>
    </row>
    <row r="84" spans="1:6">
      <c r="A84" s="8">
        <v>128</v>
      </c>
      <c r="B84" s="8" t="s">
        <v>155</v>
      </c>
      <c r="C84" s="8" t="s">
        <v>156</v>
      </c>
    </row>
    <row r="85" spans="1:6">
      <c r="A85" s="8">
        <v>129</v>
      </c>
      <c r="B85" s="8" t="s">
        <v>157</v>
      </c>
      <c r="D85" s="8">
        <v>1000000</v>
      </c>
    </row>
    <row r="86" spans="1:6">
      <c r="A86" s="8">
        <v>130</v>
      </c>
      <c r="B86" s="8" t="s">
        <v>158</v>
      </c>
      <c r="D86" s="8">
        <v>72</v>
      </c>
    </row>
  </sheetData>
  <hyperlinks>
    <hyperlink ref="C57" r:id="rId3" display="https://aws-s3-jjg-asset-bucket.s3.ap-southeast-1.amazonaws.com/tanchuang_res/english/tc_sc_1.png" tooltip="https://aws-s3-jjg-asset-bucket.s3.ap-southeast-1.amazonaws.com/tanchuang_res/english/tc_sc_1.png"/>
    <hyperlink ref="C58" r:id="rId4" display="https://chat.kinghush.com/privacy.html"/>
    <hyperlink ref="C81" r:id="rId5" display="https://j5wxcf.7mmon3ss.com/chatwindow.aspx?siteId=65002831&amp;planId=c245fbe6-4ec5-46d6-8542-657f871cc0b3"/>
  </hyperlink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globalConfig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随风</cp:lastModifiedBy>
  <dcterms:created xsi:type="dcterms:W3CDTF">2015-06-05T18:19:00Z</dcterms:created>
  <dcterms:modified xsi:type="dcterms:W3CDTF">2026-04-23T02:25:21Z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466347C2C4A64E719CB4A5AC14A2702C_13</vt:lpwstr>
  </property>
  <property fmtid="{D5CDD505-2E9C-101B-9397-08002B2CF9AE}" pid="3" name="KSOProductBuildVer">
    <vt:lpwstr>2052-12.1.0.25865</vt:lpwstr>
  </property>
  <property fmtid="{D5CDD505-2E9C-101B-9397-08002B2CF9AE}" pid="4" name="CalculationRule">
    <vt:i4>0</vt:i4>
  </property>
</Properties>
</file>