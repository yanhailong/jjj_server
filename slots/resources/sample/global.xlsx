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<sst xmlns="http://schemas.openxmlformats.org/spreadsheetml/2006/main" count="136" uniqueCount="129">
  <si>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</si>
  <si>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</si>
  <si>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</si>
  <si>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</si>
  <si>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</si>
  <si>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</si>
  <si>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</si>
  <si>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</si>
  <si>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</si>
  <si>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</si>
  <si>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</si>
  <si>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</si>
  <si>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</si>
  <si>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</si>
  <si>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</si>
  <si>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</si>
  <si>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</si>
  <si>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</si>
  <si>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</si>
  <si>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</si>
  <si>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</si>
  <si>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</si>
  <si>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</si>
  <si>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</si>
  <si>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</si>
  <si>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</si>
  <si>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</si>
  <si>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</si>
  <si>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</si>
  <si>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</si>
  <si>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</si>
  <si>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</si>
  <si>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</si>
  <si>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</si>
  <si>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</si>
  <si>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</si>
  <si>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</si>
  <si>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</si>
  <si>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</si>
  <si>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</si>
  <si>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</si>
  <si>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</si>
  <si>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</si>
  <si>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</si>
  <si>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</si>
  <si>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</si>
  <si>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</si>
  <si>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</si>
  <si>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</si>
  <si>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</si>
  <si>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0_12_100_250|12_24_100_250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</si>
  <si>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</si>
  <si>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</si>
  <si>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</si>
  <si>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</si>
  <si>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</si>
  <si>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</si>
  <si>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</si>
  <si>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</si>
  <si>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</si>
  <si>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</si>
  <si>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</si>
  <si>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</si>
  <si>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</si>
  <si>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</si>
  <si>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</si>
  <si>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</si>
  <si>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</si>
  <si>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</si>
  <si>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</si>
  <si>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</si>
  <si>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</si>
  <si>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</si>
  <si>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</si>
  <si>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：充值金额（1 美元 = 100 积分 )</t>
  </si>
  <si>
    <t>29000_1</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</si>
  <si>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</si>
  <si>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</si>
  <si>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</si>
  <si>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</si>
  <si>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</si>
  <si>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</si>
  <si>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</si>
  <si>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</si>
  <si>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</si>
  <si>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积分大奖：上榜的最低积分要求(日榜、周榜)</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</si>
  <si>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</si>
  <si>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</si>
  <si>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</si>
  <si>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</si>
  <si>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300_1990000_2170|600_1990000_4300|1200_1990000_8600|2400_1990000_17300|3600_1990000_26000|4800_1990000_34000</t>
  </si>
  <si>
    <t>VIP充值：充值金额与经验转换比例(充值金额_获得vip经验，最低支持0.01_1，美元)</t>
  </si>
  <si>
    <t>1_2</t>
  </si>
  <si>
    <t>积分大奖：实物奖励兑换码过期时间（天）</t>
  </si>
  <si>
    <t>积分大奖：占用榜单的机器人条件，触发的倒计时，单位秒【倒计时下限_倒计时上限_最小增长积分_前X名用机器人占榜】</t>
  </si>
  <si>
    <t>1800_3600_2000_300</t>
  </si>
  <si>
    <t>积分大奖: 【日榜排行榜显示人数_周榜排行榜显示人数_月榜排行榜显示人数】</t>
  </si>
  <si>
    <t>300_300_300</t>
  </si>
  <si>
    <t>新手奖励</t>
  </si>
  <si>
    <t>1990000_100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</si>
  <si>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</si>
  <si>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</si>
  <si>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</si>
  <si>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</si>
  <si>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</si>
  <si>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</si>
  <si>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</si>
  <si>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</si>
  <si>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</si>
  <si>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</si>
  <si>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</si>
  <si>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</si>
  <si>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</si>
  <si>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1990000_22040</t>
  </si>
  <si>
    <t>推广分享：二维码图片配置(该资源放在资源服务器实时下载显示的)</t>
  </si>
  <si>
    <t>ShareQRCode/QR_Code001.png</t>
  </si>
  <si>
    <t>推广分享：周榜上榜条件设置(收益数量)</t>
  </si>
  <si>
    <t>1990000_43500</t>
  </si>
  <si>
    <t>推广分享：有效用户达标条件（有效下注累计_数值|累计充值_数值）</t>
  </si>
  <si>
    <t>12007_10000|11002_100_0</t>
  </si>
  <si>
    <t>财富轮盘：昨日输的金币兑换为积分的比例（昨日所输金币_获得积分）</t>
  </si>
  <si>
    <t>1000000_1</t>
  </si>
  <si>
    <t>财富轮盘：每次抽奖所消耗的积分</t>
  </si>
  <si>
    <t>财富轮盘：指定游戏内的打码才可以转为积分，填游戏范围</t>
  </si>
  <si>
    <t>1_-1|2_201000|3_300400</t>
  </si>
  <si>
    <t>买一送七：限购时间，单位秒，活动开始后到此倒计时结束之间才能付费参与活动</t>
  </si>
  <si>
    <t>摇钱树奖池保底：当摇钱树奖池金额低于此值时，始终不中奖</t>
  </si>
  <si>
    <t>货币文本符号，服务器发个前端</t>
  </si>
  <si>
    <t>$</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</si>
</sst>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29">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b/>
      <sz val="11"/>
      <color rgb="FFFF0000"/>
      <name val="微软雅黑"/>
      <charset val="134"/>
    </font>
    <font>
      <sz val="11"/>
      <color rgb="FFFF0000"/>
      <name val="微软雅黑"/>
      <charset val="134"/>
    </font>
    <font>
      <sz val="11"/>
      <color theme="0" tint="-0.25"/>
      <name val="Times New Roman"/>
      <charset val="134"/>
    </font>
    <font>
      <sz val="10.5"/>
      <color theme="0" tint="-0.25"/>
      <name val="Arial"/>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4" borderId="2"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3" applyNumberFormat="0" applyFill="0" applyAlignment="0" applyProtection="0">
      <alignment vertical="center"/>
    </xf>
    <xf numFmtId="0" fontId="14" fillId="0" borderId="3" applyNumberFormat="0" applyFill="0" applyAlignment="0" applyProtection="0">
      <alignment vertical="center"/>
    </xf>
    <xf numFmtId="0" fontId="15" fillId="0" borderId="4" applyNumberFormat="0" applyFill="0" applyAlignment="0" applyProtection="0">
      <alignment vertical="center"/>
    </xf>
    <xf numFmtId="0" fontId="15" fillId="0" borderId="0" applyNumberFormat="0" applyFill="0" applyBorder="0" applyAlignment="0" applyProtection="0">
      <alignment vertical="center"/>
    </xf>
    <xf numFmtId="0" fontId="16" fillId="5" borderId="5" applyNumberFormat="0" applyAlignment="0" applyProtection="0">
      <alignment vertical="center"/>
    </xf>
    <xf numFmtId="0" fontId="17" fillId="6" borderId="6" applyNumberFormat="0" applyAlignment="0" applyProtection="0">
      <alignment vertical="center"/>
    </xf>
    <xf numFmtId="0" fontId="18" fillId="6" borderId="5" applyNumberFormat="0" applyAlignment="0" applyProtection="0">
      <alignment vertical="center"/>
    </xf>
    <xf numFmtId="0" fontId="19" fillId="7" borderId="7" applyNumberFormat="0" applyAlignment="0" applyProtection="0">
      <alignment vertical="center"/>
    </xf>
    <xf numFmtId="0" fontId="20" fillId="0" borderId="8" applyNumberFormat="0" applyFill="0" applyAlignment="0" applyProtection="0">
      <alignment vertical="center"/>
    </xf>
    <xf numFmtId="0" fontId="21" fillId="0" borderId="9" applyNumberFormat="0" applyFill="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5" fillId="11" borderId="0" applyNumberFormat="0" applyBorder="0" applyAlignment="0" applyProtection="0">
      <alignment vertical="center"/>
    </xf>
    <xf numFmtId="0" fontId="26" fillId="12" borderId="0" applyNumberFormat="0" applyBorder="0" applyAlignment="0" applyProtection="0">
      <alignment vertical="center"/>
    </xf>
    <xf numFmtId="0" fontId="26"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6" fillId="16" borderId="0" applyNumberFormat="0" applyBorder="0" applyAlignment="0" applyProtection="0">
      <alignment vertical="center"/>
    </xf>
    <xf numFmtId="0" fontId="26"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cellStyleXfs>
  <cellXfs count="23">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4"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5" fillId="0" borderId="0" xfId="0" applyFont="1"/>
    <xf numFmtId="0" fontId="1" fillId="0" borderId="0" xfId="0" applyFont="1" applyAlignment="1">
      <alignment horizontal="left"/>
    </xf>
    <xf numFmtId="0" fontId="2" fillId="2" borderId="0" xfId="0" applyFont="1" applyFill="1"/>
    <xf numFmtId="0" fontId="4" fillId="0" borderId="0" xfId="0" applyFont="1"/>
    <xf numFmtId="0" fontId="1" fillId="2" borderId="0" xfId="0" applyFont="1" applyFill="1"/>
    <xf numFmtId="176" fontId="1" fillId="0" borderId="0" xfId="0" applyNumberFormat="1" applyFont="1"/>
    <xf numFmtId="9" fontId="1" fillId="0" borderId="0" xfId="0" applyNumberFormat="1" applyFont="1"/>
    <xf numFmtId="0" fontId="1" fillId="3" borderId="0" xfId="0" applyFont="1" applyFill="1"/>
    <xf numFmtId="0" fontId="6" fillId="0" borderId="0" xfId="0" applyFont="1"/>
    <xf numFmtId="0" fontId="7" fillId="0" borderId="0" xfId="0" applyFont="1"/>
    <xf numFmtId="0" fontId="8" fillId="0" borderId="0" xfId="6" applyAlignment="1"/>
    <xf numFmtId="0" fontId="1" fillId="0" borderId="1" xfId="0" applyFont="1" applyBorder="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68"/>
  <sheetViews>
    <sheetView tabSelected="1" zoomScale="85" zoomScaleNormal="85" workbookViewId="0">
      <pane ySplit="3" topLeftCell="A22" activePane="bottomLeft" state="frozen"/>
      <selection/>
      <selection pane="bottomLeft" activeCell="D44" sqref="D44"/>
    </sheetView>
  </sheetViews>
  <sheetFormatPr defaultColWidth="9" defaultRowHeight="16.5"/>
  <cols>
    <col min="1" max="1" width="9" style="1"/>
    <col min="2" max="2" width="40.2916666666667" style="1" customWidth="1"/>
    <col min="3" max="3" width="16.4666666666667" style="1" customWidth="1"/>
    <col min="4" max="4" width="9.375" style="1" customWidth="1"/>
    <col min="5" max="5" width="11.5" style="1" customWidth="1"/>
    <col min="6" max="6" width="9.625" style="1" customWidth="1"/>
    <col min="7" max="7" width="23.375" style="1" customWidth="1"/>
    <col min="8" max="8" width="12.75" style="1"/>
    <col min="9" max="9" width="9" style="1"/>
    <col min="10" max="10" width="11.5" style="1"/>
    <col min="11" max="11" width="9" style="1"/>
    <col min="12" max="12" width="12.875" style="1"/>
    <col min="13" max="13" width="9" style="1"/>
    <col min="14" max="17" width="10.375" style="1"/>
    <col min="18"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8">
        <v>30000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23" t="s">
        <v>24</v>
      </c>
      <c r="D10" s="9"/>
      <c r="E10" s="6"/>
      <c r="F10" s="6"/>
      <c r="G10" s="1" t="s">
        <v>25</v>
      </c>
    </row>
    <row r="11" spans="1:7">
      <c r="A11" s="1">
        <v>7</v>
      </c>
      <c r="B11" s="6" t="s">
        <v>26</v>
      </c>
      <c r="C11" s="24" t="s">
        <v>27</v>
      </c>
      <c r="D11" s="6"/>
      <c r="E11" s="6"/>
      <c r="F11" s="6"/>
      <c r="G11" s="1" t="s">
        <v>25</v>
      </c>
    </row>
    <row r="12" spans="1:7">
      <c r="A12" s="1">
        <v>8</v>
      </c>
      <c r="B12" s="6" t="s">
        <v>28</v>
      </c>
      <c r="C12" s="24" t="s">
        <v>29</v>
      </c>
      <c r="D12" s="6"/>
      <c r="E12" s="6"/>
      <c r="F12" s="6"/>
      <c r="G12" s="1" t="s">
        <v>25</v>
      </c>
    </row>
    <row r="13" spans="1:7">
      <c r="A13" s="1">
        <v>9</v>
      </c>
      <c r="B13" s="6" t="s">
        <v>30</v>
      </c>
      <c r="C13" s="24" t="s">
        <v>31</v>
      </c>
      <c r="D13" s="6"/>
      <c r="E13" s="6"/>
      <c r="F13" s="6"/>
      <c r="G13" s="1" t="s">
        <v>25</v>
      </c>
    </row>
    <row r="14" spans="1:7">
      <c r="A14" s="1">
        <v>10</v>
      </c>
      <c r="B14" s="6" t="s">
        <v>32</v>
      </c>
      <c r="C14" s="24" t="s">
        <v>33</v>
      </c>
      <c r="D14" s="6"/>
      <c r="E14" s="6"/>
      <c r="F14" s="6"/>
      <c r="G14" s="1" t="s">
        <v>25</v>
      </c>
    </row>
    <row r="15" spans="1:7">
      <c r="A15" s="1">
        <v>11</v>
      </c>
      <c r="B15" s="1" t="s">
        <v>34</v>
      </c>
      <c r="D15" s="1">
        <f>2*3*5*3</f>
        <v>90</v>
      </c>
    </row>
    <row r="16" spans="1:7">
      <c r="A16" s="1">
        <v>12</v>
      </c>
      <c r="B16" s="1" t="s">
        <v>35</v>
      </c>
      <c r="D16" s="1">
        <v>3333</v>
      </c>
      <c r="G16" s="1" t="s">
        <v>36</v>
      </c>
    </row>
    <row r="17" spans="1:7">
      <c r="A17" s="1">
        <v>13</v>
      </c>
      <c r="B17" s="1" t="s">
        <v>37</v>
      </c>
      <c r="D17" s="1">
        <v>1</v>
      </c>
    </row>
    <row r="18" spans="1:7">
      <c r="A18" s="1">
        <v>14</v>
      </c>
      <c r="B18" s="1" t="s">
        <v>38</v>
      </c>
      <c r="C18" s="10"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2"/>
      <c r="D30" s="1">
        <v>100</v>
      </c>
    </row>
    <row r="31" spans="1:7">
      <c r="A31" s="1">
        <v>27</v>
      </c>
      <c r="B31" s="1" t="s">
        <v>60</v>
      </c>
      <c r="D31" s="1">
        <v>10000</v>
      </c>
      <c r="G31" s="1" t="s">
        <v>61</v>
      </c>
    </row>
    <row r="32" spans="1:7">
      <c r="A32" s="1">
        <v>28</v>
      </c>
      <c r="B32" s="1" t="s">
        <v>62</v>
      </c>
      <c r="C32" s="1" t="s">
        <v>63</v>
      </c>
    </row>
    <row r="33" spans="1:23">
      <c r="A33" s="1">
        <v>29</v>
      </c>
      <c r="B33" s="1" t="s">
        <v>64</v>
      </c>
      <c r="D33" s="1">
        <v>10</v>
      </c>
    </row>
    <row r="34" s="2" customFormat="1" spans="1:23">
      <c r="A34" s="13">
        <v>30</v>
      </c>
      <c r="B34" s="13" t="s">
        <v>65</v>
      </c>
      <c r="C34" s="2" t="s">
        <v>66</v>
      </c>
    </row>
    <row r="35" s="2" customFormat="1" spans="1:23">
      <c r="A35" s="13">
        <v>31</v>
      </c>
      <c r="B35" s="13" t="s">
        <v>67</v>
      </c>
      <c r="E35" s="14">
        <v>114109.053811181</v>
      </c>
      <c r="G35" s="2" t="s">
        <v>68</v>
      </c>
      <c r="H35" s="14">
        <v>5705.45269055904</v>
      </c>
      <c r="I35" s="2" t="s">
        <v>69</v>
      </c>
      <c r="J35" s="2">
        <v>1</v>
      </c>
      <c r="K35" s="2" t="s">
        <v>70</v>
      </c>
      <c r="L35" s="2">
        <f>J35*24*60*60*1000</f>
        <v>86400000</v>
      </c>
      <c r="M35" s="2" t="s">
        <v>71</v>
      </c>
    </row>
    <row r="36" spans="1:23">
      <c r="A36" s="13">
        <v>32</v>
      </c>
      <c r="B36" s="13" t="s">
        <v>72</v>
      </c>
      <c r="C36" s="2" t="s">
        <v>73</v>
      </c>
    </row>
    <row r="37" spans="1:23">
      <c r="A37" s="15">
        <v>33</v>
      </c>
      <c r="B37" s="15" t="s">
        <v>74</v>
      </c>
      <c r="C37" s="14" t="s">
        <v>75</v>
      </c>
    </row>
    <row r="38" s="2" customFormat="1" spans="1:23">
      <c r="A38" s="13">
        <v>34</v>
      </c>
      <c r="B38" s="13" t="s">
        <v>76</v>
      </c>
      <c r="C38" s="2" t="s">
        <v>77</v>
      </c>
      <c r="G38" s="2" t="s">
        <v>78</v>
      </c>
      <c r="H38" s="14">
        <v>60</v>
      </c>
    </row>
    <row r="39" spans="1:23">
      <c r="A39" s="15">
        <v>35</v>
      </c>
      <c r="B39" s="15" t="s">
        <v>79</v>
      </c>
      <c r="C39" s="1" t="str">
        <f>_xlfn.TEXTJOIN("|",TRUE,S39:W39)</f>
        <v>10800000_1000|9000000_1000|7200000_1000|5400000_1000|3600000_1000</v>
      </c>
      <c r="G39" s="1" t="s">
        <v>80</v>
      </c>
      <c r="H39" s="16">
        <f>ROUND(L35/(E35*H38/100/H35),0)</f>
        <v>7200000</v>
      </c>
      <c r="I39" s="1" t="s">
        <v>71</v>
      </c>
      <c r="J39" s="1" t="s">
        <v>81</v>
      </c>
      <c r="K39" s="17" t="s">
        <v>82</v>
      </c>
      <c r="L39" s="17">
        <v>0.25</v>
      </c>
      <c r="M39" s="1" t="s">
        <v>83</v>
      </c>
      <c r="N39" s="1">
        <f>ROUND(P39*(1+2*L39),0)</f>
        <v>10800000</v>
      </c>
      <c r="O39" s="1">
        <f>ROUND(P39*(1+1*L39),0)</f>
        <v>9000000</v>
      </c>
      <c r="P39" s="1">
        <f>H39</f>
        <v>7200000</v>
      </c>
      <c r="Q39" s="1">
        <f>ROUND(P39*(1-1*L39),0)</f>
        <v>5400000</v>
      </c>
      <c r="R39" s="1">
        <f>ROUND(P39*(1-2*L39),0)</f>
        <v>3600000</v>
      </c>
      <c r="S39" s="1" t="str">
        <f>_xlfn.TEXTJOIN("_",TRUE,N39,1000)</f>
        <v>10800000_1000</v>
      </c>
      <c r="T39" s="1" t="str">
        <f>_xlfn.TEXTJOIN("_",TRUE,O39,1000)</f>
        <v>9000000_1000</v>
      </c>
      <c r="U39" s="1" t="str">
        <f>_xlfn.TEXTJOIN("_",TRUE,P39,1000)</f>
        <v>7200000_1000</v>
      </c>
      <c r="V39" s="1" t="str">
        <f>_xlfn.TEXTJOIN("_",TRUE,Q39,1000)</f>
        <v>5400000_1000</v>
      </c>
      <c r="W39" s="1" t="str">
        <f>_xlfn.TEXTJOIN("_",TRUE,R39,1000)</f>
        <v>3600000_1000</v>
      </c>
    </row>
    <row r="40" spans="1:23">
      <c r="A40" s="18">
        <v>40</v>
      </c>
      <c r="B40" s="18" t="s">
        <v>84</v>
      </c>
      <c r="D40" s="14">
        <v>50</v>
      </c>
    </row>
    <row r="41" spans="1:23">
      <c r="A41" s="18">
        <v>41</v>
      </c>
      <c r="B41" s="18" t="s">
        <v>85</v>
      </c>
      <c r="D41" s="14">
        <v>200</v>
      </c>
    </row>
    <row r="42" spans="1:23">
      <c r="A42" s="18">
        <v>42</v>
      </c>
      <c r="B42" s="18" t="s">
        <v>86</v>
      </c>
      <c r="D42" s="14">
        <v>2000</v>
      </c>
    </row>
    <row r="43" spans="1:23">
      <c r="A43" s="18">
        <v>43</v>
      </c>
      <c r="B43" s="18" t="s">
        <v>87</v>
      </c>
      <c r="D43" s="14">
        <v>1</v>
      </c>
    </row>
    <row r="44" spans="1:23">
      <c r="A44" s="18">
        <v>44</v>
      </c>
      <c r="B44" s="1" t="s">
        <v>88</v>
      </c>
      <c r="D44" s="14">
        <v>290000</v>
      </c>
    </row>
    <row r="45" spans="1:23">
      <c r="A45" s="18">
        <v>45</v>
      </c>
      <c r="B45" s="1" t="s">
        <v>89</v>
      </c>
      <c r="C45" s="14" t="s">
        <v>90</v>
      </c>
    </row>
    <row r="46" spans="1:23">
      <c r="A46" s="1">
        <v>46</v>
      </c>
      <c r="B46" s="1" t="s">
        <v>91</v>
      </c>
      <c r="C46" s="14" t="s">
        <v>92</v>
      </c>
    </row>
    <row r="47" spans="1:23">
      <c r="A47" s="1">
        <v>47</v>
      </c>
      <c r="B47" s="1" t="s">
        <v>93</v>
      </c>
      <c r="D47" s="1">
        <v>3</v>
      </c>
    </row>
    <row r="48" spans="1:23">
      <c r="A48" s="1">
        <v>48</v>
      </c>
      <c r="B48" s="1" t="s">
        <v>94</v>
      </c>
      <c r="C48" s="1" t="s">
        <v>95</v>
      </c>
    </row>
    <row r="49" spans="1:4">
      <c r="A49" s="1">
        <v>49</v>
      </c>
      <c r="B49" s="1" t="s">
        <v>96</v>
      </c>
      <c r="C49" s="1" t="s">
        <v>97</v>
      </c>
    </row>
    <row r="50" spans="1:4">
      <c r="A50" s="1">
        <v>50</v>
      </c>
      <c r="B50" s="1" t="s">
        <v>98</v>
      </c>
      <c r="C50" s="14" t="s">
        <v>99</v>
      </c>
      <c r="D50" s="1">
        <f>100/29000*7</f>
        <v>0.0241379310344828</v>
      </c>
    </row>
    <row r="51" s="2" customFormat="1" spans="1:4">
      <c r="A51" s="2">
        <v>51</v>
      </c>
      <c r="B51" s="2" t="s">
        <v>100</v>
      </c>
      <c r="C51" s="19" t="s">
        <v>101</v>
      </c>
    </row>
    <row r="52" spans="1:4">
      <c r="A52" s="1">
        <v>52</v>
      </c>
      <c r="B52" s="1" t="s">
        <v>102</v>
      </c>
      <c r="D52" s="11">
        <v>29000</v>
      </c>
    </row>
    <row r="53" spans="1:4">
      <c r="A53" s="1">
        <v>53</v>
      </c>
      <c r="B53" s="1" t="s">
        <v>103</v>
      </c>
      <c r="D53" s="11">
        <v>29000</v>
      </c>
    </row>
    <row r="54" spans="1:4">
      <c r="A54" s="1">
        <v>54</v>
      </c>
      <c r="B54" s="1" t="s">
        <v>104</v>
      </c>
      <c r="D54" s="1">
        <v>0</v>
      </c>
    </row>
    <row r="55" customFormat="1" spans="1:4">
      <c r="A55" s="1">
        <v>55</v>
      </c>
      <c r="B55" s="1" t="s">
        <v>105</v>
      </c>
      <c r="C55" s="1"/>
      <c r="D55" s="1">
        <v>60</v>
      </c>
    </row>
    <row r="56" spans="1:4">
      <c r="A56" s="1">
        <v>56</v>
      </c>
      <c r="B56" s="1" t="s">
        <v>106</v>
      </c>
      <c r="C56" s="1" t="s">
        <v>107</v>
      </c>
    </row>
    <row r="57" s="2" customFormat="1" spans="1:4">
      <c r="A57" s="2">
        <v>60</v>
      </c>
      <c r="B57" s="2" t="s">
        <v>108</v>
      </c>
      <c r="C57" s="20" t="s">
        <v>109</v>
      </c>
    </row>
    <row r="58" spans="1:4">
      <c r="A58" s="1">
        <v>61</v>
      </c>
      <c r="B58" s="1" t="s">
        <v>110</v>
      </c>
      <c r="C58" s="21" t="s">
        <v>111</v>
      </c>
    </row>
    <row r="59" spans="1:4">
      <c r="A59" s="1">
        <v>62</v>
      </c>
      <c r="B59" s="1" t="s">
        <v>112</v>
      </c>
      <c r="C59" s="11" t="s">
        <v>113</v>
      </c>
    </row>
    <row r="60" spans="1:4">
      <c r="A60" s="1">
        <v>63</v>
      </c>
      <c r="B60" s="1" t="s">
        <v>114</v>
      </c>
      <c r="C60" s="1" t="s">
        <v>115</v>
      </c>
    </row>
    <row r="61" spans="1:4">
      <c r="A61" s="1">
        <v>64</v>
      </c>
      <c r="B61" s="1" t="s">
        <v>116</v>
      </c>
      <c r="C61" s="14" t="s">
        <v>117</v>
      </c>
    </row>
    <row r="62" spans="1:4">
      <c r="A62" s="1">
        <v>65</v>
      </c>
      <c r="B62" s="1" t="s">
        <v>118</v>
      </c>
      <c r="C62" s="1" t="s">
        <v>119</v>
      </c>
    </row>
    <row r="63" spans="1:4">
      <c r="A63" s="1">
        <v>70</v>
      </c>
      <c r="B63" s="1" t="s">
        <v>120</v>
      </c>
      <c r="C63" s="1" t="s">
        <v>121</v>
      </c>
    </row>
    <row r="64" spans="1:4">
      <c r="A64" s="1">
        <v>71</v>
      </c>
      <c r="B64" s="1" t="s">
        <v>122</v>
      </c>
      <c r="D64" s="1">
        <v>10</v>
      </c>
    </row>
    <row r="65" spans="1:20">
      <c r="A65" s="1">
        <v>72</v>
      </c>
      <c r="B65" s="1" t="s">
        <v>123</v>
      </c>
      <c r="C65" s="14" t="s">
        <v>124</v>
      </c>
    </row>
    <row r="66" spans="1:20">
      <c r="A66" s="22">
        <v>80</v>
      </c>
      <c r="B66" s="22" t="s">
        <v>125</v>
      </c>
      <c r="C66" s="22"/>
      <c r="D66" s="22">
        <v>259200</v>
      </c>
      <c r="E66" s="5"/>
      <c r="F66" s="5"/>
      <c r="G66" s="5"/>
      <c r="H66" s="5"/>
      <c r="I66" s="5"/>
      <c r="J66" s="5"/>
      <c r="K66" s="5"/>
      <c r="L66" s="5"/>
      <c r="M66" s="5"/>
      <c r="N66" s="5"/>
      <c r="O66" s="5"/>
      <c r="P66" s="5"/>
      <c r="Q66" s="5"/>
      <c r="R66" s="5"/>
      <c r="S66" s="5"/>
      <c r="T66" s="5"/>
    </row>
    <row r="67" spans="1:20">
      <c r="A67" s="1">
        <v>90</v>
      </c>
      <c r="B67" s="1" t="s">
        <v>126</v>
      </c>
      <c r="D67" s="1">
        <v>1000000</v>
      </c>
    </row>
    <row r="68" spans="1:20">
      <c r="A68" s="1">
        <v>100</v>
      </c>
      <c r="B68" s="1" t="s">
        <v>127</v>
      </c>
      <c r="C68" s="1" t="s">
        <v>128</v>
      </c>
    </row>
  </sheetData>
  <hyperlinks>
    <hyperlink ref="C57"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2025-12-25T18:18:36Z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2052-12.1.0.24034</vt:lpwstr>
  </property>
  <property fmtid="{D5CDD505-2E9C-101B-9397-08002B2CF9AE}" pid="4" name="CalculationRule">
    <vt:i4>0</vt:i4>
  </property>
</Properties>
</file>