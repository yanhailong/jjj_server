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<sst xmlns="http://schemas.openxmlformats.org/spreadsheetml/2006/main" count="147" uniqueCount="140">
  <si>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</si>
  <si>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</si>
  <si>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</si>
  <si>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</si>
  <si>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</si>
  <si>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</si>
  <si>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</si>
  <si>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</si>
  <si>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</si>
  <si>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</si>
  <si>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</si>
  <si>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</si>
  <si>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</si>
  <si>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</si>
  <si>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</si>
  <si>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</si>
  <si>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</si>
  <si>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</si>
  <si>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</si>
  <si>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</si>
  <si>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</si>
  <si>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</si>
  <si>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</si>
  <si>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</si>
  <si>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</si>
  <si>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</si>
  <si>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</si>
  <si>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</si>
  <si>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</si>
  <si>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</si>
  <si>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</si>
  <si>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</si>
  <si>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</si>
  <si>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</si>
  <si>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</si>
  <si>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</si>
  <si>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</si>
  <si>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</si>
  <si>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</si>
  <si>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</si>
  <si>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</si>
  <si>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</si>
  <si>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</si>
  <si>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</si>
  <si>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</si>
  <si>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</si>
  <si>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</si>
  <si>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</si>
  <si>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</si>
  <si>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</si>
  <si>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</si>
  <si>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</si>
  <si>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</si>
  <si>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</si>
  <si>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</si>
  <si>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</si>
  <si>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</si>
  <si>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</si>
  <si>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</si>
  <si>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</si>
  <si>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</si>
  <si>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</si>
  <si>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</si>
  <si>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</si>
  <si>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</si>
  <si>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</si>
  <si>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</si>
  <si>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</si>
  <si>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</si>
  <si>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</si>
  <si>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</si>
  <si>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</si>
  <si>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</si>
  <si>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</si>
  <si>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</si>
  <si>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t>
  </si>
  <si>
    <t>官方派奖：转盘1次数_转盘2次数_转盘3次数（真人抽奖后机器人跟着的抽奖次数，填10，表示玩家抽1次，机器人抽10次）</t>
  </si>
  <si>
    <t>1_1_1</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</si>
  <si>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</si>
  <si>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</si>
  <si>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</si>
  <si>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</si>
  <si>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</si>
  <si>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</si>
  <si>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</si>
  <si>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</si>
  <si>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</si>
  <si>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</si>
  <si>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</si>
  <si>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</si>
  <si>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</si>
  <si>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</si>
  <si>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</si>
  <si>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</si>
  <si>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</si>
  <si>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</si>
  <si>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</si>
  <si>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</si>
  <si>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</si>
  <si>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</si>
  <si>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</si>
  <si>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</si>
  <si>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</si>
  <si>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</si>
  <si>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</si>
  <si>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</si>
  <si>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</si>
  <si>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</si>
  <si>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</si>
  <si>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</si>
  <si>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</si>
  <si>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</si>
  <si>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</si>
  <si>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</si>
  <si>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</si>
  <si>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</si>
  <si>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</si>
  <si>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</si>
  <si>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1990000_42000</t>
  </si>
  <si>
    <t>推广分享：二维码图片配置(该资源放在资源服务器实时下载显示的)</t>
  </si>
  <si>
    <t>ShareQRCode/QR_Code001.png</t>
  </si>
  <si>
    <t>推广分享：周榜上榜条件设置(收益数量)</t>
  </si>
  <si>
    <t>1990000_750000</t>
  </si>
  <si>
    <t>推广分享：有效用户达标条件（有效下注累计_数值|累计充值_数值）</t>
  </si>
  <si>
    <t>AND(totalValidBets(4200000),totalRecharge(7,0))</t>
  </si>
  <si>
    <t>财富轮盘：昨日输的金币兑换为积分的比例（昨日所输金币_获得积分）</t>
  </si>
  <si>
    <t>125_1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</si>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</sst>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3"/>
  <sheetViews>
    <sheetView tabSelected="1" workbookViewId="0">
      <pane ySplit="3" topLeftCell="A29" activePane="bottomLeft" state="frozen"/>
      <selection/>
      <selection pane="bottomLeft" activeCell="C37" sqref="C37:C39"/>
    </sheetView>
  </sheetViews>
  <sheetFormatPr defaultColWidth="9" defaultRowHeight="16.5"/>
  <cols>
    <col min="1" max="1" width="9" style="8"/>
    <col min="2" max="2" width="96.9083333333333" style="8" customWidth="1"/>
    <col min="3"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7">
      <c r="A17" s="8">
        <v>13</v>
      </c>
      <c r="B17" s="8" t="s">
        <v>37</v>
      </c>
      <c r="D17" s="8">
        <v>1</v>
      </c>
    </row>
    <row r="18" spans="1:7">
      <c r="A18" s="8">
        <v>14</v>
      </c>
      <c r="B18" s="8" t="s">
        <v>38</v>
      </c>
      <c r="C18" s="16" t="s">
        <v>39</v>
      </c>
      <c r="G18" s="8" t="s">
        <v>40</v>
      </c>
    </row>
    <row r="19" spans="1:7">
      <c r="A19" s="8">
        <v>15</v>
      </c>
      <c r="B19" s="8" t="s">
        <v>41</v>
      </c>
      <c r="D19" s="8">
        <v>5</v>
      </c>
    </row>
    <row r="20" spans="1:7">
      <c r="A20" s="8">
        <v>16</v>
      </c>
      <c r="B20" s="8" t="s">
        <v>42</v>
      </c>
      <c r="D20" s="8">
        <v>10</v>
      </c>
    </row>
    <row r="21" spans="1:7">
      <c r="A21" s="8">
        <v>17</v>
      </c>
      <c r="B21" s="8" t="s">
        <v>43</v>
      </c>
      <c r="C21" s="8" t="s">
        <v>44</v>
      </c>
    </row>
    <row r="22" spans="1:7">
      <c r="A22" s="8">
        <v>18</v>
      </c>
      <c r="B22" s="8" t="s">
        <v>45</v>
      </c>
      <c r="D22" s="8">
        <f>7*24*60*60</f>
        <v>604800</v>
      </c>
    </row>
    <row r="23" spans="1:7">
      <c r="A23" s="8">
        <v>19</v>
      </c>
      <c r="B23" s="8" t="s">
        <v>46</v>
      </c>
      <c r="C23" s="8" t="s">
        <v>47</v>
      </c>
    </row>
    <row r="24" spans="1:7">
      <c r="A24" s="8">
        <v>20</v>
      </c>
      <c r="B24" s="8" t="s">
        <v>48</v>
      </c>
      <c r="D24" s="8">
        <v>10</v>
      </c>
    </row>
    <row r="25" s="1" customFormat="1" spans="1:7">
      <c r="A25" s="1">
        <v>21</v>
      </c>
      <c r="B25" s="1" t="s">
        <v>49</v>
      </c>
      <c r="C25" s="17" t="s">
        <v>50</v>
      </c>
      <c r="G25" s="1" t="s">
        <v>51</v>
      </c>
    </row>
    <row r="26" s="1" customFormat="1" spans="1:7">
      <c r="A26" s="1">
        <v>22</v>
      </c>
      <c r="B26" s="1" t="s">
        <v>52</v>
      </c>
      <c r="C26" s="1" t="s">
        <v>53</v>
      </c>
      <c r="G26" s="1" t="s">
        <v>54</v>
      </c>
    </row>
    <row r="27" s="1" customFormat="1" spans="1:7">
      <c r="A27" s="1">
        <v>23</v>
      </c>
      <c r="B27" s="1" t="s">
        <v>55</v>
      </c>
      <c r="D27" s="1">
        <v>10000</v>
      </c>
    </row>
    <row r="28" s="1" customFormat="1" spans="1:7">
      <c r="A28" s="1">
        <v>24</v>
      </c>
      <c r="B28" s="1" t="s">
        <v>56</v>
      </c>
      <c r="D28" s="1">
        <v>100</v>
      </c>
    </row>
    <row r="29" s="1" customFormat="1" spans="1:7">
      <c r="A29" s="1">
        <v>25</v>
      </c>
      <c r="B29" s="1" t="s">
        <v>57</v>
      </c>
      <c r="C29" s="1" t="s">
        <v>58</v>
      </c>
    </row>
    <row r="30" spans="1:7">
      <c r="A30" s="8">
        <v>26</v>
      </c>
      <c r="B30" s="8" t="s">
        <v>59</v>
      </c>
      <c r="C30" s="18"/>
      <c r="D30" s="8">
        <v>100</v>
      </c>
    </row>
    <row r="31" spans="1:7">
      <c r="A31" s="8">
        <v>27</v>
      </c>
      <c r="B31" s="8" t="s">
        <v>60</v>
      </c>
      <c r="D31" s="8">
        <v>10000</v>
      </c>
      <c r="G31" s="8" t="s">
        <v>61</v>
      </c>
    </row>
    <row r="32" spans="1:7">
      <c r="A32" s="8">
        <v>28</v>
      </c>
      <c r="B32" s="8" t="s">
        <v>62</v>
      </c>
      <c r="C32" s="8" t="s">
        <v>63</v>
      </c>
    </row>
    <row r="33" spans="1:23">
      <c r="A33" s="8">
        <v>29</v>
      </c>
      <c r="B33" s="8" t="s">
        <v>64</v>
      </c>
      <c r="D33" s="8">
        <v>10</v>
      </c>
    </row>
    <row r="34" s="2" customFormat="1" spans="1:23">
      <c r="A34" s="19">
        <v>30</v>
      </c>
      <c r="B34" s="19" t="s">
        <v>65</v>
      </c>
      <c r="C34" s="2" t="s">
        <v>66</v>
      </c>
    </row>
    <row r="35" s="2" customFormat="1" spans="1:23">
      <c r="A35" s="19">
        <v>31</v>
      </c>
      <c r="B35" s="19" t="s">
        <v>67</v>
      </c>
      <c r="E35" s="20">
        <v>372460972.440945</v>
      </c>
      <c r="G35" s="2" t="s">
        <v>68</v>
      </c>
      <c r="H35" s="20">
        <v>8692.20472440945</v>
      </c>
      <c r="I35" s="2" t="s">
        <v>69</v>
      </c>
      <c r="J35" s="2">
        <v>1</v>
      </c>
      <c r="K35" s="2" t="s">
        <v>70</v>
      </c>
      <c r="L35" s="2">
        <f>J35*24*60*60*1000</f>
        <v>86400000</v>
      </c>
      <c r="M35" s="2" t="s">
        <v>71</v>
      </c>
    </row>
    <row r="36" spans="1:23">
      <c r="A36" s="19">
        <v>32</v>
      </c>
      <c r="B36" s="19" t="s">
        <v>72</v>
      </c>
      <c r="C36" s="2" t="s">
        <v>73</v>
      </c>
    </row>
    <row r="37" spans="1:23">
      <c r="A37" s="21">
        <v>33</v>
      </c>
      <c r="B37" s="21" t="s">
        <v>74</v>
      </c>
      <c r="C37" s="22" t="s">
        <v>75</v>
      </c>
    </row>
    <row r="38" s="3" customFormat="1" spans="1:23">
      <c r="A38" s="23">
        <v>34</v>
      </c>
      <c r="B38" s="23" t="s">
        <v>76</v>
      </c>
      <c r="C38" s="3" t="s">
        <v>77</v>
      </c>
      <c r="G38" s="3" t="s">
        <v>78</v>
      </c>
      <c r="H38" s="3">
        <v>90</v>
      </c>
    </row>
    <row r="39" spans="1:23">
      <c r="A39" s="21">
        <v>35</v>
      </c>
      <c r="B39" s="21" t="s">
        <v>79</v>
      </c>
      <c r="C39" s="8" t="s">
        <v>80</v>
      </c>
      <c r="G39" s="8" t="s">
        <v>81</v>
      </c>
      <c r="H39" s="24">
        <f>ROUND(L35/(E35*H38/100/H35),0)</f>
        <v>2240</v>
      </c>
      <c r="I39" s="8" t="s">
        <v>71</v>
      </c>
      <c r="J39" s="8" t="s">
        <v>82</v>
      </c>
      <c r="K39" s="25" t="s">
        <v>83</v>
      </c>
      <c r="L39" s="25">
        <v>0.25</v>
      </c>
      <c r="M39" s="8" t="s">
        <v>84</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85</v>
      </c>
      <c r="D40" s="26">
        <v>88</v>
      </c>
    </row>
    <row r="41" s="4" customFormat="1" spans="1:23">
      <c r="A41" s="4">
        <v>41</v>
      </c>
      <c r="B41" s="4" t="s">
        <v>86</v>
      </c>
      <c r="D41" s="26">
        <v>1200</v>
      </c>
    </row>
    <row r="42" s="4" customFormat="1" spans="1:23">
      <c r="A42" s="4">
        <v>42</v>
      </c>
      <c r="B42" s="4" t="s">
        <v>87</v>
      </c>
      <c r="D42" s="26">
        <v>36000</v>
      </c>
    </row>
    <row r="43" s="4" customFormat="1" spans="1:23">
      <c r="A43" s="4">
        <v>43</v>
      </c>
      <c r="B43" s="4" t="s">
        <v>88</v>
      </c>
      <c r="D43" s="26">
        <v>1</v>
      </c>
    </row>
    <row r="44" s="4" customFormat="1" spans="1:23">
      <c r="A44" s="4">
        <v>44</v>
      </c>
      <c r="B44" s="4" t="s">
        <v>89</v>
      </c>
      <c r="D44" s="26">
        <v>10</v>
      </c>
    </row>
    <row r="45" s="4" customFormat="1" spans="1:23">
      <c r="A45" s="4">
        <v>45</v>
      </c>
      <c r="B45" s="4" t="s">
        <v>90</v>
      </c>
      <c r="C45" s="26" t="s">
        <v>91</v>
      </c>
    </row>
    <row r="46" s="5" customFormat="1" spans="1:23">
      <c r="A46" s="5">
        <v>46</v>
      </c>
      <c r="B46" s="5" t="s">
        <v>92</v>
      </c>
      <c r="C46" s="27" t="s">
        <v>93</v>
      </c>
    </row>
    <row r="47" s="4" customFormat="1" spans="1:23">
      <c r="A47" s="4">
        <v>47</v>
      </c>
      <c r="B47" s="4" t="s">
        <v>94</v>
      </c>
      <c r="D47" s="4">
        <v>3</v>
      </c>
      <c r="H47" s="4" t="s">
        <v>95</v>
      </c>
      <c r="I47" s="4">
        <v>6000</v>
      </c>
    </row>
    <row r="48" s="4" customFormat="1" spans="1:23">
      <c r="A48" s="4">
        <v>48</v>
      </c>
      <c r="B48" s="4" t="s">
        <v>96</v>
      </c>
      <c r="C48" s="4" t="s">
        <v>97</v>
      </c>
      <c r="G48" s="4" t="s">
        <v>98</v>
      </c>
      <c r="H48" s="4" t="s">
        <v>99</v>
      </c>
      <c r="I48" s="4">
        <v>30</v>
      </c>
      <c r="J48" s="4">
        <f>I47/(24*60/I49)*100/(I48/1+I48/1)</f>
        <v>104.166666666667</v>
      </c>
    </row>
    <row r="49" s="4" customFormat="1" spans="1:9">
      <c r="A49" s="4">
        <v>49</v>
      </c>
      <c r="B49" s="4" t="s">
        <v>100</v>
      </c>
      <c r="C49" s="4" t="s">
        <v>101</v>
      </c>
      <c r="H49" s="4" t="s">
        <v>102</v>
      </c>
      <c r="I49" s="4">
        <v>15</v>
      </c>
    </row>
    <row r="50" spans="1:9">
      <c r="A50" s="8">
        <v>50</v>
      </c>
      <c r="B50" s="8" t="s">
        <v>103</v>
      </c>
      <c r="C50" s="28" t="s">
        <v>104</v>
      </c>
      <c r="I50" s="8">
        <v>600</v>
      </c>
    </row>
    <row r="51" s="2" customFormat="1" spans="1:9">
      <c r="A51" s="2">
        <v>51</v>
      </c>
      <c r="B51" s="2" t="s">
        <v>105</v>
      </c>
      <c r="C51" s="29" t="s">
        <v>106</v>
      </c>
      <c r="I51" s="2">
        <v>1200</v>
      </c>
    </row>
    <row r="52" s="5" customFormat="1" spans="1:9">
      <c r="A52" s="5">
        <v>52</v>
      </c>
      <c r="B52" s="5" t="s">
        <v>107</v>
      </c>
      <c r="D52" s="30">
        <v>30000</v>
      </c>
    </row>
    <row r="53" s="6" customFormat="1" spans="1:9">
      <c r="A53" s="6">
        <v>53</v>
      </c>
      <c r="B53" s="6" t="s">
        <v>108</v>
      </c>
      <c r="D53" s="31">
        <v>30000</v>
      </c>
    </row>
    <row r="54" s="5" customFormat="1" spans="1:9">
      <c r="A54" s="5">
        <v>54</v>
      </c>
      <c r="B54" s="5" t="s">
        <v>109</v>
      </c>
      <c r="D54" s="5">
        <v>0</v>
      </c>
    </row>
    <row r="55" customFormat="1" spans="1:9">
      <c r="A55" s="8">
        <v>55</v>
      </c>
      <c r="B55" s="8" t="s">
        <v>110</v>
      </c>
      <c r="C55" s="8"/>
      <c r="D55" s="8">
        <v>60</v>
      </c>
    </row>
    <row r="56" s="5" customFormat="1" spans="1:9">
      <c r="A56" s="5">
        <v>56</v>
      </c>
      <c r="B56" s="5" t="s">
        <v>111</v>
      </c>
      <c r="C56" s="5" t="s">
        <v>112</v>
      </c>
    </row>
    <row r="57" s="2" customFormat="1" spans="1:9">
      <c r="A57" s="2">
        <v>60</v>
      </c>
      <c r="B57" s="2" t="s">
        <v>113</v>
      </c>
      <c r="C57" s="32" t="s">
        <v>114</v>
      </c>
    </row>
    <row r="58" spans="1:9">
      <c r="A58" s="8">
        <v>61</v>
      </c>
      <c r="B58" s="8" t="s">
        <v>115</v>
      </c>
      <c r="C58" s="33" t="s">
        <v>116</v>
      </c>
    </row>
    <row r="59" s="6" customFormat="1" spans="1:9">
      <c r="A59" s="6">
        <v>62</v>
      </c>
      <c r="B59" s="6" t="s">
        <v>117</v>
      </c>
      <c r="C59" s="31" t="s">
        <v>118</v>
      </c>
    </row>
    <row r="60" s="6" customFormat="1" spans="1:9">
      <c r="A60" s="6">
        <v>63</v>
      </c>
      <c r="B60" s="6" t="s">
        <v>119</v>
      </c>
      <c r="C60" s="6" t="s">
        <v>120</v>
      </c>
    </row>
    <row r="61" s="6" customFormat="1" spans="1:9">
      <c r="A61" s="6">
        <v>64</v>
      </c>
      <c r="B61" s="6" t="s">
        <v>121</v>
      </c>
      <c r="C61" s="34" t="s">
        <v>122</v>
      </c>
    </row>
    <row r="62" s="6" customFormat="1" spans="1:9">
      <c r="A62" s="6">
        <v>65</v>
      </c>
      <c r="B62" s="6" t="s">
        <v>123</v>
      </c>
      <c r="C62" s="34" t="s">
        <v>124</v>
      </c>
    </row>
    <row r="63" s="7" customFormat="1" spans="1:9">
      <c r="A63" s="7">
        <v>70</v>
      </c>
      <c r="B63" s="7" t="s">
        <v>125</v>
      </c>
      <c r="C63" s="35" t="s">
        <v>126</v>
      </c>
      <c r="D63" s="35"/>
    </row>
    <row r="64" s="7" customFormat="1" spans="1:9">
      <c r="A64" s="7">
        <v>71</v>
      </c>
      <c r="B64" s="7" t="s">
        <v>127</v>
      </c>
      <c r="C64" s="35"/>
      <c r="D64" s="35">
        <v>5000</v>
      </c>
    </row>
    <row r="65" s="7" customFormat="1" spans="1:20">
      <c r="A65" s="7">
        <v>72</v>
      </c>
      <c r="B65" s="7" t="s">
        <v>128</v>
      </c>
      <c r="C65" s="35" t="s">
        <v>129</v>
      </c>
    </row>
    <row r="66" spans="1:20">
      <c r="A66" s="36">
        <v>80</v>
      </c>
      <c r="B66" s="36" t="s">
        <v>130</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131</v>
      </c>
      <c r="D67" s="1">
        <v>150000</v>
      </c>
    </row>
    <row r="68" spans="1:20">
      <c r="A68" s="8">
        <v>100</v>
      </c>
      <c r="B68" s="8" t="s">
        <v>132</v>
      </c>
      <c r="C68" s="8" t="s">
        <v>133</v>
      </c>
    </row>
    <row r="69" spans="1:20">
      <c r="A69" s="8">
        <v>101</v>
      </c>
      <c r="B69" s="8" t="s">
        <v>134</v>
      </c>
      <c r="C69" s="8" t="s">
        <v>135</v>
      </c>
    </row>
    <row r="70" spans="1:20">
      <c r="A70" s="8">
        <v>102</v>
      </c>
      <c r="B70" s="8" t="s">
        <v>136</v>
      </c>
      <c r="D70" s="37">
        <v>1022503</v>
      </c>
    </row>
    <row r="71" s="4" customFormat="1" spans="1:20">
      <c r="A71" s="4">
        <v>110</v>
      </c>
      <c r="B71" s="4" t="s">
        <v>137</v>
      </c>
      <c r="D71" s="26">
        <f>8400</f>
        <v>8400</v>
      </c>
    </row>
    <row r="72" spans="1:20">
      <c r="A72" s="8">
        <v>111</v>
      </c>
      <c r="B72" s="8" t="s">
        <v>138</v>
      </c>
      <c r="D72" s="8">
        <v>500</v>
      </c>
    </row>
    <row r="73" spans="1:20">
      <c r="A73" s="8">
        <v>112</v>
      </c>
      <c r="B73" s="8" t="s">
        <v>139</v>
      </c>
      <c r="D73" s="8">
        <v>300000</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2026-01-28T07:45:20Z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2052-12.1.0.24657</vt:lpwstr>
  </property>
  <property fmtid="{D5CDD505-2E9C-101B-9397-08002B2CF9AE}" pid="4" name="CalculationRule">
    <vt:i4>0</vt:i4>
  </property>
</Properties>
</file>