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pgos:
</t>
        </r>
        <r>
          <rPr>
            <sz val="9"/>
            <rFont val="宋体"/>
            <charset val="134"/>
          </rPr>
          <t>1.普通
2.免费
3.重转
4.全部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E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D49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</commentList>
</comments>
</file>

<file path=xl/sharedStrings.xml><?xml version="1.0" encoding="utf-8"?>
<sst xmlns="http://schemas.openxmlformats.org/spreadsheetml/2006/main" count="171" uniqueCount="44">
  <si>
    <t>id</t>
  </si>
  <si>
    <t>游戏ID</t>
  </si>
  <si>
    <t>旋转状态</t>
  </si>
  <si>
    <t>元素ID_相同元素_相同元素</t>
  </si>
  <si>
    <t>中奖条件</t>
  </si>
  <si>
    <t>条件参数</t>
  </si>
  <si>
    <t>倍率</t>
  </si>
  <si>
    <t>触发小游戏ID</t>
  </si>
  <si>
    <t>额外出现元素导致倍率加成</t>
  </si>
  <si>
    <t>jackpotID</t>
  </si>
  <si>
    <t>描述</t>
  </si>
  <si>
    <t>int</t>
  </si>
  <si>
    <t>List&lt;int&gt;{_}</t>
  </si>
  <si>
    <t>List&lt;List&lt;int&gt;{,}&gt;{;}</t>
  </si>
  <si>
    <t>gameType</t>
  </si>
  <si>
    <t>rotateState</t>
  </si>
  <si>
    <t>elementId</t>
  </si>
  <si>
    <t>lineType</t>
  </si>
  <si>
    <t>rewardNum</t>
  </si>
  <si>
    <t>bet</t>
  </si>
  <si>
    <t>featureTriggerId</t>
  </si>
  <si>
    <t>betTimes</t>
  </si>
  <si>
    <t>最大连线</t>
  </si>
  <si>
    <t>13,1,2;13,2,4;13,3,6;13,4,8;14,1,5;14,2,10;14,3,15;14,4,20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</si>
  <si>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</si>
  <si>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</si>
  <si>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</si>
  <si>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</si>
  <si>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</si>
  <si>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</si>
  <si>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</si>
  <si>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</si>
  <si>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</si>
  <si>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</si>
  <si>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</si>
  <si>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</si>
  <si>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1_11</t>
  </si>
  <si>
    <t>2_12</t>
  </si>
  <si>
    <t>3_13</t>
  </si>
  <si>
    <t>4_14</t>
  </si>
  <si>
    <t>5_15</t>
  </si>
  <si>
    <t>6_16</t>
  </si>
  <si>
    <t>7_17</t>
  </si>
  <si>
    <t>8_18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</si>
</sst>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2" fillId="4" borderId="1" xfId="51" applyFont="1" applyFill="1" applyBorder="1" applyAlignment="1">
      <alignment horizontal="right" vertical="top"/>
    </xf>
    <xf numFmtId="0" fontId="4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left" vertical="top"/>
    </xf>
    <xf numFmtId="0" fontId="5" fillId="5" borderId="1" xfId="51" applyFont="1" applyFill="1" applyBorder="1" applyAlignment="1">
      <alignment horizontal="right" vertical="center" wrapText="1"/>
    </xf>
    <xf numFmtId="0" fontId="5" fillId="4" borderId="1" xfId="51" applyFont="1" applyFill="1" applyBorder="1" applyAlignment="1">
      <alignment horizontal="righ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2" borderId="1" xfId="51" applyFont="1" applyFill="1" applyBorder="1" applyAlignment="1">
      <alignment horizontal="right" vertical="top"/>
    </xf>
    <xf numFmtId="0" fontId="4" fillId="2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right" vertical="top"/>
    </xf>
    <xf numFmtId="0" fontId="4" fillId="7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5" fillId="5" borderId="1" xfId="51" applyFont="1" applyFill="1" applyBorder="1" applyAlignment="1">
      <alignment horizontal="left" vertical="center" wrapText="1"/>
    </xf>
    <xf numFmtId="0" fontId="2" fillId="2" borderId="1" xfId="51" applyNumberFormat="1" applyFont="1" applyFill="1" applyBorder="1" applyAlignment="1">
      <alignment horizontal="right" vertical="top"/>
    </xf>
    <xf numFmtId="0" fontId="7" fillId="2" borderId="2" xfId="0" applyFont="1" applyFill="1" applyBorder="1" applyAlignment="1">
      <alignment horizontal="center" vertical="center"/>
    </xf>
    <xf numFmtId="0" fontId="2" fillId="2" borderId="1" xfId="51" applyFont="1" applyFill="1" applyBorder="1" applyAlignment="1">
      <alignment horizontal="lef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7" borderId="1" xfId="51" applyNumberFormat="1" applyFont="1" applyFill="1" applyBorder="1" applyAlignment="1">
      <alignment horizontal="right" vertical="top"/>
    </xf>
    <xf numFmtId="0" fontId="2" fillId="7" borderId="1" xfId="51" applyFont="1" applyFill="1" applyBorder="1" applyAlignment="1">
      <alignment horizontal="left" vertical="top"/>
    </xf>
    <xf numFmtId="0" fontId="2" fillId="5" borderId="1" xfId="51" applyNumberFormat="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7" fillId="3" borderId="1" xfId="51" applyFont="1" applyFill="1" applyBorder="1" applyAlignment="1">
      <alignment horizontal="righ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85"/>
  <sheetViews>
    <sheetView tabSelected="1" workbookViewId="0">
      <pane xSplit="2" ySplit="1" topLeftCell="C16" activePane="bottomRight" state="frozen"/>
      <selection/>
      <selection pane="topRight"/>
      <selection pane="bottomLeft"/>
      <selection pane="bottomRight" activeCell="J75" sqref="J75"/>
    </sheetView>
  </sheetViews>
  <sheetFormatPr defaultColWidth="9" defaultRowHeight="19" customHeight="1"/>
  <cols>
    <col min="1" max="1" width="11.5" style="7"/>
    <col min="2" max="2" width="11" style="2" customWidth="1"/>
    <col min="3" max="3" width="10" style="8" customWidth="1"/>
    <col min="4" max="4" width="14.125" style="2" customWidth="1"/>
    <col min="5" max="5" width="11.25" style="2" customWidth="1"/>
    <col min="6" max="6" width="20.875" style="2" customWidth="1"/>
    <col min="7" max="7" width="12.2166666666667" style="2" customWidth="1"/>
    <col min="8" max="8" width="9.85833333333333" style="9" customWidth="1"/>
    <col min="9" max="9" width="19.1333333333333" style="9" customWidth="1"/>
    <col min="10" max="10" width="29.75" style="2" customWidth="1"/>
    <col min="11" max="11" width="10.375" style="2"/>
    <col min="12" max="12" width="14.5583333333333" style="10" customWidth="1"/>
    <col min="13" max="16384" width="9" style="7"/>
  </cols>
  <sheetData>
    <row r="1" s="1" customFormat="1" customHeight="1" spans="1:12">
      <c r="A1" s="1" t="s">
        <v>0</v>
      </c>
      <c r="B1" s="11" t="s">
        <v>1</v>
      </c>
      <c r="C1" s="12" t="s">
        <v>2</v>
      </c>
      <c r="D1" s="11" t="s">
        <v>3</v>
      </c>
      <c r="E1" s="11" t="s">
        <v>4</v>
      </c>
      <c r="F1" s="11"/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25" t="s">
        <v>10</v>
      </c>
    </row>
    <row r="2" s="2" customFormat="1" customHeight="1" spans="1:12">
      <c r="A2" s="2" t="s">
        <v>11</v>
      </c>
      <c r="B2" s="2" t="s">
        <v>11</v>
      </c>
      <c r="C2" s="8" t="s">
        <v>11</v>
      </c>
      <c r="D2" s="13" t="s">
        <v>12</v>
      </c>
      <c r="E2" s="2" t="s">
        <v>11</v>
      </c>
      <c r="G2" s="2" t="s">
        <v>11</v>
      </c>
      <c r="H2" s="2" t="s">
        <v>11</v>
      </c>
      <c r="I2" s="13" t="s">
        <v>12</v>
      </c>
      <c r="J2" s="2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8" t="s">
        <v>15</v>
      </c>
      <c r="D3" s="2" t="s">
        <v>16</v>
      </c>
      <c r="E3" s="2" t="s">
        <v>17</v>
      </c>
      <c r="G3" s="2" t="s">
        <v>18</v>
      </c>
      <c r="H3" s="2" t="s">
        <v>19</v>
      </c>
      <c r="I3" s="2" t="s">
        <v>20</v>
      </c>
      <c r="J3" s="2" t="s">
        <v>21</v>
      </c>
      <c r="K3" s="2" t="s">
        <v>9</v>
      </c>
      <c r="L3" s="10"/>
    </row>
    <row r="4" s="2" customFormat="1" customHeight="1" spans="3:12">
      <c r="C4" s="8"/>
      <c r="L4" s="10"/>
    </row>
    <row r="5" s="2" customFormat="1" customHeight="1" spans="1:12">
      <c r="A5" s="2">
        <f>(B5)*10000+D5+G5*100+E5*100000</f>
        <v>1001100211</v>
      </c>
      <c r="B5" s="2">
        <v>100100</v>
      </c>
      <c r="C5" s="8">
        <v>4</v>
      </c>
      <c r="D5" s="2">
        <v>11</v>
      </c>
      <c r="E5" s="2">
        <v>1</v>
      </c>
      <c r="F5" s="2" t="s">
        <v>22</v>
      </c>
      <c r="G5" s="2">
        <v>2</v>
      </c>
      <c r="H5" s="2">
        <v>2</v>
      </c>
      <c r="J5" s="2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(B6)*10000+D6+G6*100+E6*100000</f>
        <v>1001100301</v>
      </c>
      <c r="B6" s="2">
        <v>100100</v>
      </c>
      <c r="C6" s="8">
        <v>4</v>
      </c>
      <c r="D6" s="2">
        <v>1</v>
      </c>
      <c r="E6" s="2">
        <v>1</v>
      </c>
      <c r="F6" s="2" t="s">
        <v>22</v>
      </c>
      <c r="G6" s="2">
        <v>3</v>
      </c>
      <c r="H6" s="2">
        <v>5</v>
      </c>
      <c r="J6" s="2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8">
        <v>4</v>
      </c>
      <c r="D7" s="2">
        <v>2</v>
      </c>
      <c r="E7" s="2">
        <v>1</v>
      </c>
      <c r="F7" s="2" t="s">
        <v>22</v>
      </c>
      <c r="G7" s="2">
        <v>3</v>
      </c>
      <c r="H7" s="2">
        <v>5</v>
      </c>
      <c r="J7" s="2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8">
        <v>4</v>
      </c>
      <c r="D8" s="2">
        <v>3</v>
      </c>
      <c r="E8" s="2">
        <v>1</v>
      </c>
      <c r="F8" s="2" t="s">
        <v>22</v>
      </c>
      <c r="G8" s="2">
        <v>3</v>
      </c>
      <c r="H8" s="2">
        <v>5</v>
      </c>
      <c r="J8" s="2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8">
        <v>4</v>
      </c>
      <c r="D9" s="2">
        <v>4</v>
      </c>
      <c r="E9" s="2">
        <v>1</v>
      </c>
      <c r="F9" s="2" t="s">
        <v>22</v>
      </c>
      <c r="G9" s="2">
        <v>3</v>
      </c>
      <c r="H9" s="2">
        <v>5</v>
      </c>
      <c r="J9" s="2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8">
        <v>4</v>
      </c>
      <c r="D10" s="2">
        <v>5</v>
      </c>
      <c r="E10" s="2">
        <v>1</v>
      </c>
      <c r="F10" s="2" t="s">
        <v>22</v>
      </c>
      <c r="G10" s="2">
        <v>3</v>
      </c>
      <c r="H10" s="2">
        <v>5</v>
      </c>
      <c r="J10" s="2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8">
        <v>4</v>
      </c>
      <c r="D11" s="2">
        <v>6</v>
      </c>
      <c r="E11" s="2">
        <v>1</v>
      </c>
      <c r="F11" s="2" t="s">
        <v>22</v>
      </c>
      <c r="G11" s="2">
        <v>3</v>
      </c>
      <c r="H11" s="2">
        <v>5</v>
      </c>
      <c r="J11" s="2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8">
        <v>4</v>
      </c>
      <c r="D12" s="2">
        <v>7</v>
      </c>
      <c r="E12" s="2">
        <v>1</v>
      </c>
      <c r="F12" s="2" t="s">
        <v>22</v>
      </c>
      <c r="G12" s="2">
        <v>3</v>
      </c>
      <c r="H12" s="2">
        <v>10</v>
      </c>
      <c r="J12" s="2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8">
        <v>4</v>
      </c>
      <c r="D13" s="2">
        <v>8</v>
      </c>
      <c r="E13" s="2">
        <v>1</v>
      </c>
      <c r="F13" s="2" t="s">
        <v>22</v>
      </c>
      <c r="G13" s="2">
        <v>3</v>
      </c>
      <c r="H13" s="2">
        <v>10</v>
      </c>
      <c r="J13" s="2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8">
        <v>4</v>
      </c>
      <c r="D14" s="2">
        <v>9</v>
      </c>
      <c r="E14" s="2">
        <v>1</v>
      </c>
      <c r="F14" s="2" t="s">
        <v>22</v>
      </c>
      <c r="G14" s="2">
        <v>3</v>
      </c>
      <c r="H14" s="2">
        <v>15</v>
      </c>
      <c r="J14" s="2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8">
        <v>4</v>
      </c>
      <c r="D15" s="2">
        <v>10</v>
      </c>
      <c r="E15" s="2">
        <v>1</v>
      </c>
      <c r="F15" s="2" t="s">
        <v>22</v>
      </c>
      <c r="G15" s="2">
        <v>3</v>
      </c>
      <c r="H15" s="2">
        <v>15</v>
      </c>
      <c r="J15" s="2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8">
        <v>4</v>
      </c>
      <c r="D16" s="2">
        <v>11</v>
      </c>
      <c r="E16" s="2">
        <v>1</v>
      </c>
      <c r="F16" s="2" t="s">
        <v>22</v>
      </c>
      <c r="G16" s="2">
        <v>3</v>
      </c>
      <c r="H16" s="2">
        <v>20</v>
      </c>
      <c r="J16" s="2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8">
        <v>4</v>
      </c>
      <c r="D17" s="2">
        <v>1</v>
      </c>
      <c r="E17" s="2">
        <v>1</v>
      </c>
      <c r="F17" s="2" t="s">
        <v>22</v>
      </c>
      <c r="G17" s="2">
        <v>4</v>
      </c>
      <c r="H17" s="2">
        <v>15</v>
      </c>
      <c r="J17" s="2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8">
        <v>4</v>
      </c>
      <c r="D18" s="2">
        <v>2</v>
      </c>
      <c r="E18" s="2">
        <v>1</v>
      </c>
      <c r="F18" s="2" t="s">
        <v>22</v>
      </c>
      <c r="G18" s="2">
        <v>4</v>
      </c>
      <c r="H18" s="2">
        <v>15</v>
      </c>
      <c r="J18" s="2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8">
        <v>4</v>
      </c>
      <c r="D19" s="2">
        <v>3</v>
      </c>
      <c r="E19" s="2">
        <v>1</v>
      </c>
      <c r="F19" s="2" t="s">
        <v>22</v>
      </c>
      <c r="G19" s="2">
        <v>4</v>
      </c>
      <c r="H19" s="2">
        <v>15</v>
      </c>
      <c r="J19" s="2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8">
        <v>4</v>
      </c>
      <c r="D20" s="2">
        <v>4</v>
      </c>
      <c r="E20" s="2">
        <v>1</v>
      </c>
      <c r="F20" s="2" t="s">
        <v>22</v>
      </c>
      <c r="G20" s="2">
        <v>4</v>
      </c>
      <c r="H20" s="2">
        <v>15</v>
      </c>
      <c r="J20" s="2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8">
        <v>4</v>
      </c>
      <c r="D21" s="2">
        <v>5</v>
      </c>
      <c r="E21" s="2">
        <v>1</v>
      </c>
      <c r="F21" s="2" t="s">
        <v>22</v>
      </c>
      <c r="G21" s="2">
        <v>4</v>
      </c>
      <c r="H21" s="2">
        <v>15</v>
      </c>
      <c r="J21" s="2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8">
        <v>4</v>
      </c>
      <c r="D22" s="2">
        <v>6</v>
      </c>
      <c r="E22" s="2">
        <v>1</v>
      </c>
      <c r="F22" s="2" t="s">
        <v>22</v>
      </c>
      <c r="G22" s="2">
        <v>4</v>
      </c>
      <c r="H22" s="2">
        <v>15</v>
      </c>
      <c r="J22" s="2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8">
        <v>4</v>
      </c>
      <c r="D23" s="2">
        <v>7</v>
      </c>
      <c r="E23" s="2">
        <v>1</v>
      </c>
      <c r="F23" s="2" t="s">
        <v>22</v>
      </c>
      <c r="G23" s="2">
        <v>4</v>
      </c>
      <c r="H23" s="2">
        <v>25</v>
      </c>
      <c r="J23" s="2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8">
        <v>4</v>
      </c>
      <c r="D24" s="2">
        <v>8</v>
      </c>
      <c r="E24" s="2">
        <v>1</v>
      </c>
      <c r="F24" s="2" t="s">
        <v>22</v>
      </c>
      <c r="G24" s="2">
        <v>4</v>
      </c>
      <c r="H24" s="2">
        <v>25</v>
      </c>
      <c r="J24" s="2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8">
        <v>4</v>
      </c>
      <c r="D25" s="2">
        <v>9</v>
      </c>
      <c r="E25" s="2">
        <v>1</v>
      </c>
      <c r="F25" s="2" t="s">
        <v>22</v>
      </c>
      <c r="G25" s="2">
        <v>4</v>
      </c>
      <c r="H25" s="2">
        <v>30</v>
      </c>
      <c r="J25" s="2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8">
        <v>4</v>
      </c>
      <c r="D26" s="2">
        <v>10</v>
      </c>
      <c r="E26" s="2">
        <v>1</v>
      </c>
      <c r="F26" s="2" t="s">
        <v>22</v>
      </c>
      <c r="G26" s="2">
        <v>4</v>
      </c>
      <c r="H26" s="2">
        <v>30</v>
      </c>
      <c r="J26" s="2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8">
        <v>4</v>
      </c>
      <c r="D27" s="2">
        <v>11</v>
      </c>
      <c r="E27" s="2">
        <v>1</v>
      </c>
      <c r="F27" s="2" t="s">
        <v>22</v>
      </c>
      <c r="G27" s="2">
        <v>4</v>
      </c>
      <c r="H27" s="2">
        <v>50</v>
      </c>
      <c r="J27" s="2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8">
        <v>4</v>
      </c>
      <c r="D28" s="2">
        <v>1</v>
      </c>
      <c r="E28" s="2">
        <v>1</v>
      </c>
      <c r="F28" s="2" t="s">
        <v>22</v>
      </c>
      <c r="G28" s="2">
        <v>5</v>
      </c>
      <c r="H28" s="2">
        <v>50</v>
      </c>
      <c r="J28" s="2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8">
        <v>4</v>
      </c>
      <c r="D29" s="2">
        <v>2</v>
      </c>
      <c r="E29" s="2">
        <v>1</v>
      </c>
      <c r="F29" s="2" t="s">
        <v>22</v>
      </c>
      <c r="G29" s="2">
        <v>5</v>
      </c>
      <c r="H29" s="2">
        <v>50</v>
      </c>
      <c r="J29" s="2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8">
        <v>4</v>
      </c>
      <c r="D30" s="2">
        <v>3</v>
      </c>
      <c r="E30" s="2">
        <v>1</v>
      </c>
      <c r="F30" s="2" t="s">
        <v>22</v>
      </c>
      <c r="G30" s="2">
        <v>5</v>
      </c>
      <c r="H30" s="2">
        <v>50</v>
      </c>
      <c r="J30" s="2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8">
        <v>4</v>
      </c>
      <c r="D31" s="2">
        <v>4</v>
      </c>
      <c r="E31" s="2">
        <v>1</v>
      </c>
      <c r="F31" s="2" t="s">
        <v>22</v>
      </c>
      <c r="G31" s="2">
        <v>5</v>
      </c>
      <c r="H31" s="2">
        <v>50</v>
      </c>
      <c r="J31" s="2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8">
        <v>4</v>
      </c>
      <c r="D32" s="2">
        <v>5</v>
      </c>
      <c r="E32" s="2">
        <v>1</v>
      </c>
      <c r="F32" s="2" t="s">
        <v>22</v>
      </c>
      <c r="G32" s="2">
        <v>5</v>
      </c>
      <c r="H32" s="2">
        <v>50</v>
      </c>
      <c r="J32" s="2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8">
        <v>4</v>
      </c>
      <c r="D33" s="2">
        <v>6</v>
      </c>
      <c r="E33" s="2">
        <v>1</v>
      </c>
      <c r="F33" s="2" t="s">
        <v>22</v>
      </c>
      <c r="G33" s="2">
        <v>5</v>
      </c>
      <c r="H33" s="2">
        <v>50</v>
      </c>
      <c r="J33" s="2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8">
        <v>4</v>
      </c>
      <c r="D34" s="2">
        <v>7</v>
      </c>
      <c r="E34" s="2">
        <v>1</v>
      </c>
      <c r="F34" s="2" t="s">
        <v>22</v>
      </c>
      <c r="G34" s="2">
        <v>5</v>
      </c>
      <c r="H34" s="2">
        <v>100</v>
      </c>
      <c r="J34" s="2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8">
        <v>4</v>
      </c>
      <c r="D35" s="2">
        <v>8</v>
      </c>
      <c r="E35" s="2">
        <v>1</v>
      </c>
      <c r="F35" s="2" t="s">
        <v>22</v>
      </c>
      <c r="G35" s="2">
        <v>5</v>
      </c>
      <c r="H35" s="2">
        <v>100</v>
      </c>
      <c r="J35" s="2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8">
        <v>4</v>
      </c>
      <c r="D36" s="2">
        <v>9</v>
      </c>
      <c r="E36" s="2">
        <v>1</v>
      </c>
      <c r="F36" s="2" t="s">
        <v>22</v>
      </c>
      <c r="G36" s="2">
        <v>5</v>
      </c>
      <c r="H36" s="2">
        <v>200</v>
      </c>
      <c r="J36" s="2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8">
        <v>4</v>
      </c>
      <c r="D37" s="2">
        <v>10</v>
      </c>
      <c r="E37" s="2">
        <v>1</v>
      </c>
      <c r="F37" s="2" t="s">
        <v>22</v>
      </c>
      <c r="G37" s="2">
        <v>5</v>
      </c>
      <c r="H37" s="2">
        <v>200</v>
      </c>
      <c r="J37" s="2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8">
        <v>4</v>
      </c>
      <c r="D38" s="2">
        <v>11</v>
      </c>
      <c r="E38" s="2">
        <v>1</v>
      </c>
      <c r="F38" s="2" t="s">
        <v>22</v>
      </c>
      <c r="G38" s="2">
        <v>5</v>
      </c>
      <c r="H38" s="2">
        <v>300</v>
      </c>
      <c r="J38" s="2" t="s">
        <v>23</v>
      </c>
      <c r="K38" s="2">
        <v>0</v>
      </c>
      <c r="L38" s="10" t="s">
        <v>24</v>
      </c>
    </row>
    <row r="39" s="3" customFormat="1" customHeight="1" spans="1:12">
      <c r="A39" s="2">
        <f t="shared" si="0"/>
        <v>1001201619</v>
      </c>
      <c r="B39" s="14">
        <v>100100</v>
      </c>
      <c r="C39" s="8">
        <v>4</v>
      </c>
      <c r="D39" s="14">
        <v>19</v>
      </c>
      <c r="E39" s="14">
        <v>2</v>
      </c>
      <c r="F39" s="14" t="s">
        <v>25</v>
      </c>
      <c r="G39" s="14">
        <v>16</v>
      </c>
      <c r="H39" s="14">
        <v>0</v>
      </c>
      <c r="I39" s="26">
        <v>30010001</v>
      </c>
      <c r="J39" s="14"/>
      <c r="K39" s="27">
        <v>100100101</v>
      </c>
      <c r="L39" s="28" t="s">
        <v>26</v>
      </c>
    </row>
    <row r="40" s="3" customFormat="1" customHeight="1" spans="1:12">
      <c r="A40" s="2">
        <f t="shared" si="0"/>
        <v>1001201620</v>
      </c>
      <c r="B40" s="14">
        <v>100100</v>
      </c>
      <c r="C40" s="8">
        <v>4</v>
      </c>
      <c r="D40" s="14">
        <v>20</v>
      </c>
      <c r="E40" s="14">
        <v>2</v>
      </c>
      <c r="F40" s="14" t="s">
        <v>25</v>
      </c>
      <c r="G40" s="14">
        <v>16</v>
      </c>
      <c r="H40" s="14">
        <v>0</v>
      </c>
      <c r="I40" s="26">
        <v>30010002</v>
      </c>
      <c r="J40" s="14"/>
      <c r="K40" s="27">
        <v>100100102</v>
      </c>
      <c r="L40" s="28" t="s">
        <v>27</v>
      </c>
    </row>
    <row r="41" s="4" customFormat="1" customHeight="1" spans="1:12">
      <c r="A41" s="2">
        <f t="shared" si="0"/>
        <v>1001201621</v>
      </c>
      <c r="B41" s="14">
        <v>100100</v>
      </c>
      <c r="C41" s="8">
        <v>4</v>
      </c>
      <c r="D41" s="14">
        <v>21</v>
      </c>
      <c r="E41" s="14">
        <v>2</v>
      </c>
      <c r="F41" s="14" t="s">
        <v>25</v>
      </c>
      <c r="G41" s="14">
        <v>16</v>
      </c>
      <c r="H41" s="15">
        <v>0</v>
      </c>
      <c r="I41" s="26">
        <v>30010003</v>
      </c>
      <c r="J41" s="14"/>
      <c r="K41" s="27">
        <v>100100103</v>
      </c>
      <c r="L41" s="28" t="s">
        <v>28</v>
      </c>
    </row>
    <row r="42" s="4" customFormat="1" customHeight="1" spans="1:12">
      <c r="A42" s="2">
        <f t="shared" si="0"/>
        <v>1001201622</v>
      </c>
      <c r="B42" s="14">
        <v>100100</v>
      </c>
      <c r="C42" s="8">
        <v>4</v>
      </c>
      <c r="D42" s="14">
        <v>22</v>
      </c>
      <c r="E42" s="14">
        <v>2</v>
      </c>
      <c r="F42" s="14" t="s">
        <v>25</v>
      </c>
      <c r="G42" s="14">
        <v>16</v>
      </c>
      <c r="H42" s="15">
        <v>0</v>
      </c>
      <c r="I42" s="26">
        <v>30010004</v>
      </c>
      <c r="J42" s="14"/>
      <c r="K42" s="27">
        <v>100100104</v>
      </c>
      <c r="L42" s="28" t="s">
        <v>29</v>
      </c>
    </row>
    <row r="43" customHeight="1" spans="1:12">
      <c r="A43" s="2">
        <f t="shared" ref="A43:A48" si="1">(B43)*10000+D43+G43*100+E43*100000</f>
        <v>1001201628</v>
      </c>
      <c r="B43" s="16">
        <v>100100</v>
      </c>
      <c r="C43" s="8">
        <v>4</v>
      </c>
      <c r="D43" s="16">
        <v>28</v>
      </c>
      <c r="E43" s="16">
        <v>2</v>
      </c>
      <c r="F43" s="16"/>
      <c r="G43" s="16">
        <v>16</v>
      </c>
      <c r="H43" s="17">
        <v>0</v>
      </c>
      <c r="I43" s="29">
        <v>30010005</v>
      </c>
      <c r="J43" s="16"/>
      <c r="K43" s="16">
        <v>0</v>
      </c>
      <c r="L43" s="30" t="s">
        <v>30</v>
      </c>
    </row>
    <row r="44" customHeight="1" spans="1:12">
      <c r="A44" s="2">
        <f t="shared" si="1"/>
        <v>1001201528</v>
      </c>
      <c r="B44" s="18">
        <v>100100</v>
      </c>
      <c r="C44" s="8">
        <v>4</v>
      </c>
      <c r="D44" s="18">
        <v>28</v>
      </c>
      <c r="E44" s="18">
        <v>2</v>
      </c>
      <c r="F44" s="18"/>
      <c r="G44" s="18">
        <v>15</v>
      </c>
      <c r="H44" s="19">
        <v>0</v>
      </c>
      <c r="I44" s="31">
        <v>30010006</v>
      </c>
      <c r="J44" s="18"/>
      <c r="K44" s="18">
        <v>0</v>
      </c>
      <c r="L44" s="32" t="s">
        <v>31</v>
      </c>
    </row>
    <row r="45" customHeight="1" spans="1:12">
      <c r="A45" s="2">
        <f t="shared" si="1"/>
        <v>1001400317</v>
      </c>
      <c r="B45" s="20">
        <v>100100</v>
      </c>
      <c r="C45" s="8">
        <v>1</v>
      </c>
      <c r="D45" s="20">
        <v>17</v>
      </c>
      <c r="E45" s="20">
        <v>4</v>
      </c>
      <c r="F45" s="20"/>
      <c r="G45" s="20">
        <v>3</v>
      </c>
      <c r="H45" s="21">
        <v>0</v>
      </c>
      <c r="I45" s="33"/>
      <c r="J45" s="20"/>
      <c r="K45" s="20">
        <v>0</v>
      </c>
      <c r="L45" s="34" t="s">
        <v>32</v>
      </c>
    </row>
    <row r="46" customHeight="1" spans="1:12">
      <c r="A46" s="2">
        <f t="shared" si="1"/>
        <v>1001400417</v>
      </c>
      <c r="B46" s="22">
        <v>100100</v>
      </c>
      <c r="C46" s="8">
        <v>1</v>
      </c>
      <c r="D46" s="22">
        <v>17</v>
      </c>
      <c r="E46" s="22">
        <v>4</v>
      </c>
      <c r="F46" s="22"/>
      <c r="G46" s="22">
        <v>4</v>
      </c>
      <c r="H46" s="23">
        <v>0</v>
      </c>
      <c r="I46" s="35"/>
      <c r="J46" s="22"/>
      <c r="K46" s="22">
        <v>0</v>
      </c>
      <c r="L46" s="36" t="s">
        <v>33</v>
      </c>
    </row>
    <row r="47" customHeight="1" spans="1:12">
      <c r="A47" s="2">
        <f t="shared" si="1"/>
        <v>1001400517</v>
      </c>
      <c r="B47" s="22">
        <v>100100</v>
      </c>
      <c r="C47" s="8">
        <v>1</v>
      </c>
      <c r="D47" s="22">
        <v>17</v>
      </c>
      <c r="E47" s="22">
        <v>4</v>
      </c>
      <c r="F47" s="22"/>
      <c r="G47" s="22">
        <v>5</v>
      </c>
      <c r="H47" s="23">
        <v>0</v>
      </c>
      <c r="I47" s="35"/>
      <c r="J47" s="22"/>
      <c r="K47" s="22">
        <v>0</v>
      </c>
      <c r="L47" s="36" t="s">
        <v>34</v>
      </c>
    </row>
    <row r="48" customFormat="1" customHeight="1" spans="1:12">
      <c r="A48" s="2">
        <f t="shared" si="1"/>
        <v>1001400130</v>
      </c>
      <c r="B48" s="22">
        <v>100100</v>
      </c>
      <c r="C48" s="8">
        <v>1</v>
      </c>
      <c r="D48" s="22">
        <v>30</v>
      </c>
      <c r="E48" s="22">
        <v>4</v>
      </c>
      <c r="F48" s="22"/>
      <c r="G48" s="22">
        <v>1</v>
      </c>
      <c r="H48" s="23">
        <v>0</v>
      </c>
      <c r="I48" s="35">
        <v>30010007</v>
      </c>
      <c r="J48" s="22"/>
      <c r="K48" s="22">
        <v>0</v>
      </c>
      <c r="L48" s="36" t="s">
        <v>35</v>
      </c>
    </row>
    <row r="49" s="5" customFormat="1" customHeight="1" spans="1:12">
      <c r="A49" s="2">
        <v>1007300301</v>
      </c>
      <c r="B49" s="14">
        <v>100700</v>
      </c>
      <c r="C49" s="8">
        <v>4</v>
      </c>
      <c r="D49" s="24" t="s">
        <v>36</v>
      </c>
      <c r="E49" s="14">
        <v>3</v>
      </c>
      <c r="F49" s="14"/>
      <c r="G49" s="14">
        <v>3</v>
      </c>
      <c r="H49" s="15">
        <v>2</v>
      </c>
      <c r="I49" s="15"/>
      <c r="J49" s="14"/>
      <c r="K49" s="14"/>
      <c r="L49" s="10"/>
    </row>
    <row r="50" s="5" customFormat="1" customHeight="1" spans="1:12">
      <c r="A50" s="2">
        <v>1007300302</v>
      </c>
      <c r="B50" s="14">
        <v>100700</v>
      </c>
      <c r="C50" s="8">
        <v>4</v>
      </c>
      <c r="D50" s="24" t="s">
        <v>37</v>
      </c>
      <c r="E50" s="14">
        <v>3</v>
      </c>
      <c r="F50" s="14"/>
      <c r="G50" s="14">
        <v>3</v>
      </c>
      <c r="H50" s="15">
        <v>2</v>
      </c>
      <c r="I50" s="15"/>
      <c r="J50" s="14"/>
      <c r="K50" s="14"/>
      <c r="L50" s="10"/>
    </row>
    <row r="51" s="5" customFormat="1" customHeight="1" spans="1:12">
      <c r="A51" s="2">
        <v>1007300303</v>
      </c>
      <c r="B51" s="14">
        <v>100700</v>
      </c>
      <c r="C51" s="8">
        <v>4</v>
      </c>
      <c r="D51" s="24" t="s">
        <v>38</v>
      </c>
      <c r="E51" s="14">
        <v>3</v>
      </c>
      <c r="F51" s="14"/>
      <c r="G51" s="14">
        <v>3</v>
      </c>
      <c r="H51" s="15">
        <v>4</v>
      </c>
      <c r="I51" s="15"/>
      <c r="J51" s="14"/>
      <c r="K51" s="14"/>
      <c r="L51" s="10"/>
    </row>
    <row r="52" s="5" customFormat="1" customHeight="1" spans="1:12">
      <c r="A52" s="2">
        <v>1007300304</v>
      </c>
      <c r="B52" s="14">
        <v>100700</v>
      </c>
      <c r="C52" s="8">
        <v>4</v>
      </c>
      <c r="D52" s="24" t="s">
        <v>39</v>
      </c>
      <c r="E52" s="14">
        <v>3</v>
      </c>
      <c r="F52" s="14"/>
      <c r="G52" s="14">
        <v>3</v>
      </c>
      <c r="H52" s="15">
        <v>4</v>
      </c>
      <c r="I52" s="15"/>
      <c r="J52" s="14"/>
      <c r="K52" s="14"/>
      <c r="L52" s="10"/>
    </row>
    <row r="53" s="5" customFormat="1" customHeight="1" spans="1:12">
      <c r="A53" s="2">
        <v>1007300305</v>
      </c>
      <c r="B53" s="14">
        <v>100700</v>
      </c>
      <c r="C53" s="8">
        <v>4</v>
      </c>
      <c r="D53" s="24" t="s">
        <v>40</v>
      </c>
      <c r="E53" s="14">
        <v>3</v>
      </c>
      <c r="F53" s="14"/>
      <c r="G53" s="14">
        <v>3</v>
      </c>
      <c r="H53" s="15">
        <v>6</v>
      </c>
      <c r="I53" s="15"/>
      <c r="J53" s="14"/>
      <c r="K53" s="14"/>
      <c r="L53" s="10"/>
    </row>
    <row r="54" s="5" customFormat="1" customHeight="1" spans="1:12">
      <c r="A54" s="2">
        <v>1007300306</v>
      </c>
      <c r="B54" s="14">
        <v>100700</v>
      </c>
      <c r="C54" s="8">
        <v>4</v>
      </c>
      <c r="D54" s="24" t="s">
        <v>41</v>
      </c>
      <c r="E54" s="14">
        <v>3</v>
      </c>
      <c r="F54" s="14"/>
      <c r="G54" s="14">
        <v>3</v>
      </c>
      <c r="H54" s="15">
        <v>8</v>
      </c>
      <c r="I54" s="15"/>
      <c r="J54" s="14"/>
      <c r="K54" s="14"/>
      <c r="L54" s="10"/>
    </row>
    <row r="55" s="5" customFormat="1" customHeight="1" spans="1:12">
      <c r="A55" s="2">
        <v>1007300307</v>
      </c>
      <c r="B55" s="14">
        <v>100700</v>
      </c>
      <c r="C55" s="8">
        <v>4</v>
      </c>
      <c r="D55" s="24" t="s">
        <v>42</v>
      </c>
      <c r="E55" s="14">
        <v>3</v>
      </c>
      <c r="F55" s="14"/>
      <c r="G55" s="14">
        <v>3</v>
      </c>
      <c r="H55" s="15">
        <v>10</v>
      </c>
      <c r="I55" s="15"/>
      <c r="J55" s="14"/>
      <c r="K55" s="14"/>
      <c r="L55" s="10"/>
    </row>
    <row r="56" s="5" customFormat="1" customHeight="1" spans="1:12">
      <c r="A56" s="2">
        <v>1007300308</v>
      </c>
      <c r="B56" s="14">
        <v>100700</v>
      </c>
      <c r="C56" s="8">
        <v>4</v>
      </c>
      <c r="D56" s="24" t="s">
        <v>43</v>
      </c>
      <c r="E56" s="14">
        <v>3</v>
      </c>
      <c r="F56" s="14"/>
      <c r="G56" s="14">
        <v>3</v>
      </c>
      <c r="H56" s="15">
        <v>15</v>
      </c>
      <c r="I56" s="15"/>
      <c r="J56" s="14"/>
      <c r="K56" s="14"/>
      <c r="L56" s="10"/>
    </row>
    <row r="57" s="5" customFormat="1" customHeight="1" outlineLevel="1" spans="1:12">
      <c r="A57" s="2">
        <v>1007300401</v>
      </c>
      <c r="B57" s="14">
        <v>100700</v>
      </c>
      <c r="C57" s="8">
        <v>4</v>
      </c>
      <c r="D57" s="24" t="s">
        <v>36</v>
      </c>
      <c r="E57" s="14">
        <v>3</v>
      </c>
      <c r="F57" s="14"/>
      <c r="G57" s="14">
        <v>4</v>
      </c>
      <c r="H57" s="15">
        <v>5</v>
      </c>
      <c r="I57" s="15"/>
      <c r="J57" s="14"/>
      <c r="K57" s="14"/>
      <c r="L57" s="10"/>
    </row>
    <row r="58" s="5" customFormat="1" customHeight="1" outlineLevel="1" spans="1:12">
      <c r="A58" s="2">
        <v>1007300402</v>
      </c>
      <c r="B58" s="14">
        <v>100700</v>
      </c>
      <c r="C58" s="8">
        <v>4</v>
      </c>
      <c r="D58" s="24" t="s">
        <v>37</v>
      </c>
      <c r="E58" s="14">
        <v>3</v>
      </c>
      <c r="F58" s="14"/>
      <c r="G58" s="14">
        <v>4</v>
      </c>
      <c r="H58" s="15">
        <v>5</v>
      </c>
      <c r="I58" s="15"/>
      <c r="J58" s="14"/>
      <c r="K58" s="14"/>
      <c r="L58" s="10"/>
    </row>
    <row r="59" s="5" customFormat="1" customHeight="1" outlineLevel="1" spans="1:12">
      <c r="A59" s="2">
        <v>1007300403</v>
      </c>
      <c r="B59" s="14">
        <v>100700</v>
      </c>
      <c r="C59" s="8">
        <v>4</v>
      </c>
      <c r="D59" s="24" t="s">
        <v>38</v>
      </c>
      <c r="E59" s="14">
        <v>3</v>
      </c>
      <c r="F59" s="14"/>
      <c r="G59" s="14">
        <v>4</v>
      </c>
      <c r="H59" s="15">
        <v>10</v>
      </c>
      <c r="I59" s="15"/>
      <c r="J59" s="14"/>
      <c r="K59" s="14"/>
      <c r="L59" s="10"/>
    </row>
    <row r="60" s="5" customFormat="1" customHeight="1" outlineLevel="1" spans="1:12">
      <c r="A60" s="2">
        <v>1007300404</v>
      </c>
      <c r="B60" s="14">
        <v>100700</v>
      </c>
      <c r="C60" s="8">
        <v>4</v>
      </c>
      <c r="D60" s="24" t="s">
        <v>39</v>
      </c>
      <c r="E60" s="14">
        <v>3</v>
      </c>
      <c r="F60" s="14"/>
      <c r="G60" s="14">
        <v>4</v>
      </c>
      <c r="H60" s="15">
        <v>10</v>
      </c>
      <c r="I60" s="15"/>
      <c r="J60" s="14"/>
      <c r="K60" s="14"/>
      <c r="L60" s="10"/>
    </row>
    <row r="61" s="5" customFormat="1" customHeight="1" outlineLevel="1" spans="1:12">
      <c r="A61" s="2">
        <v>1007300405</v>
      </c>
      <c r="B61" s="14">
        <v>100700</v>
      </c>
      <c r="C61" s="8">
        <v>4</v>
      </c>
      <c r="D61" s="24" t="s">
        <v>40</v>
      </c>
      <c r="E61" s="14">
        <v>3</v>
      </c>
      <c r="F61" s="14"/>
      <c r="G61" s="14">
        <v>4</v>
      </c>
      <c r="H61" s="15">
        <v>15</v>
      </c>
      <c r="I61" s="15"/>
      <c r="J61" s="14"/>
      <c r="K61" s="14"/>
      <c r="L61" s="10"/>
    </row>
    <row r="62" s="5" customFormat="1" customHeight="1" outlineLevel="1" spans="1:12">
      <c r="A62" s="2">
        <v>1007300406</v>
      </c>
      <c r="B62" s="14">
        <v>100700</v>
      </c>
      <c r="C62" s="8">
        <v>4</v>
      </c>
      <c r="D62" s="24" t="s">
        <v>41</v>
      </c>
      <c r="E62" s="14">
        <v>3</v>
      </c>
      <c r="F62" s="14"/>
      <c r="G62" s="14">
        <v>4</v>
      </c>
      <c r="H62" s="15">
        <v>20</v>
      </c>
      <c r="I62" s="15"/>
      <c r="J62" s="14"/>
      <c r="K62" s="14"/>
      <c r="L62" s="10"/>
    </row>
    <row r="63" s="5" customFormat="1" customHeight="1" outlineLevel="1" spans="1:12">
      <c r="A63" s="2">
        <v>1007300407</v>
      </c>
      <c r="B63" s="14">
        <v>100700</v>
      </c>
      <c r="C63" s="8">
        <v>4</v>
      </c>
      <c r="D63" s="24" t="s">
        <v>42</v>
      </c>
      <c r="E63" s="14">
        <v>3</v>
      </c>
      <c r="F63" s="14"/>
      <c r="G63" s="14">
        <v>4</v>
      </c>
      <c r="H63" s="15">
        <v>40</v>
      </c>
      <c r="I63" s="15"/>
      <c r="J63" s="14"/>
      <c r="K63" s="14"/>
      <c r="L63" s="10"/>
    </row>
    <row r="64" s="5" customFormat="1" customHeight="1" outlineLevel="1" spans="1:12">
      <c r="A64" s="2">
        <v>1007300408</v>
      </c>
      <c r="B64" s="14">
        <v>100700</v>
      </c>
      <c r="C64" s="8">
        <v>4</v>
      </c>
      <c r="D64" s="24" t="s">
        <v>43</v>
      </c>
      <c r="E64" s="14">
        <v>3</v>
      </c>
      <c r="F64" s="14"/>
      <c r="G64" s="14">
        <v>4</v>
      </c>
      <c r="H64" s="15">
        <v>60</v>
      </c>
      <c r="I64" s="15"/>
      <c r="J64" s="14"/>
      <c r="K64" s="14"/>
      <c r="L64" s="10"/>
    </row>
    <row r="65" s="5" customFormat="1" customHeight="1" outlineLevel="1" spans="1:12">
      <c r="A65" s="2">
        <v>1007300501</v>
      </c>
      <c r="B65" s="14">
        <v>100700</v>
      </c>
      <c r="C65" s="8">
        <v>4</v>
      </c>
      <c r="D65" s="24" t="s">
        <v>36</v>
      </c>
      <c r="E65" s="14">
        <v>3</v>
      </c>
      <c r="F65" s="14"/>
      <c r="G65" s="14">
        <v>5</v>
      </c>
      <c r="H65" s="15">
        <v>10</v>
      </c>
      <c r="I65" s="15"/>
      <c r="J65" s="14"/>
      <c r="K65" s="14"/>
      <c r="L65" s="10"/>
    </row>
    <row r="66" s="5" customFormat="1" customHeight="1" outlineLevel="1" spans="1:12">
      <c r="A66" s="2">
        <v>1007300502</v>
      </c>
      <c r="B66" s="14">
        <v>100700</v>
      </c>
      <c r="C66" s="8">
        <v>4</v>
      </c>
      <c r="D66" s="24" t="s">
        <v>37</v>
      </c>
      <c r="E66" s="14">
        <v>3</v>
      </c>
      <c r="F66" s="14"/>
      <c r="G66" s="14">
        <v>5</v>
      </c>
      <c r="H66" s="15">
        <v>10</v>
      </c>
      <c r="I66" s="15"/>
      <c r="J66" s="14"/>
      <c r="K66" s="14"/>
      <c r="L66" s="10"/>
    </row>
    <row r="67" s="5" customFormat="1" customHeight="1" outlineLevel="1" spans="1:12">
      <c r="A67" s="2">
        <v>1007300503</v>
      </c>
      <c r="B67" s="14">
        <v>100700</v>
      </c>
      <c r="C67" s="8">
        <v>4</v>
      </c>
      <c r="D67" s="24" t="s">
        <v>38</v>
      </c>
      <c r="E67" s="14">
        <v>3</v>
      </c>
      <c r="F67" s="14"/>
      <c r="G67" s="14">
        <v>5</v>
      </c>
      <c r="H67" s="15">
        <v>20</v>
      </c>
      <c r="I67" s="15"/>
      <c r="J67" s="14"/>
      <c r="K67" s="14"/>
      <c r="L67" s="10"/>
    </row>
    <row r="68" s="5" customFormat="1" customHeight="1" outlineLevel="1" spans="1:12">
      <c r="A68" s="2">
        <v>1007300504</v>
      </c>
      <c r="B68" s="14">
        <v>100700</v>
      </c>
      <c r="C68" s="8">
        <v>4</v>
      </c>
      <c r="D68" s="24" t="s">
        <v>39</v>
      </c>
      <c r="E68" s="14">
        <v>3</v>
      </c>
      <c r="F68" s="14"/>
      <c r="G68" s="14">
        <v>5</v>
      </c>
      <c r="H68" s="15">
        <v>20</v>
      </c>
      <c r="I68" s="15"/>
      <c r="J68" s="14"/>
      <c r="K68" s="14"/>
      <c r="L68" s="10"/>
    </row>
    <row r="69" s="5" customFormat="1" customHeight="1" outlineLevel="1" spans="1:12">
      <c r="A69" s="2">
        <v>1007300505</v>
      </c>
      <c r="B69" s="14">
        <v>100700</v>
      </c>
      <c r="C69" s="8">
        <v>4</v>
      </c>
      <c r="D69" s="24" t="s">
        <v>40</v>
      </c>
      <c r="E69" s="14">
        <v>3</v>
      </c>
      <c r="F69" s="14"/>
      <c r="G69" s="14">
        <v>5</v>
      </c>
      <c r="H69" s="15">
        <v>30</v>
      </c>
      <c r="I69" s="15"/>
      <c r="J69" s="14"/>
      <c r="K69" s="14"/>
      <c r="L69" s="10"/>
    </row>
    <row r="70" s="5" customFormat="1" customHeight="1" outlineLevel="1" spans="1:12">
      <c r="A70" s="2">
        <v>1007300506</v>
      </c>
      <c r="B70" s="14">
        <v>100700</v>
      </c>
      <c r="C70" s="8">
        <v>4</v>
      </c>
      <c r="D70" s="24" t="s">
        <v>41</v>
      </c>
      <c r="E70" s="14">
        <v>3</v>
      </c>
      <c r="F70" s="14"/>
      <c r="G70" s="14">
        <v>5</v>
      </c>
      <c r="H70" s="15">
        <v>40</v>
      </c>
      <c r="I70" s="15"/>
      <c r="J70" s="14"/>
      <c r="K70" s="14"/>
      <c r="L70" s="10"/>
    </row>
    <row r="71" s="5" customFormat="1" customHeight="1" outlineLevel="1" spans="1:12">
      <c r="A71" s="2">
        <v>1007300507</v>
      </c>
      <c r="B71" s="14">
        <v>100700</v>
      </c>
      <c r="C71" s="8">
        <v>4</v>
      </c>
      <c r="D71" s="24" t="s">
        <v>42</v>
      </c>
      <c r="E71" s="14">
        <v>3</v>
      </c>
      <c r="F71" s="14"/>
      <c r="G71" s="14">
        <v>5</v>
      </c>
      <c r="H71" s="15">
        <v>80</v>
      </c>
      <c r="I71" s="15"/>
      <c r="J71" s="14"/>
      <c r="K71" s="14"/>
      <c r="L71" s="10"/>
    </row>
    <row r="72" s="5" customFormat="1" customHeight="1" outlineLevel="1" spans="1:12">
      <c r="A72" s="2">
        <v>1007300508</v>
      </c>
      <c r="B72" s="14">
        <v>100700</v>
      </c>
      <c r="C72" s="8">
        <v>4</v>
      </c>
      <c r="D72" s="24" t="s">
        <v>43</v>
      </c>
      <c r="E72" s="14">
        <v>3</v>
      </c>
      <c r="F72" s="14"/>
      <c r="G72" s="14">
        <v>5</v>
      </c>
      <c r="H72" s="15">
        <v>120</v>
      </c>
      <c r="I72" s="15"/>
      <c r="J72" s="14"/>
      <c r="K72" s="14"/>
      <c r="L72" s="10"/>
    </row>
    <row r="73" s="5" customFormat="1" customHeight="1" spans="1:12">
      <c r="A73" s="2">
        <f t="shared" ref="A73:A85" si="2">(B73)*10000+D73+G73*100+E73*100000</f>
        <v>1007400310</v>
      </c>
      <c r="B73" s="14">
        <v>100700</v>
      </c>
      <c r="C73" s="8">
        <v>4</v>
      </c>
      <c r="D73" s="14">
        <v>10</v>
      </c>
      <c r="E73" s="14">
        <v>4</v>
      </c>
      <c r="F73" s="14"/>
      <c r="G73" s="14">
        <v>3</v>
      </c>
      <c r="H73" s="15">
        <v>0</v>
      </c>
      <c r="I73" s="15">
        <v>30070001</v>
      </c>
      <c r="J73" s="14"/>
      <c r="K73" s="14"/>
      <c r="L73" s="10"/>
    </row>
    <row r="74" s="5" customFormat="1" customHeight="1" spans="1:12">
      <c r="A74" s="2">
        <f t="shared" si="2"/>
        <v>1007400410</v>
      </c>
      <c r="B74" s="14">
        <v>100700</v>
      </c>
      <c r="C74" s="8">
        <v>4</v>
      </c>
      <c r="D74" s="14">
        <v>10</v>
      </c>
      <c r="E74" s="14">
        <v>4</v>
      </c>
      <c r="F74" s="14"/>
      <c r="G74" s="14">
        <v>4</v>
      </c>
      <c r="H74" s="15">
        <v>0</v>
      </c>
      <c r="I74" s="15">
        <v>30070002</v>
      </c>
      <c r="J74" s="14"/>
      <c r="K74" s="14"/>
      <c r="L74" s="10"/>
    </row>
    <row r="75" s="6" customFormat="1" customHeight="1" spans="1:12">
      <c r="A75" s="2">
        <f t="shared" si="2"/>
        <v>1014500502</v>
      </c>
      <c r="B75" s="37">
        <v>101400</v>
      </c>
      <c r="C75" s="8">
        <v>4</v>
      </c>
      <c r="D75" s="37">
        <v>2</v>
      </c>
      <c r="E75" s="37">
        <v>5</v>
      </c>
      <c r="F75" s="37"/>
      <c r="G75" s="37">
        <v>5</v>
      </c>
      <c r="H75" s="38">
        <v>1</v>
      </c>
      <c r="I75" s="38"/>
      <c r="J75" s="37"/>
      <c r="K75" s="37"/>
      <c r="L75" s="10"/>
    </row>
    <row r="76" s="6" customFormat="1" customHeight="1" spans="1:12">
      <c r="A76" s="2">
        <f t="shared" si="2"/>
        <v>1014500503</v>
      </c>
      <c r="B76" s="37">
        <v>101400</v>
      </c>
      <c r="C76" s="8">
        <v>4</v>
      </c>
      <c r="D76" s="37">
        <v>3</v>
      </c>
      <c r="E76" s="37">
        <v>5</v>
      </c>
      <c r="F76" s="37"/>
      <c r="G76" s="37">
        <v>5</v>
      </c>
      <c r="H76" s="38">
        <v>1</v>
      </c>
      <c r="I76" s="38"/>
      <c r="J76" s="37"/>
      <c r="K76" s="37"/>
      <c r="L76" s="10"/>
    </row>
    <row r="77" s="6" customFormat="1" customHeight="1" spans="1:12">
      <c r="A77" s="2">
        <f t="shared" si="2"/>
        <v>1014500504</v>
      </c>
      <c r="B77" s="37">
        <v>101400</v>
      </c>
      <c r="C77" s="8">
        <v>4</v>
      </c>
      <c r="D77" s="37">
        <v>4</v>
      </c>
      <c r="E77" s="37">
        <v>5</v>
      </c>
      <c r="F77" s="37"/>
      <c r="G77" s="37">
        <v>5</v>
      </c>
      <c r="H77" s="38">
        <v>1</v>
      </c>
      <c r="I77" s="38"/>
      <c r="J77" s="37"/>
      <c r="K77" s="37"/>
      <c r="L77" s="10"/>
    </row>
    <row r="78" s="6" customFormat="1" customHeight="1" spans="1:12">
      <c r="A78" s="2">
        <f t="shared" si="2"/>
        <v>1014500505</v>
      </c>
      <c r="B78" s="37">
        <v>101400</v>
      </c>
      <c r="C78" s="8">
        <v>4</v>
      </c>
      <c r="D78" s="37">
        <v>5</v>
      </c>
      <c r="E78" s="37">
        <v>5</v>
      </c>
      <c r="F78" s="37"/>
      <c r="G78" s="37">
        <v>5</v>
      </c>
      <c r="H78" s="38">
        <v>2</v>
      </c>
      <c r="I78" s="38"/>
      <c r="J78" s="37"/>
      <c r="K78" s="37"/>
      <c r="L78" s="10"/>
    </row>
    <row r="79" s="6" customFormat="1" customHeight="1" spans="1:12">
      <c r="A79" s="2">
        <f t="shared" si="2"/>
        <v>1014500506</v>
      </c>
      <c r="B79" s="37">
        <v>101400</v>
      </c>
      <c r="C79" s="8">
        <v>4</v>
      </c>
      <c r="D79" s="37">
        <v>6</v>
      </c>
      <c r="E79" s="37">
        <v>5</v>
      </c>
      <c r="F79" s="37"/>
      <c r="G79" s="37">
        <v>5</v>
      </c>
      <c r="H79" s="38">
        <v>2</v>
      </c>
      <c r="I79" s="38"/>
      <c r="J79" s="37"/>
      <c r="K79" s="37"/>
      <c r="L79" s="10"/>
    </row>
    <row r="80" s="6" customFormat="1" customHeight="1" spans="1:12">
      <c r="A80" s="2">
        <f t="shared" si="2"/>
        <v>1014500507</v>
      </c>
      <c r="B80" s="37">
        <v>101400</v>
      </c>
      <c r="C80" s="8">
        <v>4</v>
      </c>
      <c r="D80" s="37">
        <v>7</v>
      </c>
      <c r="E80" s="37">
        <v>5</v>
      </c>
      <c r="F80" s="37"/>
      <c r="G80" s="37">
        <v>5</v>
      </c>
      <c r="H80" s="38">
        <v>2</v>
      </c>
      <c r="I80" s="38"/>
      <c r="J80" s="37"/>
      <c r="K80" s="37"/>
      <c r="L80" s="10"/>
    </row>
    <row r="81" s="6" customFormat="1" customHeight="1" spans="1:12">
      <c r="A81" s="2">
        <f t="shared" si="2"/>
        <v>1014500508</v>
      </c>
      <c r="B81" s="37">
        <v>101400</v>
      </c>
      <c r="C81" s="8">
        <v>4</v>
      </c>
      <c r="D81" s="37">
        <v>8</v>
      </c>
      <c r="E81" s="37">
        <v>5</v>
      </c>
      <c r="F81" s="37"/>
      <c r="G81" s="37">
        <v>5</v>
      </c>
      <c r="H81" s="38">
        <v>3</v>
      </c>
      <c r="I81" s="38"/>
      <c r="J81" s="37"/>
      <c r="K81" s="37"/>
      <c r="L81" s="10"/>
    </row>
    <row r="82" s="6" customFormat="1" customHeight="1" spans="1:12">
      <c r="A82" s="2">
        <f t="shared" si="2"/>
        <v>1014500509</v>
      </c>
      <c r="B82" s="37">
        <v>101400</v>
      </c>
      <c r="C82" s="8">
        <v>4</v>
      </c>
      <c r="D82" s="37">
        <v>9</v>
      </c>
      <c r="E82" s="37">
        <v>5</v>
      </c>
      <c r="F82" s="37"/>
      <c r="G82" s="37">
        <v>5</v>
      </c>
      <c r="H82" s="38">
        <v>3</v>
      </c>
      <c r="I82" s="38"/>
      <c r="J82" s="37"/>
      <c r="K82" s="37"/>
      <c r="L82" s="10"/>
    </row>
    <row r="83" s="6" customFormat="1" customHeight="1" spans="1:12">
      <c r="A83" s="2">
        <f t="shared" si="2"/>
        <v>1014500510</v>
      </c>
      <c r="B83" s="37">
        <v>101400</v>
      </c>
      <c r="C83" s="8">
        <v>4</v>
      </c>
      <c r="D83" s="37">
        <v>10</v>
      </c>
      <c r="E83" s="37">
        <v>5</v>
      </c>
      <c r="F83" s="37"/>
      <c r="G83" s="37">
        <v>5</v>
      </c>
      <c r="H83" s="38">
        <v>4</v>
      </c>
      <c r="I83" s="38"/>
      <c r="J83" s="37"/>
      <c r="K83" s="37"/>
      <c r="L83" s="10"/>
    </row>
    <row r="84" s="6" customFormat="1" customHeight="1" spans="1:12">
      <c r="A84" s="2">
        <f t="shared" si="2"/>
        <v>1014500511</v>
      </c>
      <c r="B84" s="37">
        <v>101400</v>
      </c>
      <c r="C84" s="8">
        <v>4</v>
      </c>
      <c r="D84" s="37">
        <v>11</v>
      </c>
      <c r="E84" s="37">
        <v>5</v>
      </c>
      <c r="F84" s="37"/>
      <c r="G84" s="37">
        <v>5</v>
      </c>
      <c r="H84" s="38">
        <v>5</v>
      </c>
      <c r="I84" s="38"/>
      <c r="J84" s="37"/>
      <c r="K84" s="37"/>
      <c r="L84" s="10"/>
    </row>
    <row r="85" s="6" customFormat="1" customHeight="1" spans="1:12">
      <c r="A85" s="2">
        <f t="shared" si="2"/>
        <v>1014400513</v>
      </c>
      <c r="B85" s="37">
        <v>101400</v>
      </c>
      <c r="C85" s="8">
        <v>4</v>
      </c>
      <c r="D85" s="37">
        <v>13</v>
      </c>
      <c r="E85" s="37">
        <v>4</v>
      </c>
      <c r="F85" s="37"/>
      <c r="G85" s="37">
        <v>5</v>
      </c>
      <c r="H85" s="38">
        <v>0</v>
      </c>
      <c r="I85" s="38"/>
      <c r="J85" s="37"/>
      <c r="K85" s="39">
        <v>101400101</v>
      </c>
      <c r="L85" s="10"/>
    </row>
  </sheetData>
  <autoFilter xmlns:etc="http://www.wps.cn/officeDocument/2017/etCustomData" ref="B1:L85" etc:filterBottomFollowUsedRange="0">
    <extLst/>
  </autoFilter>
  <conditionalFormatting sqref="B43">
    <cfRule type="expression" dxfId="0" priority="18">
      <formula>MOD($B43,2)=1</formula>
    </cfRule>
  </conditionalFormatting>
  <conditionalFormatting sqref="C43">
    <cfRule type="expression" dxfId="0" priority="16">
      <formula>MOD($B43,2)=1</formula>
    </cfRule>
  </conditionalFormatting>
  <conditionalFormatting sqref="A48">
    <cfRule type="duplicateValues" dxfId="1" priority="6"/>
  </conditionalFormatting>
  <conditionalFormatting sqref="B48">
    <cfRule type="expression" dxfId="0" priority="4">
      <formula>MOD($B48,2)=1</formula>
    </cfRule>
  </conditionalFormatting>
  <conditionalFormatting sqref="C48">
    <cfRule type="expression" dxfId="0" priority="2">
      <formula>MOD($B48,2)=1</formula>
    </cfRule>
  </conditionalFormatting>
  <conditionalFormatting sqref="E48:F48">
    <cfRule type="expression" dxfId="0" priority="1">
      <formula>MOD($B48,2)=1</formula>
    </cfRule>
  </conditionalFormatting>
  <conditionalFormatting sqref="E73:F73">
    <cfRule type="expression" dxfId="0" priority="44">
      <formula>MOD($B73,2)=1</formula>
    </cfRule>
  </conditionalFormatting>
  <conditionalFormatting sqref="E74:F74">
    <cfRule type="expression" dxfId="0" priority="9">
      <formula>MOD($B74,2)=1</formula>
    </cfRule>
  </conditionalFormatting>
  <conditionalFormatting sqref="C85:L85">
    <cfRule type="expression" dxfId="0" priority="45">
      <formula>MOD($B85,2)=1</formula>
    </cfRule>
  </conditionalFormatting>
  <conditionalFormatting sqref="D65:D72">
    <cfRule type="expression" dxfId="0" priority="7">
      <formula>MOD($B65,2)=1</formula>
    </cfRule>
  </conditionalFormatting>
  <conditionalFormatting sqref="K39:K42">
    <cfRule type="duplicateValues" dxfId="2" priority="20"/>
  </conditionalFormatting>
  <conditionalFormatting sqref="A1:A47 A49:A1048576">
    <cfRule type="duplicateValues" dxfId="1" priority="319"/>
  </conditionalFormatting>
  <conditionalFormatting sqref="B1:L4">
    <cfRule type="expression" dxfId="0" priority="318">
      <formula>MOD($B1,2)=1</formula>
    </cfRule>
  </conditionalFormatting>
  <conditionalFormatting sqref="C5:C42 C44:C47">
    <cfRule type="expression" dxfId="0" priority="49">
      <formula>MOD($B5,2)=1</formula>
    </cfRule>
  </conditionalFormatting>
  <conditionalFormatting sqref="D41:H42 J41:J42 L41:L42 G45:G47 D46:D47 B49:L64 E65:F72 B86:L1048576">
    <cfRule type="expression" dxfId="0" priority="317">
      <formula>MOD($B41,2)=1</formula>
    </cfRule>
  </conditionalFormatting>
  <conditionalFormatting sqref="B41:B42 B44:B47">
    <cfRule type="expression" dxfId="0" priority="52">
      <formula>MOD($B41,2)=1</formula>
    </cfRule>
  </conditionalFormatting>
  <conditionalFormatting sqref="D43:H43 J43:L43">
    <cfRule type="expression" dxfId="0" priority="17">
      <formula>MOD($B43,2)=1</formula>
    </cfRule>
  </conditionalFormatting>
  <conditionalFormatting sqref="D44:H44 J44:L47 H45:H47 D45:D47">
    <cfRule type="expression" dxfId="0" priority="51">
      <formula>MOD($B44,2)=1</formula>
    </cfRule>
  </conditionalFormatting>
  <conditionalFormatting sqref="E45:F47">
    <cfRule type="expression" dxfId="0" priority="48">
      <formula>MOD($B45,2)=1</formula>
    </cfRule>
  </conditionalFormatting>
  <conditionalFormatting sqref="G48 D48">
    <cfRule type="expression" dxfId="0" priority="5">
      <formula>MOD($B48,2)=1</formula>
    </cfRule>
  </conditionalFormatting>
  <conditionalFormatting sqref="J48:L48 H48 D48">
    <cfRule type="expression" dxfId="0" priority="3">
      <formula>MOD($B48,2)=1</formula>
    </cfRule>
  </conditionalFormatting>
  <conditionalFormatting sqref="B65:C72 G65:L72">
    <cfRule type="expression" dxfId="0" priority="47">
      <formula>MOD($B65,2)=1</formula>
    </cfRule>
  </conditionalFormatting>
  <conditionalFormatting sqref="B73:D73 G73:L73">
    <cfRule type="expression" dxfId="0" priority="43">
      <formula>MOD($B73,2)=1</formula>
    </cfRule>
  </conditionalFormatting>
  <conditionalFormatting sqref="B74:D74 G74:L74">
    <cfRule type="expression" dxfId="0" priority="8">
      <formula>MOD($B74,2)=1</formula>
    </cfRule>
  </conditionalFormatting>
  <conditionalFormatting sqref="B75:L84 B85">
    <cfRule type="expression" dxfId="0" priority="46">
      <formula>MOD($B75,2)=1</formula>
    </cfRule>
  </conditionalFormatting>
  <dataValidations count="1">
    <dataValidation type="list" allowBlank="1" showInputMessage="1" showErrorMessage="1" sqref="C1">
      <formula1>"普通,免费,重转,全部"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不懂中文</cp:lastModifiedBy>
  <dcterms:created xsi:type="dcterms:W3CDTF">2015-06-05T18:19:00Z</dcterms:created>
  <dcterms:modified xsi:type="dcterms:W3CDTF">2025-09-05T01:39:15Z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2052-12.1.0.22529</vt:lpwstr>
  </property>
</Properties>
</file>