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<sst xmlns="http://schemas.openxmlformats.org/spreadsheetml/2006/main" count="944" uniqueCount="265">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</sst>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8"/>
  <sheetViews>
    <sheetView tabSelected="1" zoomScale="85" zoomScaleNormal="85" topLeftCell="A155" workbookViewId="0">
      <selection activeCell="F192" sqref="F192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146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62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146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62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146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62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146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62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146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62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146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62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 t="shared" si="7"/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 t="shared" si="7"/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 t="shared" si="7"/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 t="shared" si="7"/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 t="shared" si="7"/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  <row r="178" s="6" customFormat="1" ht="16.5" spans="1:11">
      <c r="A178" s="6">
        <f t="shared" ref="A178:A183" si="8">C178*10+D178</f>
        <v>20370011</v>
      </c>
      <c r="B178" s="14">
        <v>103700</v>
      </c>
      <c r="C178" s="33">
        <v>2037001</v>
      </c>
      <c r="D178" s="33">
        <v>1</v>
      </c>
      <c r="E178" s="18" t="s">
        <v>146</v>
      </c>
      <c r="F178" s="1" t="s">
        <v>20</v>
      </c>
      <c r="G178" s="1" t="s">
        <v>160</v>
      </c>
      <c r="H178" s="1" t="s">
        <v>20</v>
      </c>
      <c r="I178" s="1" t="s">
        <v>161</v>
      </c>
      <c r="J178" s="17"/>
      <c r="K178" s="17"/>
    </row>
    <row r="179" s="6" customFormat="1" ht="16.5" spans="1:11">
      <c r="A179" s="6">
        <f t="shared" si="8"/>
        <v>20370012</v>
      </c>
      <c r="B179" s="14">
        <v>103700</v>
      </c>
      <c r="C179" s="33">
        <v>2037001</v>
      </c>
      <c r="D179" s="33">
        <v>2</v>
      </c>
      <c r="E179" s="18" t="s">
        <v>62</v>
      </c>
      <c r="F179" s="1" t="s">
        <v>20</v>
      </c>
      <c r="G179" s="1" t="s">
        <v>162</v>
      </c>
      <c r="H179" s="1" t="s">
        <v>20</v>
      </c>
      <c r="I179" s="1" t="s">
        <v>163</v>
      </c>
      <c r="J179" s="17"/>
      <c r="K179" s="17"/>
    </row>
    <row r="180" s="6" customFormat="1" ht="16.5" spans="1:11">
      <c r="A180" s="6">
        <f t="shared" si="8"/>
        <v>20370013</v>
      </c>
      <c r="B180" s="14">
        <v>103700</v>
      </c>
      <c r="C180" s="33">
        <v>2037001</v>
      </c>
      <c r="D180" s="33">
        <v>3</v>
      </c>
      <c r="E180" s="18" t="s">
        <v>59</v>
      </c>
      <c r="F180" s="1" t="s">
        <v>20</v>
      </c>
      <c r="G180" s="1" t="s">
        <v>164</v>
      </c>
      <c r="H180" s="1" t="s">
        <v>20</v>
      </c>
      <c r="I180" s="1" t="s">
        <v>165</v>
      </c>
      <c r="J180" s="17"/>
      <c r="K180" s="17"/>
    </row>
    <row r="181" s="6" customFormat="1" ht="16.5" spans="1:11">
      <c r="A181" s="6">
        <f t="shared" si="8"/>
        <v>20370021</v>
      </c>
      <c r="B181" s="14">
        <v>103700</v>
      </c>
      <c r="C181" s="33">
        <v>2037002</v>
      </c>
      <c r="D181" s="33">
        <v>1</v>
      </c>
      <c r="E181" s="18" t="s">
        <v>146</v>
      </c>
      <c r="F181" s="1" t="s">
        <v>20</v>
      </c>
      <c r="G181" s="34" t="s">
        <v>251</v>
      </c>
      <c r="H181" s="1" t="s">
        <v>20</v>
      </c>
      <c r="I181" s="34" t="s">
        <v>251</v>
      </c>
      <c r="J181" s="17"/>
      <c r="K181" s="17"/>
    </row>
    <row r="182" s="6" customFormat="1" ht="16.5" spans="1:11">
      <c r="A182" s="6">
        <f t="shared" si="8"/>
        <v>20370022</v>
      </c>
      <c r="B182" s="14">
        <v>103700</v>
      </c>
      <c r="C182" s="33">
        <v>2037002</v>
      </c>
      <c r="D182" s="33">
        <v>2</v>
      </c>
      <c r="E182" s="18" t="s">
        <v>62</v>
      </c>
      <c r="F182" s="1" t="s">
        <v>20</v>
      </c>
      <c r="G182" s="34" t="s">
        <v>252</v>
      </c>
      <c r="H182" s="1" t="s">
        <v>20</v>
      </c>
      <c r="I182" s="34" t="s">
        <v>252</v>
      </c>
      <c r="J182" s="17"/>
      <c r="K182" s="17"/>
    </row>
    <row r="183" s="6" customFormat="1" ht="16.5" spans="1:11">
      <c r="A183" s="6">
        <f t="shared" si="8"/>
        <v>20370023</v>
      </c>
      <c r="B183" s="14">
        <v>103700</v>
      </c>
      <c r="C183" s="33">
        <v>2037002</v>
      </c>
      <c r="D183" s="33">
        <v>3</v>
      </c>
      <c r="E183" s="18" t="s">
        <v>59</v>
      </c>
      <c r="F183" s="1" t="s">
        <v>20</v>
      </c>
      <c r="G183" s="1" t="s">
        <v>253</v>
      </c>
      <c r="H183" s="1" t="s">
        <v>20</v>
      </c>
      <c r="I183" s="1" t="s">
        <v>253</v>
      </c>
      <c r="J183" s="17"/>
      <c r="K183" s="17"/>
    </row>
    <row r="184" s="6" customFormat="1" ht="16.5" spans="1:11">
      <c r="A184" s="6">
        <f>C184*10+D184</f>
        <v>20310011</v>
      </c>
      <c r="B184" s="14">
        <v>103100</v>
      </c>
      <c r="C184" s="33">
        <v>2031001</v>
      </c>
      <c r="D184" s="33">
        <v>1</v>
      </c>
      <c r="E184" s="18" t="s">
        <v>80</v>
      </c>
      <c r="F184" s="1" t="s">
        <v>20</v>
      </c>
      <c r="G184" s="1" t="s">
        <v>254</v>
      </c>
      <c r="H184" s="1" t="s">
        <v>20</v>
      </c>
      <c r="I184" s="1" t="s">
        <v>255</v>
      </c>
      <c r="J184" s="17"/>
      <c r="K184" s="17"/>
    </row>
    <row r="185" s="6" customFormat="1" ht="16.5" spans="1:11">
      <c r="A185" s="6">
        <f>C185*10+D185</f>
        <v>20310012</v>
      </c>
      <c r="B185" s="14">
        <v>103100</v>
      </c>
      <c r="C185" s="33">
        <v>2031001</v>
      </c>
      <c r="D185" s="33">
        <v>2</v>
      </c>
      <c r="E185" s="18" t="s">
        <v>82</v>
      </c>
      <c r="F185" s="1" t="s">
        <v>20</v>
      </c>
      <c r="G185" s="1" t="s">
        <v>256</v>
      </c>
      <c r="H185" s="1" t="s">
        <v>20</v>
      </c>
      <c r="I185" s="1" t="s">
        <v>257</v>
      </c>
      <c r="J185" s="17"/>
      <c r="K185" s="17"/>
    </row>
    <row r="186" s="6" customFormat="1" ht="16.5" spans="1:11">
      <c r="A186" s="6">
        <f>C186*10+D186</f>
        <v>20310013</v>
      </c>
      <c r="B186" s="14">
        <v>103100</v>
      </c>
      <c r="C186" s="33">
        <v>2031001</v>
      </c>
      <c r="D186" s="33">
        <v>3</v>
      </c>
      <c r="E186" s="18" t="s">
        <v>84</v>
      </c>
      <c r="F186" s="1" t="s">
        <v>20</v>
      </c>
      <c r="G186" s="1" t="s">
        <v>258</v>
      </c>
      <c r="H186" s="1" t="s">
        <v>20</v>
      </c>
      <c r="I186" s="1" t="s">
        <v>259</v>
      </c>
      <c r="J186" s="17"/>
      <c r="K186" s="17"/>
    </row>
    <row r="187" s="6" customFormat="1" ht="16.5" spans="1:11">
      <c r="A187" s="6">
        <f>C187*10+D187</f>
        <v>20310014</v>
      </c>
      <c r="B187" s="14">
        <v>103100</v>
      </c>
      <c r="C187" s="33">
        <v>2031001</v>
      </c>
      <c r="D187" s="33">
        <v>4</v>
      </c>
      <c r="E187" s="18" t="s">
        <v>86</v>
      </c>
      <c r="F187" s="1" t="s">
        <v>20</v>
      </c>
      <c r="G187" s="1" t="s">
        <v>260</v>
      </c>
      <c r="H187" s="1" t="s">
        <v>20</v>
      </c>
      <c r="I187" s="1" t="s">
        <v>261</v>
      </c>
      <c r="J187" s="17"/>
      <c r="K187" s="17"/>
    </row>
    <row r="188" s="6" customFormat="1" ht="16.5" spans="1:11">
      <c r="A188" s="6">
        <f>C188*10+D188</f>
        <v>20310015</v>
      </c>
      <c r="B188" s="14">
        <v>103100</v>
      </c>
      <c r="C188" s="33">
        <v>2031001</v>
      </c>
      <c r="D188" s="33">
        <v>5</v>
      </c>
      <c r="E188" s="18" t="s">
        <v>262</v>
      </c>
      <c r="F188" s="1" t="s">
        <v>20</v>
      </c>
      <c r="G188" s="1" t="s">
        <v>263</v>
      </c>
      <c r="H188" s="1" t="s">
        <v>20</v>
      </c>
      <c r="I188" s="1" t="s">
        <v>264</v>
      </c>
      <c r="J188" s="17"/>
      <c r="K188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2026-02-02T07:07:49Z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