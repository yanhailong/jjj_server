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3_ncr:1_{D31361EF-5DED-41F0-977A-79480DF293C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1" l="1"/>
  <c r="J77" i="1" s="1"/>
  <c r="J78" i="1" s="1"/>
  <c r="J79" i="1" s="1"/>
  <c r="J80" i="1" s="1"/>
  <c r="J81" i="1" s="1"/>
  <c r="J195" i="1"/>
  <c r="J196" i="1" s="1"/>
  <c r="J197" i="1" s="1"/>
  <c r="J198" i="1" s="1"/>
  <c r="J199" i="1" s="1"/>
  <c r="J200" i="1" s="1"/>
  <c r="I195" i="1"/>
  <c r="I196" i="1" s="1"/>
  <c r="I197" i="1" s="1"/>
  <c r="I198" i="1" s="1"/>
  <c r="I199" i="1" s="1"/>
  <c r="I200" i="1" s="1"/>
  <c r="J188" i="1"/>
  <c r="J189" i="1" s="1"/>
  <c r="J190" i="1" s="1"/>
  <c r="J191" i="1" s="1"/>
  <c r="J192" i="1" s="1"/>
  <c r="J193" i="1" s="1"/>
  <c r="J181" i="1"/>
  <c r="J182" i="1" s="1"/>
  <c r="J183" i="1" s="1"/>
  <c r="J184" i="1" s="1"/>
  <c r="J185" i="1" s="1"/>
  <c r="J186" i="1" s="1"/>
  <c r="J174" i="1"/>
  <c r="J175" i="1" s="1"/>
  <c r="J176" i="1" s="1"/>
  <c r="J177" i="1" s="1"/>
  <c r="J178" i="1" s="1"/>
  <c r="J179" i="1" s="1"/>
  <c r="J167" i="1"/>
  <c r="J168" i="1" s="1"/>
  <c r="J169" i="1" s="1"/>
  <c r="J170" i="1" s="1"/>
  <c r="J171" i="1" s="1"/>
  <c r="J172" i="1" s="1"/>
  <c r="J160" i="1"/>
  <c r="J161" i="1" s="1"/>
  <c r="J162" i="1" s="1"/>
  <c r="J163" i="1" s="1"/>
  <c r="J164" i="1" s="1"/>
  <c r="J165" i="1" s="1"/>
  <c r="J153" i="1"/>
  <c r="J154" i="1" s="1"/>
  <c r="J155" i="1" s="1"/>
  <c r="J156" i="1" s="1"/>
  <c r="J157" i="1" s="1"/>
  <c r="J158" i="1" s="1"/>
  <c r="J146" i="1"/>
  <c r="J147" i="1" s="1"/>
  <c r="J148" i="1" s="1"/>
  <c r="J149" i="1" s="1"/>
  <c r="J150" i="1" s="1"/>
  <c r="J151" i="1" s="1"/>
  <c r="J139" i="1"/>
  <c r="J140" i="1" s="1"/>
  <c r="J141" i="1" s="1"/>
  <c r="J142" i="1" s="1"/>
  <c r="J143" i="1" s="1"/>
  <c r="J144" i="1" s="1"/>
  <c r="J132" i="1"/>
  <c r="J133" i="1" s="1"/>
  <c r="J134" i="1" s="1"/>
  <c r="J135" i="1" s="1"/>
  <c r="J136" i="1" s="1"/>
  <c r="J137" i="1" s="1"/>
  <c r="J125" i="1"/>
  <c r="J126" i="1" s="1"/>
  <c r="J127" i="1" s="1"/>
  <c r="J128" i="1" s="1"/>
  <c r="J129" i="1" s="1"/>
  <c r="J130" i="1" s="1"/>
  <c r="J118" i="1"/>
  <c r="J119" i="1" s="1"/>
  <c r="J120" i="1" s="1"/>
  <c r="J121" i="1" s="1"/>
  <c r="J122" i="1" s="1"/>
  <c r="J123" i="1" s="1"/>
  <c r="J111" i="1"/>
  <c r="J112" i="1" s="1"/>
  <c r="J113" i="1" s="1"/>
  <c r="J114" i="1" s="1"/>
  <c r="J115" i="1" s="1"/>
  <c r="J116" i="1" s="1"/>
  <c r="J104" i="1"/>
  <c r="J105" i="1" s="1"/>
  <c r="J106" i="1" s="1"/>
  <c r="J107" i="1" s="1"/>
  <c r="J108" i="1" s="1"/>
  <c r="J109" i="1" s="1"/>
  <c r="J97" i="1"/>
  <c r="J98" i="1" s="1"/>
  <c r="J99" i="1" s="1"/>
  <c r="J100" i="1" s="1"/>
  <c r="J101" i="1" s="1"/>
  <c r="J102" i="1" s="1"/>
  <c r="J90" i="1"/>
  <c r="J91" i="1" s="1"/>
  <c r="J92" i="1" s="1"/>
  <c r="J93" i="1" s="1"/>
  <c r="J94" i="1" s="1"/>
  <c r="J95" i="1" s="1"/>
  <c r="J83" i="1"/>
  <c r="J84" i="1" s="1"/>
  <c r="J85" i="1" s="1"/>
  <c r="J86" i="1" s="1"/>
  <c r="J87" i="1" s="1"/>
  <c r="J88" i="1" s="1"/>
  <c r="J69" i="1"/>
  <c r="J70" i="1" s="1"/>
  <c r="J71" i="1" s="1"/>
  <c r="J72" i="1" s="1"/>
  <c r="J73" i="1" s="1"/>
  <c r="J74" i="1" s="1"/>
  <c r="I69" i="1"/>
  <c r="I70" i="1" s="1"/>
  <c r="I71" i="1" s="1"/>
  <c r="I72" i="1" s="1"/>
  <c r="I73" i="1" s="1"/>
  <c r="I74" i="1" s="1"/>
  <c r="J62" i="1"/>
  <c r="J63" i="1" s="1"/>
  <c r="J64" i="1" s="1"/>
  <c r="J65" i="1" s="1"/>
  <c r="J66" i="1" s="1"/>
  <c r="J67" i="1" s="1"/>
  <c r="J55" i="1"/>
  <c r="J56" i="1" s="1"/>
  <c r="J57" i="1" s="1"/>
  <c r="J58" i="1" s="1"/>
  <c r="J59" i="1" s="1"/>
  <c r="J60" i="1" s="1"/>
  <c r="J48" i="1"/>
  <c r="J49" i="1" s="1"/>
  <c r="J50" i="1" s="1"/>
  <c r="J51" i="1" s="1"/>
  <c r="J52" i="1" s="1"/>
  <c r="J53" i="1" s="1"/>
  <c r="J41" i="1"/>
  <c r="J42" i="1" s="1"/>
  <c r="J43" i="1" s="1"/>
  <c r="J44" i="1" s="1"/>
  <c r="J45" i="1" s="1"/>
  <c r="J46" i="1" s="1"/>
  <c r="J34" i="1"/>
  <c r="J35" i="1" s="1"/>
  <c r="J36" i="1" s="1"/>
  <c r="J37" i="1" s="1"/>
  <c r="J38" i="1" s="1"/>
  <c r="J39" i="1" s="1"/>
  <c r="J27" i="1"/>
  <c r="J28" i="1" s="1"/>
  <c r="J29" i="1" s="1"/>
  <c r="J30" i="1" s="1"/>
  <c r="J31" i="1" s="1"/>
  <c r="J32" i="1" s="1"/>
  <c r="J20" i="1"/>
  <c r="J21" i="1" s="1"/>
  <c r="J22" i="1" s="1"/>
  <c r="J23" i="1" s="1"/>
  <c r="J24" i="1" s="1"/>
  <c r="J25" i="1" s="1"/>
  <c r="J13" i="1"/>
  <c r="J14" i="1" s="1"/>
  <c r="J15" i="1" s="1"/>
  <c r="J16" i="1" s="1"/>
  <c r="J17" i="1" s="1"/>
  <c r="J18" i="1" s="1"/>
  <c r="J6" i="1"/>
  <c r="J7" i="1" s="1"/>
  <c r="J8" i="1" s="1"/>
  <c r="J9" i="1" s="1"/>
  <c r="J10" i="1" s="1"/>
  <c r="J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chuge</author>
  </authors>
  <commentList>
    <comment ref="E1" authorId="0" shapeId="0" xr:uid="{00000000-0006-0000-0000-000001000000}">
      <text>
        <r>
          <rPr>
            <sz val="9"/>
            <rFont val="宋体"/>
            <family val="3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 shapeId="0" xr:uid="{D13A0393-43CD-4C31-88B4-7DFAF9F54309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 shapeId="0" xr:uid="{3D85FD71-01AA-41F4-99D5-97FDAA17EB05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 shapeId="0" xr:uid="{F18B1896-5CC8-4179-B432-09B7BD6126E8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 shapeId="0" xr:uid="{00000000-0006-0000-0000-000003000000}">
      <text>
        <r>
          <rPr>
            <sz val="9"/>
            <rFont val="宋体"/>
            <family val="3"/>
            <charset val="134"/>
          </rPr>
          <t>[{类型1,[{[倍数区间下限,倍数区间上限],权重值},{[倍数区间下限,倍数区间上限],权重值}]}]</t>
        </r>
      </text>
    </comment>
    <comment ref="K1" authorId="0" shapeId="0" xr:uid="{00000000-0006-0000-0000-000004000000}">
      <text>
        <r>
          <rPr>
            <sz val="9"/>
            <rFont val="宋体"/>
            <family val="3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 shapeId="0" xr:uid="{00000000-0006-0000-0000-000005000000}">
      <text>
        <r>
          <rPr>
            <sz val="9"/>
            <rFont val="宋体"/>
            <family val="3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 shapeId="0" xr:uid="{00000000-0006-0000-0000-000006000000}">
      <text>
        <r>
          <rPr>
            <sz val="9"/>
            <rFont val="宋体"/>
            <family val="3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<sst xmlns="http://schemas.openxmlformats.org/spreadsheetml/2006/main" count="1044" uniqueCount="246">
  <si>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</si>
  <si>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</si>
  <si>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</si>
  <si>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</si>
  <si>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</si>
  <si>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</si>
  <si>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</si>
  <si>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</si>
  <si>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</si>
  <si>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</si>
  <si>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</si>
  <si>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</si>
  <si>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</si>
  <si>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</si>
  <si>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</si>
  <si>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</si>
  <si>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</si>
  <si>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</si>
  <si>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</si>
  <si>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</si>
  <si>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</si>
  <si>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</si>
  <si>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</si>
  <si>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</si>
  <si>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</si>
  <si>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</si>
  <si>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</si>
  <si>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</si>
  <si>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</si>
  <si>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</si>
  <si>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</si>
  <si>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</si>
  <si>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</si>
  <si>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</si>
  <si>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</si>
  <si>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</si>
  <si>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</si>
  <si>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</si>
  <si>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</si>
  <si>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</si>
  <si>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</si>
  <si>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</si>
  <si>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</si>
  <si>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</si>
  <si>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</si>
  <si>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</si>
  <si>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1_9885|2_115</t>
  </si>
  <si>
    <t>1_9905|2_95</t>
  </si>
  <si>
    <t>1_9930|2_70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</si>
  <si>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</si>
  <si>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</si>
  <si>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</si>
  <si>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</si>
  <si>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</si>
  <si>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</si>
  <si>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</si>
  <si>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</si>
  <si>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</si>
  <si>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</si>
  <si>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</si>
  <si>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</si>
  <si>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</si>
  <si>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</si>
  <si>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</si>
  <si>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</si>
  <si>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</si>
  <si>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</si>
  <si>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</si>
  <si>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</si>
  <si>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</si>
  <si>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</si>
  <si>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</si>
  <si>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</si>
  <si>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</si>
  <si>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</si>
  <si>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</si>
  <si>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</si>
  <si>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</si>
  <si>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</si>
  <si>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</si>
  <si>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</si>
  <si>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</si>
  <si>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</si>
  <si>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</si>
  <si>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</si>
  <si>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</si>
  <si>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</si>
  <si>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1000000&amp;999999999_2,31-0|32-0|33-0|34-0|35-0|36-0|37-0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</si>
  <si>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</si>
  <si>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</si>
  <si>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</si>
  <si>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</si>
  <si>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</si>
  <si>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</si>
  <si>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</si>
  <si>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1_9850|2_100|3_50</t>
  </si>
  <si>
    <t>1_9885|2_65|3_50</t>
  </si>
  <si>
    <t>1_9905|2_45|3_50</t>
  </si>
  <si>
    <t>1_9975|2_25|3_0</t>
  </si>
  <si>
    <t>宙斯vs哈迪斯</t>
  </si>
  <si>
    <t>1_9650|2_300|3_50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</si>
  <si>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</si>
  <si>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</si>
  <si>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</si>
  <si>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1_9790|2_160|3_50</t>
  </si>
  <si>
    <t>杰克船长</t>
  </si>
  <si>
    <t>1_9670|2_180|3_100|4_50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</si>
  <si>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</si>
  <si>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</si>
  <si>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</si>
  <si>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</si>
  <si>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</si>
  <si>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</si>
  <si>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</si>
  <si>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</si>
  <si>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</si>
  <si>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</si>
  <si>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</si>
  <si>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</si>
  <si>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</si>
  <si>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</si>
  <si>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</si>
  <si>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</si>
  <si>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</si>
  <si>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</si>
  <si>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</si>
  <si>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</si>
  <si>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</si>
  <si>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</si>
  <si>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</si>
  <si>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</si>
  <si>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</si>
  <si>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</si>
  <si>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</si>
  <si>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</si>
  <si>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</si>
  <si>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</si>
  <si>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</si>
  <si>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</si>
  <si>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</si>
  <si>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1_9500|2_500|3_0</t>
  </si>
  <si>
    <t>虎虎生财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</si>
  <si>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</si>
  <si>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</si>
  <si>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</si>
  <si>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</si>
  <si>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</si>
  <si>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</si>
  <si>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</si>
  <si>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</si>
  <si>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1_8950|2_1000|3_50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</si>
  <si>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</si>
  <si>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</si>
  <si>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1_9550|2_400|3_50</t>
  </si>
  <si>
    <t>恶魔之子</t>
  </si>
  <si>
    <t>1_8750|2_200|3_50|4_1000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</si>
  <si>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</si>
  <si>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</si>
  <si>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</si>
  <si>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</si>
  <si>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</si>
  <si>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</si>
  <si>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</si>
  <si>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</si>
  <si>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</si>
  <si>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</si>
  <si>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</si>
  <si>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</si>
  <si>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</si>
  <si>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</si>
  <si>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</si>
  <si>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</si>
  <si>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</si>
  <si>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</si>
  <si>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</si>
  <si>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</si>
  <si>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</si>
  <si>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1_9810|2_140|3_50</t>
  </si>
  <si>
    <t>1_9830|2_120|3_50</t>
  </si>
  <si>
    <t>1_9910|2_40|3_50</t>
  </si>
  <si>
    <t>1_9930|2_20|3_50</t>
  </si>
  <si>
    <t>澳门壕梦</t>
  </si>
  <si>
    <t>糖果派对</t>
  </si>
  <si>
    <t>根据用户连续未中奖次数权重修改</t>
  </si>
  <si>
    <t>根据用户标记权重修改（SVIP特殊用户）</t>
    <phoneticPr fontId="6" type="noConversion"/>
  </si>
  <si>
    <t>根据用户累计下注次数权重修改（新用户）</t>
    <phoneticPr fontId="6" type="noConversion"/>
  </si>
  <si>
    <t>mark</t>
  </si>
  <si>
    <t>accumulate</t>
  </si>
  <si>
    <t>prizeless</t>
  </si>
  <si>
    <t>weightChange</t>
    <phoneticPr fontId="6" type="noConversion"/>
  </si>
  <si>
    <t>1000000&amp;999999999_2,26-0|27-0|28-0|29-0|30-0|31-0|32-0|33-0|34-0|35-0|36-0|37-0</t>
    <phoneticPr fontId="6" type="noConversion"/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</si>
  <si>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  <phoneticPr fontId="6" type="noConversion"/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</si>
  <si>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  <phoneticPr fontId="6" type="noConversion"/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</si>
  <si>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  <phoneticPr fontId="6" type="noConversion"/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</si>
  <si>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  <phoneticPr fontId="6" type="noConversion"/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</si>
  <si>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  <phoneticPr fontId="6" type="noConversion"/>
  </si>
  <si>
    <t>Map&lt;int{,}list&lt;string&gt;{;}&gt;{#}</t>
  </si>
  <si>
    <t>5,1&amp;0-34000|12-0|13-0|14-0|15-0|16-0|17-0|18-0|19-0|20-0|21-0|22-0|23-0|24-0#8,1&amp;0-10000|12-0|13-0|14-0|15-0|16-0|17-0|18-0|19-0|20-0|21-0|22-0|23-0|24-0#10,1&amp;0-0|12-0|13-0|14-0|15-0|16-0|17-0|18-0|19-0|20-0|21-0|22-0|23-0|24-0</t>
    <phoneticPr fontId="6" type="noConversion"/>
  </si>
  <si>
    <t>5,1&amp;0-30000|2-0|3-0|4-0|5-0|6-0|7-0|8-0|9-0|10-0|11-0|12-0#8,1&amp;0-15000|2-0|3-0|4-0|5-0|6-0|7-0|8-0|9-0|10-0|11-0|12-0#10,1&amp;0-0|2-0|3-0|4-0|5-0|6-0|7-0|8-0|9-0|10-0|11-0|12-0</t>
  </si>
  <si>
    <t>5,1&amp;0-30000|2-0|3-0|4-0|5-0|6-0|7-0|8-0|9-0|10-0|11-0|12-0#8,1&amp;0-15000|2-0|3-0|4-0|5-0|6-0|7-0|8-0|9-0|10-0|11-0|12-0#10,1&amp;0-0|2-0|3-0|4-0|5-0|6-0|7-0|8-0|9-0|10-0|11-0|12-0</t>
    <phoneticPr fontId="6" type="noConversion"/>
  </si>
  <si>
    <t>5,1&amp;0-22000|2-0|3-0|4-0#8,1&amp;0-10000|2-0|3-0|4-0#10,1&amp;0-0|2-0|3-0|4-0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</si>
  <si>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  <phoneticPr fontId="6" type="noConversion"/>
  </si>
  <si>
    <t>5,1&amp;0-35000|2-3000|3-0|4-0|5-0|6-0|7-0|8-0|9-0|10-0|11-0|12-0#8,1&amp;0-14000|2-3000|3-1000|4-500|5-100|6-0|7-0|8-0|9-0|10-0|11-0|12-0#10,1&amp;0-0|2-3000|3-1000|4-500|5-100|6-0|7-0|8-0|9-0|10-0|11-0|12-0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</si>
  <si>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</si>
  <si>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  <phoneticPr fontId="6" type="noConversion"/>
  </si>
  <si>
    <t>5,1&amp;0-35000|2-1000|3-0|4-0|5-0|6-0|7-0|8-0|10-0|11-0#8,1&amp;0-10000|2-1000|3-0|4-0|5-0|6-0|7-0|8-0|10-0|11-0#10,1&amp;0-0|2-1000|3-0|4-0|5-0|6-0|7-0|8-0|10-0|11-0</t>
    <phoneticPr fontId="6" type="noConversion"/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</si>
  <si>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  <phoneticPr fontId="6" type="noConversion"/>
  </si>
  <si>
    <t>30,1&amp;0-15000|6-0|7-0|8-0|9-0|10-0|11-0|12-0|13-0|14-0|15-0|16-0|17-0#70,1&amp;0-30000|12-0|13-0|14-0|15-0|16-0|17-0</t>
    <phoneticPr fontId="6" type="noConversion"/>
  </si>
  <si>
    <t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</si>
  <si>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1000000&amp;999999999_2,23-0|24-0|25-0</t>
    <phoneticPr fontId="6" type="noConversion"/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</si>
  <si>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  <phoneticPr fontId="6" type="noConversion"/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</si>
  <si>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</si>
  <si>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</si>
  <si>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30,1&amp;0-8000|18-0|19-0|20-0|21-0|22-0|23-0#70,1&amp;0-30000|20-0|21-0|22-0|23-0</t>
    <phoneticPr fontId="6" type="noConversion"/>
  </si>
  <si>
    <t>5,1&amp;0-34000|12-0|13-0|14-0|15-0|16-0|17-0|18-0|19-0|20-0|21-0|22-0|23-0#8,1&amp;0-10000|12-0|13-0|14-0|15-0|16-0|17-0|18-0|19-0|20-0|21-0|22-0|23-0#10,1&amp;0-0|12-0|13-0|14-0|15-0|16-0|17-0|18-0|19-0|20-0|21-0|22-0|23-0</t>
    <phoneticPr fontId="6" type="noConversion"/>
  </si>
  <si>
    <t>30,1&amp;0-20000|2-7000|3-1800|4-0|5-0#70,1&amp;0-40000|3-3000|4-500|5-0</t>
    <phoneticPr fontId="6" type="noConversion"/>
  </si>
  <si>
    <t>5,1&amp;0-20000|2-0|3-0|4-0|5-0#8,1&amp;0-8000|2-0|3-0|4-0|5-0#10,1&amp;0-0|2-0|3-0|4-0|5-0</t>
    <phoneticPr fontId="6" type="noConversion"/>
  </si>
  <si>
    <t>30,1&amp;0-16000|7-0|8-0|9-0|10-0|11-0|12-0#70,1&amp;0-30000|8-0|9-0|10-0|11-0|12-0</t>
    <phoneticPr fontId="6" type="noConversion"/>
  </si>
  <si>
    <t>30,1&amp;0-10000|1-10000|4-0#70,1&amp;0-16000|1-10000|4-0</t>
    <phoneticPr fontId="6" type="noConversion"/>
  </si>
  <si>
    <t>5,1&amp;0-22000|2-0|3-0|4-0#8,1&amp;0-10000|2-0|3-0|4-0#10,1&amp;0-0|2-0|3-0|4-0</t>
    <phoneticPr fontId="6" type="noConversion"/>
  </si>
  <si>
    <t>30,1&amp;0-16000|6-0|7-0|8-0|9-0|10-0|11-0|12-0|13-0#70,1&amp;0-30000|7-0|8-0|9-0|10-0|11-0|12-0|13-0</t>
    <phoneticPr fontId="6" type="noConversion"/>
  </si>
  <si>
    <t>30,1&amp;0-15000|9-0|10-0|11-0|12-0|13-0|14-0|15-0|16-0|17-0#70,1&amp;0-30000|12-0|13-0|14-0|15-0|16-0|17-0</t>
    <phoneticPr fontId="6" type="noConversion"/>
  </si>
  <si>
    <t>30,1&amp;0-20000|9-0|10-0|11-0|12-0|13-0|14-0|15-0|16-0|17-0|18-0|19-0|20-0|21-0#70,1&amp;0-35000|11-0|12-0|13-0|14-0|15-0|16-0|17-0|18-0|19-0|20-0|21-0</t>
    <phoneticPr fontId="6" type="noConversion"/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</si>
  <si>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  <phoneticPr fontId="6" type="noConversion"/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</si>
  <si>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  <phoneticPr fontId="6" type="noConversion"/>
  </si>
  <si>
    <t>5,1&amp;0-36000|2-2000|3-0|4-0|5-0|6-0|7-0|8-0|9-0|10-0|11-0|12-0|13-0#8,1&amp;0-14400|2-1000|3-0|4-0|5-0|6-0|7-0|8-0|9-0|10-0|11-0|12-0|13-0#10,1&amp;0-0|2-2000|3-0|4-0|5-0|6-0|7-0|8-0|9-0|10-0|11-0|12-0|13-0</t>
    <phoneticPr fontId="6" type="noConversion"/>
  </si>
  <si>
    <t>30,1&amp;0-10000|6-0|7-0|8-0|9-0|10-0|11-0|12-0|13-0|14-0|15-0|16-0|17-0|18-0#70,1&amp;0-20000|7-0|8-0|9-0|10-0|11-0|12-0|13-0|14-0|15-0|16-0|17-0|18-0</t>
    <phoneticPr fontId="6" type="noConversion"/>
  </si>
  <si>
    <t>30,1&amp;0-10000|11-0|12-0|13-0|14-0|15-0|16-0|17-0|18-0|19-0#70,1&amp;0-39000|12-0|13-0|14-0|15-0|16-0|17-0|18-0|19-0</t>
    <phoneticPr fontId="6" type="noConversion"/>
  </si>
  <si>
    <t>30,1&amp;0-20000|7-0|8-0|9-0|10-0|11-0|12-0#70,1&amp;0-36000|8-0|9-0|10-0|11-0|12-0</t>
    <phoneticPr fontId="6" type="noConversion"/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</si>
  <si>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  <phoneticPr fontId="6" type="noConversion"/>
  </si>
  <si>
    <t>30,1&amp;0-15000|9-0|10-0|11-0|12-0|13-0|14-0|15-0|16-0|17-0|18-0|19-0|20-0|21-0#70,1&amp;0-35000|14-0|15-0|16-0|17-0|18-0|19-0|20-0|21-0</t>
    <phoneticPr fontId="6" type="noConversion"/>
  </si>
  <si>
    <t>30,1&amp;0-15000|5-0|6-0|7-0|8-0|9-0|10-0|11-0|12-0|13-0|14-0|15-0|16-0|17-0|18-0|19-0|20-0|21-0#70,1&amp;0-30000|6-0|7-0|8-0|9-0|10-0|11-0|12-0|13-0|14-0|15-0|16-0|17-0|18-0|19-0|20-0|21-0</t>
    <phoneticPr fontId="6" type="noConversion"/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</si>
  <si>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  <phoneticPr fontId="6" type="noConversion"/>
  </si>
  <si>
    <t>1_9700|2_300|3_0</t>
  </si>
  <si>
    <t>1_9900|2_100|3_0</t>
  </si>
  <si>
    <t>1_9350|2_600|3_50</t>
    <phoneticPr fontId="6" type="noConversion"/>
  </si>
  <si>
    <t>30,1&amp;0-17500|5-0|6-0|7-0|8-0|9-0|10-0|11-0|12-0#70,1&amp;0-25000|5-0|6-0|7-0|8-0|9-0|10-0|11-0|12-0</t>
    <phoneticPr fontId="6" type="noConversion"/>
  </si>
  <si>
    <t>5,1&amp;0-25000|3-0|4-0|5-0|6-0|7-0|8-0|9-0|10-0|11-0|12-0#8,1&amp;0-10000|3-0|4-0|5-0|6-0|7-0|8-0|9-0|10-0|11-0|12-0#10,1&amp;0-0|3-0|4-0|5-0|6-0|7-0|8-0|9-0|10-0|11-0|12-0</t>
    <phoneticPr fontId="6" type="noConversion"/>
  </si>
  <si>
    <t>30,1&amp;0-17000|11-0|12-0|13-0|14-0|15-0|16-0|17-0#70,1&amp;0-35000|12-0|13-0|14-0|15-0|16-0|17-0</t>
    <phoneticPr fontId="6" type="noConversion"/>
  </si>
  <si>
    <t>30,1&amp;0-20000|7-1300|8-0|10-0|11-0#70,1&amp;0-40000|7-3300|8-0|10-0|11-0</t>
    <phoneticPr fontId="6" type="noConversion"/>
  </si>
  <si>
    <t>5,1&amp;0-26000|2-4000|3-0|4-0|5-0|6-0|7-0|8-0|9-0|10-0|11-0|12-0|13-0#8,1&amp;0-10000|2-4000|3-0|4-0|5-0|6-0|7-0|8-0|9-0|10-0|11-0|12-0|13-0#10,1&amp;0-0|2-4000|3-0|4-0|5-0|6-0|7-0|8-0|9-0|10-0|11-0|12-0|13-0</t>
    <phoneticPr fontId="6" type="noConversion"/>
  </si>
  <si>
    <t>30,1&amp;0-20000|5-0|6-0|7-0|8-0|9-0|10-0|11-0|12-0|13-0#70,1&amp;0-38000|6-0|7-0|8-0|9-0|10-0|11-0|12-0|13-0</t>
    <phoneticPr fontId="6" type="noConversion"/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</si>
  <si>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</si>
  <si>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1000000&amp;999999999_2,17-0|18-0</t>
    <phoneticPr fontId="6" type="noConversion"/>
  </si>
  <si>
    <t>30,1&amp;0-20000|7-0|8-0|9-0|10-0|11-0|12-0|13-0|14-0#30,1&amp;0-35000|7-0|8-0|9-0|10-0|11-0|12-0|13-0|14-0</t>
    <phoneticPr fontId="6" type="noConversion"/>
  </si>
  <si>
    <t>5,1&amp;0-30000|2-4000|3-0|4-0|5-0|6-0|7-0|8-0|9-0|10-0|11-0|12-0|13-0|14-0#8,1&amp;0-10000|2-4000|3-0|4-0|5-0|6-0|7-0|8-0|9-0|10-0|11-0|12-0|13-0|14-0#10,1&amp;0-0|2-4000|3-0|4-0|5-0|6-0|7-0|8-0|9-0|10-0|11-0|12-0|13-0|14-0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</si>
</sst>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FF0000"/>
      <name val="微软雅黑"/>
      <family val="2"/>
      <charset val="134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10" fillId="15" borderId="0" xfId="0" applyFont="1" applyFill="1" applyAlignment="1">
      <alignment horizontal="left" vertical="center"/>
    </xf>
  </cellXfs>
  <cellStyles count="2">
    <cellStyle name="常规" xfId="0" builtinId="0"/>
    <cellStyle name="常规 73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4"/>
  <sheetViews>
    <sheetView tabSelected="1" topLeftCell="A181" zoomScale="80" zoomScaleNormal="80" workbookViewId="0">
      <selection activeCell="G202" sqref="G202"/>
    </sheetView>
  </sheetViews>
  <sheetFormatPr defaultColWidth="9" defaultRowHeight="14.25" x14ac:dyDescent="0.2"/>
  <cols>
    <col min="1" max="1" width="9.25"/>
    <col min="2" max="3" width="15.25" customWidth="1"/>
    <col min="4" max="4" width="10.875" customWidth="1"/>
    <col min="5" max="5" width="32.5" style="21" customWidth="1"/>
    <col min="6" max="6" width="34.75" style="21" customWidth="1"/>
    <col min="7" max="7" width="37.25" style="21" customWidth="1"/>
    <col min="8" max="8" width="32.5" style="21" customWidth="1"/>
    <col min="9" max="9" width="77.375" style="21" customWidth="1"/>
    <col min="10" max="10" width="39" style="21" customWidth="1"/>
    <col min="11" max="11" width="15.625" customWidth="1"/>
    <col min="12" max="12" width="15.125" customWidth="1"/>
    <col min="13" max="13" width="12.5" customWidth="1"/>
  </cols>
  <sheetData>
    <row r="1" spans="1:13" ht="16.5" x14ac:dyDescent="0.2">
      <c r="A1" s="22" t="s">
        <v>0</v>
      </c>
      <c r="B1" s="23" t="s">
        <v>1</v>
      </c>
      <c r="C1" s="23"/>
      <c r="D1" s="23" t="s">
        <v>2</v>
      </c>
      <c r="E1" s="24" t="s">
        <v>3</v>
      </c>
      <c r="F1" s="92" t="s">
        <v>184</v>
      </c>
      <c r="G1" s="92" t="s">
        <v>185</v>
      </c>
      <c r="H1" s="24" t="s">
        <v>183</v>
      </c>
      <c r="I1" s="24" t="s">
        <v>4</v>
      </c>
      <c r="J1" s="24" t="s">
        <v>5</v>
      </c>
      <c r="K1" s="22" t="s">
        <v>6</v>
      </c>
      <c r="L1" s="22" t="s">
        <v>7</v>
      </c>
      <c r="M1" s="22" t="s">
        <v>8</v>
      </c>
    </row>
    <row r="2" spans="1:13" ht="16.5" x14ac:dyDescent="0.2">
      <c r="A2" s="22" t="s">
        <v>9</v>
      </c>
      <c r="B2" s="23" t="s">
        <v>9</v>
      </c>
      <c r="C2" s="23"/>
      <c r="D2" s="23" t="s">
        <v>9</v>
      </c>
      <c r="E2" s="24" t="s">
        <v>10</v>
      </c>
      <c r="F2" s="25" t="s">
        <v>196</v>
      </c>
      <c r="G2" s="25" t="s">
        <v>196</v>
      </c>
      <c r="H2" s="25" t="s">
        <v>196</v>
      </c>
      <c r="I2" s="25" t="s">
        <v>11</v>
      </c>
      <c r="J2" s="24" t="s">
        <v>12</v>
      </c>
      <c r="K2" s="22" t="s">
        <v>9</v>
      </c>
      <c r="L2" s="22" t="s">
        <v>9</v>
      </c>
      <c r="M2" s="22"/>
    </row>
    <row r="3" spans="1:13" ht="16.5" x14ac:dyDescent="0.2">
      <c r="A3" s="22" t="s">
        <v>0</v>
      </c>
      <c r="B3" s="23" t="s">
        <v>13</v>
      </c>
      <c r="C3" s="23"/>
      <c r="D3" s="23" t="s">
        <v>14</v>
      </c>
      <c r="E3" s="24" t="s">
        <v>15</v>
      </c>
      <c r="F3" s="24" t="s">
        <v>186</v>
      </c>
      <c r="G3" s="24" t="s">
        <v>187</v>
      </c>
      <c r="H3" s="24" t="s">
        <v>188</v>
      </c>
      <c r="I3" s="92" t="s">
        <v>189</v>
      </c>
      <c r="J3" s="24" t="s">
        <v>16</v>
      </c>
      <c r="K3" s="22" t="s">
        <v>17</v>
      </c>
      <c r="L3" s="22" t="s">
        <v>18</v>
      </c>
      <c r="M3" s="22"/>
    </row>
    <row r="4" spans="1:13" ht="16.5" x14ac:dyDescent="0.2">
      <c r="A4" s="22"/>
      <c r="B4" s="23"/>
      <c r="C4" s="23"/>
      <c r="D4" s="23"/>
      <c r="E4" s="24"/>
      <c r="F4" s="24"/>
      <c r="H4" s="24"/>
      <c r="I4" s="24"/>
      <c r="J4" s="24"/>
      <c r="K4" s="22"/>
      <c r="L4" s="22"/>
      <c r="M4" s="22"/>
    </row>
    <row r="5" spans="1:13" ht="16.5" x14ac:dyDescent="0.2">
      <c r="A5" s="22">
        <v>1001</v>
      </c>
      <c r="B5" s="22">
        <v>100100</v>
      </c>
      <c r="C5" s="22" t="s">
        <v>19</v>
      </c>
      <c r="D5" s="22">
        <v>1</v>
      </c>
      <c r="E5" s="24" t="s">
        <v>20</v>
      </c>
      <c r="F5" s="24"/>
      <c r="G5" s="24" t="s">
        <v>213</v>
      </c>
      <c r="H5" s="24" t="s">
        <v>214</v>
      </c>
      <c r="I5" s="24"/>
      <c r="J5" s="94" t="s">
        <v>192</v>
      </c>
      <c r="K5" s="27">
        <v>8000</v>
      </c>
      <c r="L5" s="27">
        <v>999999</v>
      </c>
      <c r="M5" s="28" t="s">
        <v>22</v>
      </c>
    </row>
    <row r="6" spans="1:13" ht="16.5" x14ac:dyDescent="0.2">
      <c r="A6" s="22">
        <v>1002</v>
      </c>
      <c r="B6" s="22">
        <v>100100</v>
      </c>
      <c r="C6" s="22" t="s">
        <v>19</v>
      </c>
      <c r="D6" s="22">
        <v>2</v>
      </c>
      <c r="E6" s="24" t="s">
        <v>23</v>
      </c>
      <c r="F6" s="24"/>
      <c r="G6" s="24" t="s">
        <v>213</v>
      </c>
      <c r="H6" s="24" t="s">
        <v>214</v>
      </c>
      <c r="I6" s="24"/>
      <c r="J6" s="24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27">
        <v>6000</v>
      </c>
      <c r="L6" s="27">
        <v>8000</v>
      </c>
      <c r="M6" s="28" t="s">
        <v>24</v>
      </c>
    </row>
    <row r="7" spans="1:13" ht="16.5" x14ac:dyDescent="0.2">
      <c r="A7" s="22">
        <v>1003</v>
      </c>
      <c r="B7" s="22">
        <v>100100</v>
      </c>
      <c r="C7" s="22" t="s">
        <v>19</v>
      </c>
      <c r="D7" s="22">
        <v>3</v>
      </c>
      <c r="E7" s="24" t="s">
        <v>25</v>
      </c>
      <c r="F7" s="24"/>
      <c r="G7" s="24" t="s">
        <v>213</v>
      </c>
      <c r="H7" s="24" t="s">
        <v>214</v>
      </c>
      <c r="I7" s="24"/>
      <c r="J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27">
        <v>4000</v>
      </c>
      <c r="L7" s="27">
        <v>6000</v>
      </c>
      <c r="M7" s="28" t="s">
        <v>26</v>
      </c>
    </row>
    <row r="8" spans="1:13" ht="16.5" x14ac:dyDescent="0.2">
      <c r="A8" s="22">
        <v>1004</v>
      </c>
      <c r="B8" s="22">
        <v>100100</v>
      </c>
      <c r="C8" s="22" t="s">
        <v>19</v>
      </c>
      <c r="D8" s="22">
        <v>4</v>
      </c>
      <c r="E8" s="24" t="s">
        <v>27</v>
      </c>
      <c r="F8" s="24"/>
      <c r="G8" s="24" t="s">
        <v>213</v>
      </c>
      <c r="H8" s="24" t="s">
        <v>214</v>
      </c>
      <c r="I8" s="24"/>
      <c r="J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27">
        <v>2000</v>
      </c>
      <c r="L8" s="27">
        <v>4000</v>
      </c>
      <c r="M8" s="28" t="s">
        <v>28</v>
      </c>
    </row>
    <row r="9" spans="1:13" ht="16.5" x14ac:dyDescent="0.2">
      <c r="A9" s="22">
        <v>1005</v>
      </c>
      <c r="B9" s="22">
        <v>100100</v>
      </c>
      <c r="C9" s="22" t="s">
        <v>19</v>
      </c>
      <c r="D9" s="22">
        <v>5</v>
      </c>
      <c r="E9" s="24" t="s">
        <v>29</v>
      </c>
      <c r="F9" s="24"/>
      <c r="G9" s="24" t="s">
        <v>213</v>
      </c>
      <c r="H9" s="24" t="s">
        <v>214</v>
      </c>
      <c r="I9" s="24"/>
      <c r="J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27">
        <v>0</v>
      </c>
      <c r="L9" s="27">
        <v>2000</v>
      </c>
      <c r="M9" s="28" t="s">
        <v>30</v>
      </c>
    </row>
    <row r="10" spans="1:13" ht="16.5" x14ac:dyDescent="0.2">
      <c r="A10" s="22">
        <v>1006</v>
      </c>
      <c r="B10" s="22">
        <v>100100</v>
      </c>
      <c r="C10" s="22" t="s">
        <v>19</v>
      </c>
      <c r="D10" s="22">
        <v>6</v>
      </c>
      <c r="E10" s="24" t="s">
        <v>31</v>
      </c>
      <c r="F10" s="24"/>
      <c r="G10" s="24" t="s">
        <v>213</v>
      </c>
      <c r="H10" s="24" t="s">
        <v>214</v>
      </c>
      <c r="I10" s="24"/>
      <c r="J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27">
        <v>-1000</v>
      </c>
      <c r="L10" s="27">
        <v>0</v>
      </c>
      <c r="M10" s="28" t="s">
        <v>32</v>
      </c>
    </row>
    <row r="11" spans="1:13" ht="16.5" x14ac:dyDescent="0.2">
      <c r="A11" s="22">
        <v>1007</v>
      </c>
      <c r="B11" s="22">
        <v>100100</v>
      </c>
      <c r="C11" s="22" t="s">
        <v>19</v>
      </c>
      <c r="D11" s="22">
        <v>7</v>
      </c>
      <c r="E11" s="24" t="s">
        <v>33</v>
      </c>
      <c r="F11" s="24"/>
      <c r="G11" s="24" t="s">
        <v>213</v>
      </c>
      <c r="H11" s="24" t="s">
        <v>214</v>
      </c>
      <c r="I11" s="24"/>
      <c r="J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27">
        <v>-999999</v>
      </c>
      <c r="L11" s="27">
        <v>-1000</v>
      </c>
      <c r="M11" s="28" t="s">
        <v>34</v>
      </c>
    </row>
    <row r="12" spans="1:13" s="1" customFormat="1" ht="16.5" x14ac:dyDescent="0.2">
      <c r="A12" s="28">
        <v>3001</v>
      </c>
      <c r="B12" s="28">
        <v>100300</v>
      </c>
      <c r="C12" s="28" t="s">
        <v>35</v>
      </c>
      <c r="D12" s="28">
        <v>1</v>
      </c>
      <c r="E12" s="24" t="s">
        <v>36</v>
      </c>
      <c r="F12" s="24"/>
      <c r="G12" s="24" t="s">
        <v>215</v>
      </c>
      <c r="H12" s="24" t="s">
        <v>216</v>
      </c>
      <c r="I12" s="24"/>
      <c r="J12" s="26" t="s">
        <v>37</v>
      </c>
      <c r="K12" s="27">
        <v>8000</v>
      </c>
      <c r="L12" s="27">
        <v>999999</v>
      </c>
      <c r="M12" s="28" t="s">
        <v>22</v>
      </c>
    </row>
    <row r="13" spans="1:13" s="1" customFormat="1" ht="16.5" x14ac:dyDescent="0.2">
      <c r="A13" s="28">
        <v>3002</v>
      </c>
      <c r="B13" s="28">
        <v>100300</v>
      </c>
      <c r="C13" s="28" t="s">
        <v>35</v>
      </c>
      <c r="D13" s="28">
        <v>2</v>
      </c>
      <c r="E13" s="24" t="s">
        <v>38</v>
      </c>
      <c r="F13" s="24"/>
      <c r="G13" s="24" t="s">
        <v>215</v>
      </c>
      <c r="H13" s="24" t="s">
        <v>216</v>
      </c>
      <c r="I13" s="24"/>
      <c r="J13" s="24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7">
        <v>6000</v>
      </c>
      <c r="L13" s="27">
        <v>8000</v>
      </c>
      <c r="M13" s="28" t="s">
        <v>24</v>
      </c>
    </row>
    <row r="14" spans="1:13" s="1" customFormat="1" ht="16.5" x14ac:dyDescent="0.2">
      <c r="A14" s="28">
        <v>3003</v>
      </c>
      <c r="B14" s="28">
        <v>100300</v>
      </c>
      <c r="C14" s="28" t="s">
        <v>35</v>
      </c>
      <c r="D14" s="28">
        <v>3</v>
      </c>
      <c r="E14" s="24" t="s">
        <v>39</v>
      </c>
      <c r="F14" s="24"/>
      <c r="G14" s="24" t="s">
        <v>215</v>
      </c>
      <c r="H14" s="24" t="s">
        <v>216</v>
      </c>
      <c r="I14" s="24"/>
      <c r="J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7">
        <v>4000</v>
      </c>
      <c r="L14" s="27">
        <v>6000</v>
      </c>
      <c r="M14" s="28" t="s">
        <v>26</v>
      </c>
    </row>
    <row r="15" spans="1:13" s="1" customFormat="1" ht="16.5" x14ac:dyDescent="0.2">
      <c r="A15" s="28">
        <v>3004</v>
      </c>
      <c r="B15" s="28">
        <v>100300</v>
      </c>
      <c r="C15" s="28" t="s">
        <v>35</v>
      </c>
      <c r="D15" s="28">
        <v>4</v>
      </c>
      <c r="E15" s="24" t="s">
        <v>40</v>
      </c>
      <c r="F15" s="24"/>
      <c r="G15" s="24" t="s">
        <v>215</v>
      </c>
      <c r="H15" s="24" t="s">
        <v>216</v>
      </c>
      <c r="I15" s="24"/>
      <c r="J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7">
        <v>2000</v>
      </c>
      <c r="L15" s="27">
        <v>4000</v>
      </c>
      <c r="M15" s="28" t="s">
        <v>28</v>
      </c>
    </row>
    <row r="16" spans="1:13" s="1" customFormat="1" ht="16.5" x14ac:dyDescent="0.2">
      <c r="A16" s="28">
        <v>3005</v>
      </c>
      <c r="B16" s="28">
        <v>100300</v>
      </c>
      <c r="C16" s="28" t="s">
        <v>35</v>
      </c>
      <c r="D16" s="28">
        <v>5</v>
      </c>
      <c r="E16" s="24" t="s">
        <v>41</v>
      </c>
      <c r="F16" s="24"/>
      <c r="G16" s="24" t="s">
        <v>215</v>
      </c>
      <c r="H16" s="24" t="s">
        <v>216</v>
      </c>
      <c r="I16" s="24"/>
      <c r="J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7">
        <v>0</v>
      </c>
      <c r="L16" s="27">
        <v>2000</v>
      </c>
      <c r="M16" s="28" t="s">
        <v>30</v>
      </c>
    </row>
    <row r="17" spans="1:13" s="1" customFormat="1" ht="16.5" x14ac:dyDescent="0.2">
      <c r="A17" s="28">
        <v>3006</v>
      </c>
      <c r="B17" s="28">
        <v>100300</v>
      </c>
      <c r="C17" s="28" t="s">
        <v>35</v>
      </c>
      <c r="D17" s="28">
        <v>6</v>
      </c>
      <c r="E17" s="24" t="s">
        <v>42</v>
      </c>
      <c r="F17" s="24"/>
      <c r="G17" s="24" t="s">
        <v>215</v>
      </c>
      <c r="H17" s="24" t="s">
        <v>216</v>
      </c>
      <c r="I17" s="24"/>
      <c r="J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7">
        <v>-1000</v>
      </c>
      <c r="L17" s="27">
        <v>0</v>
      </c>
      <c r="M17" s="28" t="s">
        <v>32</v>
      </c>
    </row>
    <row r="18" spans="1:13" s="1" customFormat="1" ht="16.5" x14ac:dyDescent="0.2">
      <c r="A18" s="28">
        <v>3007</v>
      </c>
      <c r="B18" s="28">
        <v>100300</v>
      </c>
      <c r="C18" s="28" t="s">
        <v>35</v>
      </c>
      <c r="D18" s="28">
        <v>7</v>
      </c>
      <c r="E18" s="24" t="s">
        <v>42</v>
      </c>
      <c r="F18" s="24"/>
      <c r="G18" s="24" t="s">
        <v>215</v>
      </c>
      <c r="H18" s="24" t="s">
        <v>216</v>
      </c>
      <c r="I18" s="24"/>
      <c r="J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7">
        <v>-999999</v>
      </c>
      <c r="L18" s="27">
        <v>-1000</v>
      </c>
      <c r="M18" s="28" t="s">
        <v>34</v>
      </c>
    </row>
    <row r="19" spans="1:13" s="2" customFormat="1" ht="16.5" x14ac:dyDescent="0.2">
      <c r="A19" s="22">
        <v>7001</v>
      </c>
      <c r="B19" s="29">
        <v>100700</v>
      </c>
      <c r="C19" s="29" t="s">
        <v>43</v>
      </c>
      <c r="D19" s="29">
        <v>1</v>
      </c>
      <c r="E19" s="30" t="s">
        <v>44</v>
      </c>
      <c r="F19" s="93"/>
      <c r="G19" s="30" t="s">
        <v>217</v>
      </c>
      <c r="H19" s="30" t="s">
        <v>199</v>
      </c>
      <c r="I19" s="92" t="s">
        <v>190</v>
      </c>
      <c r="J19" s="94" t="s">
        <v>191</v>
      </c>
      <c r="K19" s="27">
        <v>8000</v>
      </c>
      <c r="L19" s="27">
        <v>999999</v>
      </c>
      <c r="M19" s="28" t="s">
        <v>22</v>
      </c>
    </row>
    <row r="20" spans="1:13" s="2" customFormat="1" ht="16.5" x14ac:dyDescent="0.2">
      <c r="A20" s="22">
        <v>7002</v>
      </c>
      <c r="B20" s="29">
        <v>100700</v>
      </c>
      <c r="C20" s="29" t="s">
        <v>43</v>
      </c>
      <c r="D20" s="29">
        <v>2</v>
      </c>
      <c r="E20" s="30" t="s">
        <v>46</v>
      </c>
      <c r="F20" s="93"/>
      <c r="G20" s="30" t="s">
        <v>217</v>
      </c>
      <c r="H20" s="93" t="s">
        <v>198</v>
      </c>
      <c r="I20" s="24" t="s">
        <v>45</v>
      </c>
      <c r="J20" s="31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27">
        <v>6000</v>
      </c>
      <c r="L20" s="27">
        <v>8000</v>
      </c>
      <c r="M20" s="28" t="s">
        <v>24</v>
      </c>
    </row>
    <row r="21" spans="1:13" s="2" customFormat="1" ht="16.5" x14ac:dyDescent="0.2">
      <c r="A21" s="22">
        <v>7003</v>
      </c>
      <c r="B21" s="29">
        <v>100700</v>
      </c>
      <c r="C21" s="29" t="s">
        <v>43</v>
      </c>
      <c r="D21" s="29">
        <v>3</v>
      </c>
      <c r="E21" s="30" t="s">
        <v>47</v>
      </c>
      <c r="F21" s="93"/>
      <c r="G21" s="30" t="s">
        <v>217</v>
      </c>
      <c r="H21" s="30" t="s">
        <v>199</v>
      </c>
      <c r="I21" s="24" t="s">
        <v>45</v>
      </c>
      <c r="J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27">
        <v>4000</v>
      </c>
      <c r="L21" s="27">
        <v>6000</v>
      </c>
      <c r="M21" s="28" t="s">
        <v>26</v>
      </c>
    </row>
    <row r="22" spans="1:13" s="2" customFormat="1" ht="16.5" x14ac:dyDescent="0.2">
      <c r="A22" s="22">
        <v>7004</v>
      </c>
      <c r="B22" s="29">
        <v>100700</v>
      </c>
      <c r="C22" s="29" t="s">
        <v>43</v>
      </c>
      <c r="D22" s="29">
        <v>4</v>
      </c>
      <c r="E22" s="30" t="s">
        <v>48</v>
      </c>
      <c r="F22" s="93"/>
      <c r="G22" s="30" t="s">
        <v>217</v>
      </c>
      <c r="H22" s="93" t="s">
        <v>198</v>
      </c>
      <c r="I22" s="24" t="s">
        <v>45</v>
      </c>
      <c r="J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27">
        <v>2000</v>
      </c>
      <c r="L22" s="27">
        <v>4000</v>
      </c>
      <c r="M22" s="28" t="s">
        <v>28</v>
      </c>
    </row>
    <row r="23" spans="1:13" s="2" customFormat="1" ht="16.5" x14ac:dyDescent="0.2">
      <c r="A23" s="22">
        <v>7005</v>
      </c>
      <c r="B23" s="29">
        <v>100700</v>
      </c>
      <c r="C23" s="29" t="s">
        <v>43</v>
      </c>
      <c r="D23" s="29">
        <v>5</v>
      </c>
      <c r="E23" s="30" t="s">
        <v>49</v>
      </c>
      <c r="F23" s="93"/>
      <c r="G23" s="30" t="s">
        <v>217</v>
      </c>
      <c r="H23" s="93" t="s">
        <v>198</v>
      </c>
      <c r="I23" s="24" t="s">
        <v>45</v>
      </c>
      <c r="J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27">
        <v>0</v>
      </c>
      <c r="L23" s="27">
        <v>2000</v>
      </c>
      <c r="M23" s="28" t="s">
        <v>30</v>
      </c>
    </row>
    <row r="24" spans="1:13" s="2" customFormat="1" ht="16.5" x14ac:dyDescent="0.2">
      <c r="A24" s="22">
        <v>7006</v>
      </c>
      <c r="B24" s="29">
        <v>100700</v>
      </c>
      <c r="C24" s="29" t="s">
        <v>43</v>
      </c>
      <c r="D24" s="29">
        <v>6</v>
      </c>
      <c r="E24" s="30" t="s">
        <v>50</v>
      </c>
      <c r="F24" s="93"/>
      <c r="G24" s="30" t="s">
        <v>217</v>
      </c>
      <c r="H24" s="93" t="s">
        <v>198</v>
      </c>
      <c r="I24" s="24" t="s">
        <v>45</v>
      </c>
      <c r="J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27">
        <v>-1000</v>
      </c>
      <c r="L24" s="27">
        <v>0</v>
      </c>
      <c r="M24" s="28" t="s">
        <v>32</v>
      </c>
    </row>
    <row r="25" spans="1:13" s="2" customFormat="1" ht="16.5" x14ac:dyDescent="0.2">
      <c r="A25" s="22">
        <v>7007</v>
      </c>
      <c r="B25" s="29">
        <v>100700</v>
      </c>
      <c r="C25" s="29" t="s">
        <v>43</v>
      </c>
      <c r="D25" s="29">
        <v>7</v>
      </c>
      <c r="E25" s="30" t="s">
        <v>50</v>
      </c>
      <c r="F25" s="93"/>
      <c r="G25" s="30" t="s">
        <v>217</v>
      </c>
      <c r="H25" s="93" t="s">
        <v>198</v>
      </c>
      <c r="I25" s="24" t="s">
        <v>45</v>
      </c>
      <c r="J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27">
        <v>-999999</v>
      </c>
      <c r="L25" s="27">
        <v>-1000</v>
      </c>
      <c r="M25" s="28" t="s">
        <v>34</v>
      </c>
    </row>
    <row r="26" spans="1:13" s="1" customFormat="1" ht="16.5" x14ac:dyDescent="0.2">
      <c r="A26" s="28">
        <v>12001</v>
      </c>
      <c r="B26" s="28">
        <v>101200</v>
      </c>
      <c r="C26" s="28" t="s">
        <v>51</v>
      </c>
      <c r="D26" s="28">
        <v>1</v>
      </c>
      <c r="E26" s="24" t="s">
        <v>52</v>
      </c>
      <c r="F26" s="24"/>
      <c r="G26" s="24" t="s">
        <v>218</v>
      </c>
      <c r="H26" s="92" t="s">
        <v>200</v>
      </c>
      <c r="I26" s="32" t="s">
        <v>53</v>
      </c>
      <c r="J26" s="26" t="s">
        <v>54</v>
      </c>
      <c r="K26" s="27">
        <v>8000</v>
      </c>
      <c r="L26" s="27">
        <v>999999</v>
      </c>
      <c r="M26" s="28" t="s">
        <v>22</v>
      </c>
    </row>
    <row r="27" spans="1:13" s="1" customFormat="1" ht="16.5" x14ac:dyDescent="0.2">
      <c r="A27" s="28">
        <v>12002</v>
      </c>
      <c r="B27" s="28">
        <v>101200</v>
      </c>
      <c r="C27" s="28" t="s">
        <v>51</v>
      </c>
      <c r="D27" s="28">
        <v>2</v>
      </c>
      <c r="E27" s="24" t="s">
        <v>55</v>
      </c>
      <c r="F27" s="24"/>
      <c r="G27" s="24" t="s">
        <v>218</v>
      </c>
      <c r="H27" s="92" t="s">
        <v>200</v>
      </c>
      <c r="I27" s="32" t="s">
        <v>53</v>
      </c>
      <c r="J27" s="24" t="str">
        <f t="shared" ref="J27:J32" si="3">J26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7" s="27">
        <v>6000</v>
      </c>
      <c r="L27" s="27">
        <v>8000</v>
      </c>
      <c r="M27" s="28" t="s">
        <v>24</v>
      </c>
    </row>
    <row r="28" spans="1:13" s="1" customFormat="1" ht="16.5" x14ac:dyDescent="0.2">
      <c r="A28" s="28">
        <v>12003</v>
      </c>
      <c r="B28" s="28">
        <v>101200</v>
      </c>
      <c r="C28" s="28" t="s">
        <v>51</v>
      </c>
      <c r="D28" s="28">
        <v>3</v>
      </c>
      <c r="E28" s="24" t="s">
        <v>56</v>
      </c>
      <c r="F28" s="24"/>
      <c r="G28" s="24" t="s">
        <v>218</v>
      </c>
      <c r="H28" s="92" t="s">
        <v>200</v>
      </c>
      <c r="I28" s="32" t="s">
        <v>53</v>
      </c>
      <c r="J28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8" s="27">
        <v>4000</v>
      </c>
      <c r="L28" s="27">
        <v>6000</v>
      </c>
      <c r="M28" s="28" t="s">
        <v>26</v>
      </c>
    </row>
    <row r="29" spans="1:13" s="1" customFormat="1" ht="16.5" x14ac:dyDescent="0.2">
      <c r="A29" s="28">
        <v>12004</v>
      </c>
      <c r="B29" s="28">
        <v>101200</v>
      </c>
      <c r="C29" s="28" t="s">
        <v>51</v>
      </c>
      <c r="D29" s="28">
        <v>4</v>
      </c>
      <c r="E29" s="24" t="s">
        <v>57</v>
      </c>
      <c r="F29" s="24"/>
      <c r="G29" s="24" t="s">
        <v>218</v>
      </c>
      <c r="H29" s="92" t="s">
        <v>200</v>
      </c>
      <c r="I29" s="32" t="s">
        <v>53</v>
      </c>
      <c r="J29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29" s="27">
        <v>2000</v>
      </c>
      <c r="L29" s="27">
        <v>4000</v>
      </c>
      <c r="M29" s="28" t="s">
        <v>28</v>
      </c>
    </row>
    <row r="30" spans="1:13" s="1" customFormat="1" ht="16.5" x14ac:dyDescent="0.2">
      <c r="A30" s="28">
        <v>12005</v>
      </c>
      <c r="B30" s="28">
        <v>101200</v>
      </c>
      <c r="C30" s="28" t="s">
        <v>51</v>
      </c>
      <c r="D30" s="28">
        <v>5</v>
      </c>
      <c r="E30" s="24" t="s">
        <v>58</v>
      </c>
      <c r="F30" s="24"/>
      <c r="G30" s="24" t="s">
        <v>218</v>
      </c>
      <c r="H30" s="24" t="s">
        <v>219</v>
      </c>
      <c r="I30" s="32" t="s">
        <v>53</v>
      </c>
      <c r="J30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0" s="27">
        <v>0</v>
      </c>
      <c r="L30" s="27">
        <v>2000</v>
      </c>
      <c r="M30" s="28" t="s">
        <v>30</v>
      </c>
    </row>
    <row r="31" spans="1:13" s="1" customFormat="1" ht="16.5" x14ac:dyDescent="0.2">
      <c r="A31" s="28">
        <v>12006</v>
      </c>
      <c r="B31" s="28">
        <v>101200</v>
      </c>
      <c r="C31" s="28" t="s">
        <v>51</v>
      </c>
      <c r="D31" s="28">
        <v>6</v>
      </c>
      <c r="E31" s="24" t="s">
        <v>59</v>
      </c>
      <c r="F31" s="24"/>
      <c r="G31" s="24" t="s">
        <v>218</v>
      </c>
      <c r="H31" s="92" t="s">
        <v>200</v>
      </c>
      <c r="I31" s="32" t="s">
        <v>53</v>
      </c>
      <c r="J31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1" s="27">
        <v>-1000</v>
      </c>
      <c r="L31" s="27">
        <v>0</v>
      </c>
      <c r="M31" s="28" t="s">
        <v>32</v>
      </c>
    </row>
    <row r="32" spans="1:13" s="1" customFormat="1" ht="16.5" x14ac:dyDescent="0.2">
      <c r="A32" s="28">
        <v>12007</v>
      </c>
      <c r="B32" s="28">
        <v>101200</v>
      </c>
      <c r="C32" s="28" t="s">
        <v>51</v>
      </c>
      <c r="D32" s="28">
        <v>7</v>
      </c>
      <c r="E32" s="24" t="s">
        <v>42</v>
      </c>
      <c r="F32" s="24"/>
      <c r="G32" s="24" t="s">
        <v>218</v>
      </c>
      <c r="H32" s="92" t="s">
        <v>200</v>
      </c>
      <c r="I32" s="32" t="s">
        <v>53</v>
      </c>
      <c r="J32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2" s="27">
        <v>-999999</v>
      </c>
      <c r="L32" s="27">
        <v>-1000</v>
      </c>
      <c r="M32" s="28" t="s">
        <v>34</v>
      </c>
    </row>
    <row r="33" spans="1:13" s="3" customFormat="1" ht="16.5" x14ac:dyDescent="0.2">
      <c r="A33" s="22">
        <v>14001</v>
      </c>
      <c r="B33" s="33">
        <v>101400</v>
      </c>
      <c r="C33" s="33" t="s">
        <v>60</v>
      </c>
      <c r="D33" s="33">
        <v>1</v>
      </c>
      <c r="E33" s="34" t="s">
        <v>61</v>
      </c>
      <c r="F33" s="34"/>
      <c r="G33" s="34" t="s">
        <v>220</v>
      </c>
      <c r="H33" s="34" t="s">
        <v>225</v>
      </c>
      <c r="I33" s="24"/>
      <c r="J33" s="94" t="s">
        <v>193</v>
      </c>
      <c r="K33" s="27">
        <v>8000</v>
      </c>
      <c r="L33" s="27">
        <v>999999</v>
      </c>
      <c r="M33" s="28" t="s">
        <v>22</v>
      </c>
    </row>
    <row r="34" spans="1:13" s="3" customFormat="1" ht="16.5" x14ac:dyDescent="0.2">
      <c r="A34" s="22">
        <v>14002</v>
      </c>
      <c r="B34" s="33">
        <v>101400</v>
      </c>
      <c r="C34" s="33" t="s">
        <v>60</v>
      </c>
      <c r="D34" s="33">
        <v>2</v>
      </c>
      <c r="E34" s="34" t="s">
        <v>62</v>
      </c>
      <c r="F34" s="34"/>
      <c r="G34" s="34" t="s">
        <v>220</v>
      </c>
      <c r="H34" s="34" t="s">
        <v>225</v>
      </c>
      <c r="I34" s="24"/>
      <c r="J34" s="24" t="str">
        <f t="shared" ref="J34:J39" si="4">J33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4" s="27">
        <v>6000</v>
      </c>
      <c r="L34" s="27">
        <v>8000</v>
      </c>
      <c r="M34" s="28" t="s">
        <v>24</v>
      </c>
    </row>
    <row r="35" spans="1:13" s="3" customFormat="1" ht="16.5" x14ac:dyDescent="0.2">
      <c r="A35" s="22">
        <v>14003</v>
      </c>
      <c r="B35" s="33">
        <v>101400</v>
      </c>
      <c r="C35" s="33" t="s">
        <v>60</v>
      </c>
      <c r="D35" s="33">
        <v>3</v>
      </c>
      <c r="E35" s="34" t="s">
        <v>63</v>
      </c>
      <c r="F35" s="34"/>
      <c r="G35" s="34" t="s">
        <v>220</v>
      </c>
      <c r="H35" s="34" t="s">
        <v>225</v>
      </c>
      <c r="I35" s="24"/>
      <c r="J35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5" s="27">
        <v>4000</v>
      </c>
      <c r="L35" s="27">
        <v>6000</v>
      </c>
      <c r="M35" s="28" t="s">
        <v>26</v>
      </c>
    </row>
    <row r="36" spans="1:13" s="3" customFormat="1" ht="16.5" x14ac:dyDescent="0.2">
      <c r="A36" s="22">
        <v>14004</v>
      </c>
      <c r="B36" s="33">
        <v>101400</v>
      </c>
      <c r="C36" s="33" t="s">
        <v>60</v>
      </c>
      <c r="D36" s="33">
        <v>4</v>
      </c>
      <c r="E36" s="34" t="s">
        <v>64</v>
      </c>
      <c r="F36" s="34"/>
      <c r="G36" s="34" t="s">
        <v>220</v>
      </c>
      <c r="H36" s="34" t="s">
        <v>225</v>
      </c>
      <c r="I36" s="24"/>
      <c r="J36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6" s="27">
        <v>2000</v>
      </c>
      <c r="L36" s="27">
        <v>4000</v>
      </c>
      <c r="M36" s="28" t="s">
        <v>28</v>
      </c>
    </row>
    <row r="37" spans="1:13" s="3" customFormat="1" ht="16.5" x14ac:dyDescent="0.2">
      <c r="A37" s="22">
        <v>14005</v>
      </c>
      <c r="B37" s="33">
        <v>101400</v>
      </c>
      <c r="C37" s="33" t="s">
        <v>60</v>
      </c>
      <c r="D37" s="33">
        <v>5</v>
      </c>
      <c r="E37" s="34" t="s">
        <v>65</v>
      </c>
      <c r="F37" s="34"/>
      <c r="G37" s="34" t="s">
        <v>220</v>
      </c>
      <c r="H37" s="34" t="s">
        <v>225</v>
      </c>
      <c r="I37" s="24"/>
      <c r="J37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7" s="27">
        <v>0</v>
      </c>
      <c r="L37" s="27">
        <v>2000</v>
      </c>
      <c r="M37" s="28" t="s">
        <v>30</v>
      </c>
    </row>
    <row r="38" spans="1:13" s="3" customFormat="1" ht="16.5" x14ac:dyDescent="0.2">
      <c r="A38" s="22">
        <v>14006</v>
      </c>
      <c r="B38" s="33">
        <v>101400</v>
      </c>
      <c r="C38" s="33" t="s">
        <v>60</v>
      </c>
      <c r="D38" s="33">
        <v>6</v>
      </c>
      <c r="E38" s="34" t="s">
        <v>66</v>
      </c>
      <c r="F38" s="34"/>
      <c r="G38" s="34" t="s">
        <v>220</v>
      </c>
      <c r="H38" s="34" t="s">
        <v>225</v>
      </c>
      <c r="I38" s="24"/>
      <c r="J38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8" s="27">
        <v>-1000</v>
      </c>
      <c r="L38" s="27">
        <v>0</v>
      </c>
      <c r="M38" s="28" t="s">
        <v>32</v>
      </c>
    </row>
    <row r="39" spans="1:13" s="3" customFormat="1" ht="16.5" x14ac:dyDescent="0.2">
      <c r="A39" s="22">
        <v>14007</v>
      </c>
      <c r="B39" s="33">
        <v>101400</v>
      </c>
      <c r="C39" s="33" t="s">
        <v>60</v>
      </c>
      <c r="D39" s="33">
        <v>7</v>
      </c>
      <c r="E39" s="34" t="s">
        <v>42</v>
      </c>
      <c r="F39" s="34"/>
      <c r="G39" s="34" t="s">
        <v>220</v>
      </c>
      <c r="H39" s="34" t="s">
        <v>225</v>
      </c>
      <c r="I39" s="24"/>
      <c r="J39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39" s="27">
        <v>-999999</v>
      </c>
      <c r="L39" s="27">
        <v>-1000</v>
      </c>
      <c r="M39" s="28" t="s">
        <v>34</v>
      </c>
    </row>
    <row r="40" spans="1:13" s="4" customFormat="1" ht="16.5" x14ac:dyDescent="0.3">
      <c r="A40" s="35">
        <v>15001</v>
      </c>
      <c r="B40" s="35">
        <v>101500</v>
      </c>
      <c r="C40" s="35" t="s">
        <v>67</v>
      </c>
      <c r="D40" s="35">
        <v>1</v>
      </c>
      <c r="E40" s="36" t="s">
        <v>68</v>
      </c>
      <c r="F40" s="36"/>
      <c r="G40" s="36"/>
      <c r="H40" s="36"/>
      <c r="I40" s="24"/>
      <c r="J40" s="37" t="s">
        <v>69</v>
      </c>
      <c r="K40" s="27">
        <v>8000</v>
      </c>
      <c r="L40" s="27">
        <v>999999</v>
      </c>
      <c r="M40" s="38" t="s">
        <v>22</v>
      </c>
    </row>
    <row r="41" spans="1:13" s="4" customFormat="1" ht="16.5" x14ac:dyDescent="0.3">
      <c r="A41" s="35">
        <v>15002</v>
      </c>
      <c r="B41" s="35">
        <v>101500</v>
      </c>
      <c r="C41" s="35" t="s">
        <v>67</v>
      </c>
      <c r="D41" s="35">
        <v>2</v>
      </c>
      <c r="E41" s="36" t="s">
        <v>70</v>
      </c>
      <c r="F41" s="36"/>
      <c r="G41" s="36"/>
      <c r="H41" s="36"/>
      <c r="I41" s="24"/>
      <c r="J41" s="37" t="str">
        <f t="shared" ref="J41:J46" si="5">J40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1" s="27">
        <v>6000</v>
      </c>
      <c r="L41" s="27">
        <v>8000</v>
      </c>
      <c r="M41" s="38" t="s">
        <v>24</v>
      </c>
    </row>
    <row r="42" spans="1:13" s="4" customFormat="1" ht="16.5" x14ac:dyDescent="0.3">
      <c r="A42" s="35">
        <v>15003</v>
      </c>
      <c r="B42" s="35">
        <v>101500</v>
      </c>
      <c r="C42" s="35" t="s">
        <v>67</v>
      </c>
      <c r="D42" s="35">
        <v>3</v>
      </c>
      <c r="E42" s="36" t="s">
        <v>71</v>
      </c>
      <c r="F42" s="36"/>
      <c r="G42" s="36"/>
      <c r="H42" s="36"/>
      <c r="I42" s="24"/>
      <c r="J42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2" s="27">
        <v>4000</v>
      </c>
      <c r="L42" s="27">
        <v>6000</v>
      </c>
      <c r="M42" s="38" t="s">
        <v>26</v>
      </c>
    </row>
    <row r="43" spans="1:13" s="4" customFormat="1" ht="16.5" x14ac:dyDescent="0.3">
      <c r="A43" s="35">
        <v>15004</v>
      </c>
      <c r="B43" s="35">
        <v>101500</v>
      </c>
      <c r="C43" s="35" t="s">
        <v>67</v>
      </c>
      <c r="D43" s="35">
        <v>4</v>
      </c>
      <c r="E43" s="36" t="s">
        <v>72</v>
      </c>
      <c r="F43" s="36"/>
      <c r="G43" s="36"/>
      <c r="H43" s="36"/>
      <c r="I43" s="24"/>
      <c r="J43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3" s="27">
        <v>2000</v>
      </c>
      <c r="L43" s="27">
        <v>4000</v>
      </c>
      <c r="M43" s="38" t="s">
        <v>28</v>
      </c>
    </row>
    <row r="44" spans="1:13" s="4" customFormat="1" ht="16.5" x14ac:dyDescent="0.3">
      <c r="A44" s="35">
        <v>15005</v>
      </c>
      <c r="B44" s="35">
        <v>101500</v>
      </c>
      <c r="C44" s="35" t="s">
        <v>67</v>
      </c>
      <c r="D44" s="35">
        <v>5</v>
      </c>
      <c r="E44" s="36" t="s">
        <v>73</v>
      </c>
      <c r="F44" s="36"/>
      <c r="G44" s="36"/>
      <c r="H44" s="36"/>
      <c r="I44" s="24"/>
      <c r="J44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4" s="27">
        <v>0</v>
      </c>
      <c r="L44" s="27">
        <v>2000</v>
      </c>
      <c r="M44" s="38" t="s">
        <v>30</v>
      </c>
    </row>
    <row r="45" spans="1:13" s="4" customFormat="1" ht="16.5" x14ac:dyDescent="0.3">
      <c r="A45" s="35">
        <v>15006</v>
      </c>
      <c r="B45" s="35">
        <v>101500</v>
      </c>
      <c r="C45" s="35" t="s">
        <v>67</v>
      </c>
      <c r="D45" s="35">
        <v>6</v>
      </c>
      <c r="E45" s="36" t="s">
        <v>74</v>
      </c>
      <c r="F45" s="36"/>
      <c r="G45" s="36"/>
      <c r="H45" s="36"/>
      <c r="I45" s="24"/>
      <c r="J45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5" s="27">
        <v>-1000</v>
      </c>
      <c r="L45" s="27">
        <v>0</v>
      </c>
      <c r="M45" s="38" t="s">
        <v>32</v>
      </c>
    </row>
    <row r="46" spans="1:13" s="4" customFormat="1" ht="16.5" x14ac:dyDescent="0.3">
      <c r="A46" s="35">
        <v>15007</v>
      </c>
      <c r="B46" s="35">
        <v>101500</v>
      </c>
      <c r="C46" s="35" t="s">
        <v>67</v>
      </c>
      <c r="D46" s="35">
        <v>7</v>
      </c>
      <c r="E46" s="36" t="s">
        <v>75</v>
      </c>
      <c r="F46" s="36"/>
      <c r="G46" s="36"/>
      <c r="H46" s="36"/>
      <c r="I46" s="24"/>
      <c r="J46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6" s="27">
        <v>-999999</v>
      </c>
      <c r="L46" s="27">
        <v>-1000</v>
      </c>
      <c r="M46" s="38" t="s">
        <v>34</v>
      </c>
    </row>
    <row r="47" spans="1:13" s="5" customFormat="1" ht="16.5" x14ac:dyDescent="0.3">
      <c r="A47" s="39">
        <v>16001</v>
      </c>
      <c r="B47" s="39">
        <v>101600</v>
      </c>
      <c r="C47" s="39" t="s">
        <v>76</v>
      </c>
      <c r="D47" s="39">
        <v>1</v>
      </c>
      <c r="E47" s="40" t="s">
        <v>77</v>
      </c>
      <c r="F47" s="40"/>
      <c r="G47" s="40"/>
      <c r="H47" s="40"/>
      <c r="I47" s="24"/>
      <c r="J47" s="41" t="s">
        <v>78</v>
      </c>
      <c r="K47" s="27">
        <v>8000</v>
      </c>
      <c r="L47" s="27">
        <v>999999</v>
      </c>
      <c r="M47" s="42" t="s">
        <v>22</v>
      </c>
    </row>
    <row r="48" spans="1:13" s="5" customFormat="1" ht="16.5" x14ac:dyDescent="0.3">
      <c r="A48" s="39">
        <v>16002</v>
      </c>
      <c r="B48" s="39">
        <v>101600</v>
      </c>
      <c r="C48" s="39" t="s">
        <v>76</v>
      </c>
      <c r="D48" s="39">
        <v>2</v>
      </c>
      <c r="E48" s="40" t="s">
        <v>79</v>
      </c>
      <c r="F48" s="40"/>
      <c r="G48" s="40"/>
      <c r="H48" s="40"/>
      <c r="I48" s="24"/>
      <c r="J48" s="41" t="str">
        <f t="shared" ref="J48:J53" si="6">J47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27">
        <v>6000</v>
      </c>
      <c r="L48" s="27">
        <v>8000</v>
      </c>
      <c r="M48" s="42" t="s">
        <v>24</v>
      </c>
    </row>
    <row r="49" spans="1:13" s="5" customFormat="1" ht="16.5" x14ac:dyDescent="0.3">
      <c r="A49" s="39">
        <v>16003</v>
      </c>
      <c r="B49" s="39">
        <v>101600</v>
      </c>
      <c r="C49" s="39" t="s">
        <v>76</v>
      </c>
      <c r="D49" s="39">
        <v>3</v>
      </c>
      <c r="E49" s="40" t="s">
        <v>80</v>
      </c>
      <c r="F49" s="40"/>
      <c r="G49" s="40"/>
      <c r="H49" s="40"/>
      <c r="I49" s="24"/>
      <c r="J49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27">
        <v>4000</v>
      </c>
      <c r="L49" s="27">
        <v>6000</v>
      </c>
      <c r="M49" s="42" t="s">
        <v>26</v>
      </c>
    </row>
    <row r="50" spans="1:13" s="5" customFormat="1" ht="16.5" x14ac:dyDescent="0.3">
      <c r="A50" s="39">
        <v>16004</v>
      </c>
      <c r="B50" s="39">
        <v>101600</v>
      </c>
      <c r="C50" s="39" t="s">
        <v>76</v>
      </c>
      <c r="D50" s="39">
        <v>4</v>
      </c>
      <c r="E50" s="40" t="s">
        <v>81</v>
      </c>
      <c r="F50" s="40"/>
      <c r="G50" s="40"/>
      <c r="H50" s="40"/>
      <c r="I50" s="24"/>
      <c r="J50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27">
        <v>2000</v>
      </c>
      <c r="L50" s="27">
        <v>4000</v>
      </c>
      <c r="M50" s="42" t="s">
        <v>28</v>
      </c>
    </row>
    <row r="51" spans="1:13" s="5" customFormat="1" ht="16.5" x14ac:dyDescent="0.3">
      <c r="A51" s="39">
        <v>16005</v>
      </c>
      <c r="B51" s="39">
        <v>101600</v>
      </c>
      <c r="C51" s="39" t="s">
        <v>76</v>
      </c>
      <c r="D51" s="39">
        <v>5</v>
      </c>
      <c r="E51" s="40" t="s">
        <v>82</v>
      </c>
      <c r="F51" s="40"/>
      <c r="G51" s="40"/>
      <c r="H51" s="40"/>
      <c r="I51" s="24"/>
      <c r="J51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27">
        <v>0</v>
      </c>
      <c r="L51" s="27">
        <v>2000</v>
      </c>
      <c r="M51" s="42" t="s">
        <v>30</v>
      </c>
    </row>
    <row r="52" spans="1:13" s="5" customFormat="1" ht="16.5" x14ac:dyDescent="0.3">
      <c r="A52" s="39">
        <v>16006</v>
      </c>
      <c r="B52" s="39">
        <v>101600</v>
      </c>
      <c r="C52" s="39" t="s">
        <v>76</v>
      </c>
      <c r="D52" s="39">
        <v>6</v>
      </c>
      <c r="E52" s="40" t="s">
        <v>83</v>
      </c>
      <c r="F52" s="40"/>
      <c r="G52" s="40"/>
      <c r="H52" s="40"/>
      <c r="I52" s="24"/>
      <c r="J52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27">
        <v>-1000</v>
      </c>
      <c r="L52" s="27">
        <v>0</v>
      </c>
      <c r="M52" s="42" t="s">
        <v>32</v>
      </c>
    </row>
    <row r="53" spans="1:13" s="5" customFormat="1" ht="16.5" x14ac:dyDescent="0.3">
      <c r="A53" s="39">
        <v>16007</v>
      </c>
      <c r="B53" s="39">
        <v>101600</v>
      </c>
      <c r="C53" s="39" t="s">
        <v>76</v>
      </c>
      <c r="D53" s="39">
        <v>7</v>
      </c>
      <c r="E53" s="40" t="s">
        <v>84</v>
      </c>
      <c r="F53" s="40"/>
      <c r="G53" s="40"/>
      <c r="H53" s="40"/>
      <c r="I53" s="24"/>
      <c r="J53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27">
        <v>-999999</v>
      </c>
      <c r="L53" s="27">
        <v>-1000</v>
      </c>
      <c r="M53" s="42" t="s">
        <v>34</v>
      </c>
    </row>
    <row r="54" spans="1:13" s="2" customFormat="1" ht="16.5" x14ac:dyDescent="0.2">
      <c r="A54" s="22">
        <v>17001</v>
      </c>
      <c r="B54" s="29">
        <v>101700</v>
      </c>
      <c r="C54" s="29" t="s">
        <v>85</v>
      </c>
      <c r="D54" s="29">
        <v>1</v>
      </c>
      <c r="E54" s="30" t="s">
        <v>86</v>
      </c>
      <c r="F54" s="30"/>
      <c r="G54" s="30" t="s">
        <v>221</v>
      </c>
      <c r="H54" s="30" t="s">
        <v>201</v>
      </c>
      <c r="I54" s="24" t="s">
        <v>87</v>
      </c>
      <c r="J54" s="26" t="s">
        <v>194</v>
      </c>
      <c r="K54" s="27">
        <v>8000</v>
      </c>
      <c r="L54" s="27">
        <v>999999</v>
      </c>
      <c r="M54" s="28" t="s">
        <v>22</v>
      </c>
    </row>
    <row r="55" spans="1:13" s="2" customFormat="1" ht="16.5" x14ac:dyDescent="0.2">
      <c r="A55" s="22">
        <v>17002</v>
      </c>
      <c r="B55" s="29">
        <v>101700</v>
      </c>
      <c r="C55" s="29" t="s">
        <v>85</v>
      </c>
      <c r="D55" s="29">
        <v>2</v>
      </c>
      <c r="E55" s="30" t="s">
        <v>88</v>
      </c>
      <c r="F55" s="30"/>
      <c r="G55" s="30" t="s">
        <v>207</v>
      </c>
      <c r="H55" s="30" t="s">
        <v>201</v>
      </c>
      <c r="I55" s="24" t="s">
        <v>87</v>
      </c>
      <c r="J55" s="31" t="str">
        <f t="shared" ref="J55:J60" si="7">J54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7">
        <v>6000</v>
      </c>
      <c r="L55" s="27">
        <v>8000</v>
      </c>
      <c r="M55" s="28" t="s">
        <v>24</v>
      </c>
    </row>
    <row r="56" spans="1:13" s="2" customFormat="1" ht="16.5" x14ac:dyDescent="0.2">
      <c r="A56" s="22">
        <v>17003</v>
      </c>
      <c r="B56" s="29">
        <v>101700</v>
      </c>
      <c r="C56" s="29" t="s">
        <v>85</v>
      </c>
      <c r="D56" s="29">
        <v>3</v>
      </c>
      <c r="E56" s="30" t="s">
        <v>89</v>
      </c>
      <c r="F56" s="30"/>
      <c r="G56" s="30" t="s">
        <v>207</v>
      </c>
      <c r="H56" s="30" t="s">
        <v>201</v>
      </c>
      <c r="I56" s="24" t="s">
        <v>87</v>
      </c>
      <c r="J56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7">
        <v>4000</v>
      </c>
      <c r="L56" s="27">
        <v>6000</v>
      </c>
      <c r="M56" s="28" t="s">
        <v>26</v>
      </c>
    </row>
    <row r="57" spans="1:13" s="2" customFormat="1" ht="16.5" x14ac:dyDescent="0.2">
      <c r="A57" s="22">
        <v>17004</v>
      </c>
      <c r="B57" s="29">
        <v>101700</v>
      </c>
      <c r="C57" s="29" t="s">
        <v>85</v>
      </c>
      <c r="D57" s="29">
        <v>4</v>
      </c>
      <c r="E57" s="30" t="s">
        <v>90</v>
      </c>
      <c r="F57" s="30"/>
      <c r="G57" s="30" t="s">
        <v>207</v>
      </c>
      <c r="H57" s="30" t="s">
        <v>201</v>
      </c>
      <c r="I57" s="24" t="s">
        <v>87</v>
      </c>
      <c r="J57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7">
        <v>2000</v>
      </c>
      <c r="L57" s="27">
        <v>4000</v>
      </c>
      <c r="M57" s="28" t="s">
        <v>28</v>
      </c>
    </row>
    <row r="58" spans="1:13" s="2" customFormat="1" ht="16.5" x14ac:dyDescent="0.2">
      <c r="A58" s="22">
        <v>17005</v>
      </c>
      <c r="B58" s="29">
        <v>101700</v>
      </c>
      <c r="C58" s="29" t="s">
        <v>85</v>
      </c>
      <c r="D58" s="29">
        <v>5</v>
      </c>
      <c r="E58" s="30" t="s">
        <v>91</v>
      </c>
      <c r="F58" s="30"/>
      <c r="G58" s="30" t="s">
        <v>207</v>
      </c>
      <c r="H58" s="30" t="s">
        <v>201</v>
      </c>
      <c r="I58" s="24" t="s">
        <v>87</v>
      </c>
      <c r="J58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7">
        <v>0</v>
      </c>
      <c r="L58" s="27">
        <v>2000</v>
      </c>
      <c r="M58" s="28" t="s">
        <v>30</v>
      </c>
    </row>
    <row r="59" spans="1:13" s="2" customFormat="1" ht="16.5" x14ac:dyDescent="0.2">
      <c r="A59" s="22">
        <v>17006</v>
      </c>
      <c r="B59" s="29">
        <v>101700</v>
      </c>
      <c r="C59" s="29" t="s">
        <v>85</v>
      </c>
      <c r="D59" s="29">
        <v>6</v>
      </c>
      <c r="E59" s="30" t="s">
        <v>92</v>
      </c>
      <c r="F59" s="30"/>
      <c r="G59" s="30" t="s">
        <v>207</v>
      </c>
      <c r="H59" s="30" t="s">
        <v>201</v>
      </c>
      <c r="I59" s="24" t="s">
        <v>87</v>
      </c>
      <c r="J59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7">
        <v>-1000</v>
      </c>
      <c r="L59" s="27">
        <v>0</v>
      </c>
      <c r="M59" s="28" t="s">
        <v>32</v>
      </c>
    </row>
    <row r="60" spans="1:13" s="2" customFormat="1" ht="16.5" x14ac:dyDescent="0.2">
      <c r="A60" s="22">
        <v>17007</v>
      </c>
      <c r="B60" s="29">
        <v>101700</v>
      </c>
      <c r="C60" s="29" t="s">
        <v>85</v>
      </c>
      <c r="D60" s="29">
        <v>7</v>
      </c>
      <c r="E60" s="30" t="s">
        <v>42</v>
      </c>
      <c r="F60" s="30"/>
      <c r="G60" s="30" t="s">
        <v>207</v>
      </c>
      <c r="H60" s="30" t="s">
        <v>201</v>
      </c>
      <c r="I60" s="24" t="s">
        <v>87</v>
      </c>
      <c r="J60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7">
        <v>-999999</v>
      </c>
      <c r="L60" s="27">
        <v>-1000</v>
      </c>
      <c r="M60" s="28" t="s">
        <v>34</v>
      </c>
    </row>
    <row r="61" spans="1:13" s="6" customFormat="1" ht="16.5" x14ac:dyDescent="0.3">
      <c r="A61" s="43">
        <v>18001</v>
      </c>
      <c r="B61" s="43">
        <v>101800</v>
      </c>
      <c r="C61" s="43" t="s">
        <v>93</v>
      </c>
      <c r="D61" s="43">
        <v>1</v>
      </c>
      <c r="E61" s="44" t="s">
        <v>94</v>
      </c>
      <c r="F61" s="44"/>
      <c r="G61" s="44" t="s">
        <v>222</v>
      </c>
      <c r="H61" s="44" t="s">
        <v>224</v>
      </c>
      <c r="I61" s="24" t="s">
        <v>87</v>
      </c>
      <c r="J61" s="26" t="s">
        <v>195</v>
      </c>
      <c r="K61" s="27">
        <v>8000</v>
      </c>
      <c r="L61" s="27">
        <v>999999</v>
      </c>
      <c r="M61" s="28" t="s">
        <v>22</v>
      </c>
    </row>
    <row r="62" spans="1:13" s="6" customFormat="1" ht="16.5" x14ac:dyDescent="0.3">
      <c r="A62" s="43">
        <v>18002</v>
      </c>
      <c r="B62" s="43">
        <v>101800</v>
      </c>
      <c r="C62" s="43" t="s">
        <v>93</v>
      </c>
      <c r="D62" s="43">
        <v>2</v>
      </c>
      <c r="E62" s="44" t="s">
        <v>95</v>
      </c>
      <c r="F62" s="44"/>
      <c r="G62" s="44" t="s">
        <v>222</v>
      </c>
      <c r="H62" s="44" t="s">
        <v>224</v>
      </c>
      <c r="I62" s="24" t="s">
        <v>87</v>
      </c>
      <c r="J62" s="45" t="str">
        <f t="shared" ref="J62:J67" si="8">J61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7">
        <v>6000</v>
      </c>
      <c r="L62" s="27">
        <v>8000</v>
      </c>
      <c r="M62" s="28" t="s">
        <v>24</v>
      </c>
    </row>
    <row r="63" spans="1:13" s="6" customFormat="1" ht="16.5" x14ac:dyDescent="0.3">
      <c r="A63" s="43">
        <v>18003</v>
      </c>
      <c r="B63" s="43">
        <v>101800</v>
      </c>
      <c r="C63" s="43" t="s">
        <v>93</v>
      </c>
      <c r="D63" s="43">
        <v>3</v>
      </c>
      <c r="E63" s="44" t="s">
        <v>96</v>
      </c>
      <c r="F63" s="44"/>
      <c r="G63" s="44" t="s">
        <v>222</v>
      </c>
      <c r="H63" s="44" t="s">
        <v>224</v>
      </c>
      <c r="I63" s="24" t="s">
        <v>87</v>
      </c>
      <c r="J63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7">
        <v>4000</v>
      </c>
      <c r="L63" s="27">
        <v>6000</v>
      </c>
      <c r="M63" s="28" t="s">
        <v>26</v>
      </c>
    </row>
    <row r="64" spans="1:13" s="6" customFormat="1" ht="16.5" x14ac:dyDescent="0.3">
      <c r="A64" s="43">
        <v>18004</v>
      </c>
      <c r="B64" s="43">
        <v>101800</v>
      </c>
      <c r="C64" s="43" t="s">
        <v>93</v>
      </c>
      <c r="D64" s="43">
        <v>4</v>
      </c>
      <c r="E64" s="44" t="s">
        <v>97</v>
      </c>
      <c r="F64" s="44"/>
      <c r="G64" s="44" t="s">
        <v>222</v>
      </c>
      <c r="H64" s="44" t="s">
        <v>224</v>
      </c>
      <c r="I64" s="24" t="s">
        <v>87</v>
      </c>
      <c r="J64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7">
        <v>2000</v>
      </c>
      <c r="L64" s="27">
        <v>4000</v>
      </c>
      <c r="M64" s="28" t="s">
        <v>28</v>
      </c>
    </row>
    <row r="65" spans="1:13" s="6" customFormat="1" ht="16.5" x14ac:dyDescent="0.3">
      <c r="A65" s="43">
        <v>18005</v>
      </c>
      <c r="B65" s="43">
        <v>101800</v>
      </c>
      <c r="C65" s="43" t="s">
        <v>93</v>
      </c>
      <c r="D65" s="43">
        <v>5</v>
      </c>
      <c r="E65" s="44" t="s">
        <v>98</v>
      </c>
      <c r="F65" s="44"/>
      <c r="G65" s="44" t="s">
        <v>222</v>
      </c>
      <c r="H65" s="44" t="s">
        <v>224</v>
      </c>
      <c r="I65" s="24" t="s">
        <v>87</v>
      </c>
      <c r="J65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7">
        <v>0</v>
      </c>
      <c r="L65" s="27">
        <v>2000</v>
      </c>
      <c r="M65" s="28" t="s">
        <v>30</v>
      </c>
    </row>
    <row r="66" spans="1:13" s="6" customFormat="1" ht="16.5" x14ac:dyDescent="0.3">
      <c r="A66" s="43">
        <v>18006</v>
      </c>
      <c r="B66" s="43">
        <v>101800</v>
      </c>
      <c r="C66" s="43" t="s">
        <v>93</v>
      </c>
      <c r="D66" s="43">
        <v>6</v>
      </c>
      <c r="E66" s="44" t="s">
        <v>42</v>
      </c>
      <c r="F66" s="44"/>
      <c r="G66" s="44" t="s">
        <v>222</v>
      </c>
      <c r="H66" s="44" t="s">
        <v>224</v>
      </c>
      <c r="I66" s="24" t="s">
        <v>87</v>
      </c>
      <c r="J66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7">
        <v>-1000</v>
      </c>
      <c r="L66" s="27">
        <v>0</v>
      </c>
      <c r="M66" s="28" t="s">
        <v>32</v>
      </c>
    </row>
    <row r="67" spans="1:13" s="6" customFormat="1" ht="16.5" x14ac:dyDescent="0.3">
      <c r="A67" s="43">
        <v>18007</v>
      </c>
      <c r="B67" s="43">
        <v>101800</v>
      </c>
      <c r="C67" s="43" t="s">
        <v>93</v>
      </c>
      <c r="D67" s="43">
        <v>7</v>
      </c>
      <c r="E67" s="44" t="s">
        <v>42</v>
      </c>
      <c r="F67" s="44"/>
      <c r="G67" s="44" t="s">
        <v>222</v>
      </c>
      <c r="H67" s="44" t="s">
        <v>224</v>
      </c>
      <c r="I67" s="24" t="s">
        <v>87</v>
      </c>
      <c r="J67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7">
        <v>-999999</v>
      </c>
      <c r="L67" s="27">
        <v>-1000</v>
      </c>
      <c r="M67" s="28" t="s">
        <v>34</v>
      </c>
    </row>
    <row r="68" spans="1:13" s="4" customFormat="1" ht="16.5" x14ac:dyDescent="0.3">
      <c r="A68" s="35">
        <v>20001</v>
      </c>
      <c r="B68" s="35">
        <v>102000</v>
      </c>
      <c r="C68" s="35" t="s">
        <v>99</v>
      </c>
      <c r="D68" s="35">
        <v>1</v>
      </c>
      <c r="E68" s="36" t="s">
        <v>100</v>
      </c>
      <c r="F68" s="36"/>
      <c r="G68" s="36" t="s">
        <v>226</v>
      </c>
      <c r="H68" s="36" t="s">
        <v>223</v>
      </c>
      <c r="I68" s="24" t="s">
        <v>101</v>
      </c>
      <c r="J68" s="37" t="s">
        <v>102</v>
      </c>
      <c r="K68" s="27">
        <v>8000</v>
      </c>
      <c r="L68" s="27">
        <v>999999</v>
      </c>
      <c r="M68" s="38" t="s">
        <v>22</v>
      </c>
    </row>
    <row r="69" spans="1:13" s="4" customFormat="1" ht="16.5" x14ac:dyDescent="0.3">
      <c r="A69" s="35">
        <v>20002</v>
      </c>
      <c r="B69" s="35">
        <v>102000</v>
      </c>
      <c r="C69" s="35" t="s">
        <v>99</v>
      </c>
      <c r="D69" s="35">
        <v>2</v>
      </c>
      <c r="E69" s="36" t="s">
        <v>103</v>
      </c>
      <c r="F69" s="36"/>
      <c r="G69" s="36" t="s">
        <v>226</v>
      </c>
      <c r="H69" s="36" t="s">
        <v>223</v>
      </c>
      <c r="I69" s="24" t="str">
        <f t="shared" ref="I69:I74" si="9">I68</f>
        <v>1000000&amp;999999999_4,25-0|26-0|27-0|28-0;5,25-0|26-0|27-0|28-0</v>
      </c>
      <c r="J69" s="37" t="str">
        <f t="shared" ref="J69:J74" si="10">J68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69" s="27">
        <v>6000</v>
      </c>
      <c r="L69" s="27">
        <v>8000</v>
      </c>
      <c r="M69" s="38" t="s">
        <v>24</v>
      </c>
    </row>
    <row r="70" spans="1:13" s="4" customFormat="1" ht="16.5" x14ac:dyDescent="0.3">
      <c r="A70" s="35">
        <v>20003</v>
      </c>
      <c r="B70" s="35">
        <v>102000</v>
      </c>
      <c r="C70" s="35" t="s">
        <v>99</v>
      </c>
      <c r="D70" s="35">
        <v>3</v>
      </c>
      <c r="E70" s="36" t="s">
        <v>65</v>
      </c>
      <c r="F70" s="36"/>
      <c r="G70" s="36" t="s">
        <v>226</v>
      </c>
      <c r="H70" s="36" t="s">
        <v>223</v>
      </c>
      <c r="I70" s="24" t="str">
        <f t="shared" si="9"/>
        <v>1000000&amp;999999999_4,25-0|26-0|27-0|28-0;5,25-0|26-0|27-0|28-0</v>
      </c>
      <c r="J70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0" s="27">
        <v>4000</v>
      </c>
      <c r="L70" s="27">
        <v>6000</v>
      </c>
      <c r="M70" s="38" t="s">
        <v>26</v>
      </c>
    </row>
    <row r="71" spans="1:13" s="4" customFormat="1" ht="16.5" x14ac:dyDescent="0.3">
      <c r="A71" s="35">
        <v>20004</v>
      </c>
      <c r="B71" s="35">
        <v>102000</v>
      </c>
      <c r="C71" s="35" t="s">
        <v>99</v>
      </c>
      <c r="D71" s="35">
        <v>4</v>
      </c>
      <c r="E71" s="36" t="s">
        <v>104</v>
      </c>
      <c r="F71" s="36"/>
      <c r="G71" s="36" t="s">
        <v>226</v>
      </c>
      <c r="H71" s="36" t="s">
        <v>223</v>
      </c>
      <c r="I71" s="24" t="str">
        <f t="shared" si="9"/>
        <v>1000000&amp;999999999_4,25-0|26-0|27-0|28-0;5,25-0|26-0|27-0|28-0</v>
      </c>
      <c r="J71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1" s="27">
        <v>2000</v>
      </c>
      <c r="L71" s="27">
        <v>4000</v>
      </c>
      <c r="M71" s="38" t="s">
        <v>28</v>
      </c>
    </row>
    <row r="72" spans="1:13" s="4" customFormat="1" ht="16.5" x14ac:dyDescent="0.3">
      <c r="A72" s="35">
        <v>20005</v>
      </c>
      <c r="B72" s="35">
        <v>102000</v>
      </c>
      <c r="C72" s="35" t="s">
        <v>99</v>
      </c>
      <c r="D72" s="35">
        <v>5</v>
      </c>
      <c r="E72" s="36" t="s">
        <v>95</v>
      </c>
      <c r="F72" s="36"/>
      <c r="G72" s="36" t="s">
        <v>226</v>
      </c>
      <c r="H72" s="36" t="s">
        <v>223</v>
      </c>
      <c r="I72" s="24" t="str">
        <f t="shared" si="9"/>
        <v>1000000&amp;999999999_4,25-0|26-0|27-0|28-0;5,25-0|26-0|27-0|28-0</v>
      </c>
      <c r="J72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2" s="27">
        <v>0</v>
      </c>
      <c r="L72" s="27">
        <v>2000</v>
      </c>
      <c r="M72" s="38" t="s">
        <v>30</v>
      </c>
    </row>
    <row r="73" spans="1:13" s="4" customFormat="1" ht="16.5" x14ac:dyDescent="0.3">
      <c r="A73" s="35">
        <v>20006</v>
      </c>
      <c r="B73" s="35">
        <v>102000</v>
      </c>
      <c r="C73" s="35" t="s">
        <v>99</v>
      </c>
      <c r="D73" s="35">
        <v>6</v>
      </c>
      <c r="E73" s="36" t="s">
        <v>66</v>
      </c>
      <c r="F73" s="36"/>
      <c r="G73" s="36" t="s">
        <v>226</v>
      </c>
      <c r="H73" s="36" t="s">
        <v>223</v>
      </c>
      <c r="I73" s="24" t="str">
        <f t="shared" si="9"/>
        <v>1000000&amp;999999999_4,25-0|26-0|27-0|28-0;5,25-0|26-0|27-0|28-0</v>
      </c>
      <c r="J73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3" s="27">
        <v>-1000</v>
      </c>
      <c r="L73" s="27">
        <v>0</v>
      </c>
      <c r="M73" s="38" t="s">
        <v>32</v>
      </c>
    </row>
    <row r="74" spans="1:13" s="4" customFormat="1" ht="16.5" x14ac:dyDescent="0.3">
      <c r="A74" s="35">
        <v>20007</v>
      </c>
      <c r="B74" s="35">
        <v>102000</v>
      </c>
      <c r="C74" s="35" t="s">
        <v>99</v>
      </c>
      <c r="D74" s="35">
        <v>7</v>
      </c>
      <c r="E74" s="36" t="s">
        <v>42</v>
      </c>
      <c r="F74" s="36"/>
      <c r="G74" s="36" t="s">
        <v>226</v>
      </c>
      <c r="H74" s="36" t="s">
        <v>223</v>
      </c>
      <c r="I74" s="24" t="str">
        <f t="shared" si="9"/>
        <v>1000000&amp;999999999_4,25-0|26-0|27-0|28-0;5,25-0|26-0|27-0|28-0</v>
      </c>
      <c r="J74" s="37" t="str">
        <f t="shared" si="10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v>
      </c>
      <c r="K74" s="27">
        <v>-999999</v>
      </c>
      <c r="L74" s="27">
        <v>-1000</v>
      </c>
      <c r="M74" s="38" t="s">
        <v>34</v>
      </c>
    </row>
    <row r="75" spans="1:13" s="7" customFormat="1" ht="16.5" x14ac:dyDescent="0.3">
      <c r="A75" s="46">
        <v>21001</v>
      </c>
      <c r="B75" s="46">
        <v>102100</v>
      </c>
      <c r="C75" s="46" t="s">
        <v>105</v>
      </c>
      <c r="D75" s="46">
        <v>1</v>
      </c>
      <c r="E75" s="47" t="s">
        <v>106</v>
      </c>
      <c r="F75" s="47"/>
      <c r="G75" s="47" t="s">
        <v>227</v>
      </c>
      <c r="H75" s="47" t="s">
        <v>210</v>
      </c>
      <c r="I75" s="24" t="s">
        <v>209</v>
      </c>
      <c r="J75" s="26" t="s">
        <v>208</v>
      </c>
      <c r="K75" s="27">
        <v>8000</v>
      </c>
      <c r="L75" s="27">
        <v>999999</v>
      </c>
      <c r="M75" s="28" t="s">
        <v>22</v>
      </c>
    </row>
    <row r="76" spans="1:13" s="7" customFormat="1" ht="16.5" x14ac:dyDescent="0.3">
      <c r="A76" s="46">
        <v>21002</v>
      </c>
      <c r="B76" s="46">
        <v>102100</v>
      </c>
      <c r="C76" s="46" t="s">
        <v>105</v>
      </c>
      <c r="D76" s="46">
        <v>2</v>
      </c>
      <c r="E76" s="47" t="s">
        <v>107</v>
      </c>
      <c r="F76" s="47"/>
      <c r="G76" s="47" t="s">
        <v>227</v>
      </c>
      <c r="H76" s="47" t="s">
        <v>210</v>
      </c>
      <c r="I76" s="24" t="s">
        <v>209</v>
      </c>
      <c r="J76" s="30" t="str">
        <f t="shared" ref="J76:J81" si="11">J75</f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6" s="27">
        <v>6000</v>
      </c>
      <c r="L76" s="27">
        <v>8000</v>
      </c>
      <c r="M76" s="28" t="s">
        <v>24</v>
      </c>
    </row>
    <row r="77" spans="1:13" s="7" customFormat="1" ht="16.5" x14ac:dyDescent="0.3">
      <c r="A77" s="46">
        <v>21003</v>
      </c>
      <c r="B77" s="46">
        <v>102100</v>
      </c>
      <c r="C77" s="46" t="s">
        <v>105</v>
      </c>
      <c r="D77" s="46">
        <v>3</v>
      </c>
      <c r="E77" s="47" t="s">
        <v>108</v>
      </c>
      <c r="F77" s="47"/>
      <c r="G77" s="47" t="s">
        <v>227</v>
      </c>
      <c r="H77" s="47" t="s">
        <v>210</v>
      </c>
      <c r="I77" s="24" t="s">
        <v>209</v>
      </c>
      <c r="J77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7" s="27">
        <v>4000</v>
      </c>
      <c r="L77" s="27">
        <v>6000</v>
      </c>
      <c r="M77" s="28" t="s">
        <v>26</v>
      </c>
    </row>
    <row r="78" spans="1:13" s="7" customFormat="1" ht="16.5" x14ac:dyDescent="0.3">
      <c r="A78" s="46">
        <v>21004</v>
      </c>
      <c r="B78" s="46">
        <v>102100</v>
      </c>
      <c r="C78" s="46" t="s">
        <v>105</v>
      </c>
      <c r="D78" s="46">
        <v>4</v>
      </c>
      <c r="E78" s="47" t="s">
        <v>109</v>
      </c>
      <c r="F78" s="47"/>
      <c r="G78" s="47" t="s">
        <v>227</v>
      </c>
      <c r="H78" s="47" t="s">
        <v>210</v>
      </c>
      <c r="I78" s="24" t="s">
        <v>209</v>
      </c>
      <c r="J78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8" s="27">
        <v>2000</v>
      </c>
      <c r="L78" s="27">
        <v>4000</v>
      </c>
      <c r="M78" s="28" t="s">
        <v>28</v>
      </c>
    </row>
    <row r="79" spans="1:13" s="7" customFormat="1" ht="16.5" x14ac:dyDescent="0.3">
      <c r="A79" s="46">
        <v>21005</v>
      </c>
      <c r="B79" s="46">
        <v>102100</v>
      </c>
      <c r="C79" s="46" t="s">
        <v>105</v>
      </c>
      <c r="D79" s="46">
        <v>5</v>
      </c>
      <c r="E79" s="47" t="s">
        <v>110</v>
      </c>
      <c r="F79" s="47"/>
      <c r="G79" s="47" t="s">
        <v>227</v>
      </c>
      <c r="H79" s="47" t="s">
        <v>210</v>
      </c>
      <c r="I79" s="24" t="s">
        <v>209</v>
      </c>
      <c r="J79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9" s="27">
        <v>0</v>
      </c>
      <c r="L79" s="27">
        <v>2000</v>
      </c>
      <c r="M79" s="28" t="s">
        <v>30</v>
      </c>
    </row>
    <row r="80" spans="1:13" s="7" customFormat="1" ht="16.5" x14ac:dyDescent="0.3">
      <c r="A80" s="46">
        <v>21006</v>
      </c>
      <c r="B80" s="46">
        <v>102100</v>
      </c>
      <c r="C80" s="46" t="s">
        <v>105</v>
      </c>
      <c r="D80" s="46">
        <v>6</v>
      </c>
      <c r="E80" s="47" t="s">
        <v>111</v>
      </c>
      <c r="F80" s="47"/>
      <c r="G80" s="47" t="s">
        <v>227</v>
      </c>
      <c r="H80" s="47" t="s">
        <v>210</v>
      </c>
      <c r="I80" s="24" t="s">
        <v>209</v>
      </c>
      <c r="J80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0" s="27">
        <v>-1000</v>
      </c>
      <c r="L80" s="27">
        <v>0</v>
      </c>
      <c r="M80" s="28" t="s">
        <v>32</v>
      </c>
    </row>
    <row r="81" spans="1:13" s="7" customFormat="1" ht="16.5" x14ac:dyDescent="0.3">
      <c r="A81" s="46">
        <v>21007</v>
      </c>
      <c r="B81" s="46">
        <v>102100</v>
      </c>
      <c r="C81" s="46" t="s">
        <v>105</v>
      </c>
      <c r="D81" s="46">
        <v>7</v>
      </c>
      <c r="E81" s="47" t="s">
        <v>111</v>
      </c>
      <c r="F81" s="47"/>
      <c r="G81" s="47" t="s">
        <v>227</v>
      </c>
      <c r="H81" s="47" t="s">
        <v>210</v>
      </c>
      <c r="I81" s="24" t="s">
        <v>209</v>
      </c>
      <c r="J81" s="30" t="str">
        <f t="shared" si="11"/>
        <v>1,0&amp;1-55600|1&amp;20-27600|20&amp;40-4900|40&amp;60-2700|60&amp;80-600|80&amp;100-1000|100&amp;120-500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1" s="27">
        <v>-999999</v>
      </c>
      <c r="L81" s="27">
        <v>-1000</v>
      </c>
      <c r="M81" s="28" t="s">
        <v>34</v>
      </c>
    </row>
    <row r="82" spans="1:13" s="8" customFormat="1" ht="16.5" x14ac:dyDescent="0.3">
      <c r="A82" s="48">
        <v>22001</v>
      </c>
      <c r="B82" s="48">
        <v>102200</v>
      </c>
      <c r="C82" s="48" t="s">
        <v>112</v>
      </c>
      <c r="D82" s="48">
        <v>1</v>
      </c>
      <c r="E82" s="49" t="s">
        <v>64</v>
      </c>
      <c r="F82" s="49"/>
      <c r="G82" s="49" t="s">
        <v>228</v>
      </c>
      <c r="H82" s="49" t="s">
        <v>202</v>
      </c>
      <c r="I82" s="24" t="s">
        <v>113</v>
      </c>
      <c r="J82" s="26" t="s">
        <v>114</v>
      </c>
      <c r="K82" s="27">
        <v>8000</v>
      </c>
      <c r="L82" s="27">
        <v>999999</v>
      </c>
      <c r="M82" s="28" t="s">
        <v>22</v>
      </c>
    </row>
    <row r="83" spans="1:13" s="8" customFormat="1" ht="16.5" x14ac:dyDescent="0.3">
      <c r="A83" s="48">
        <v>22002</v>
      </c>
      <c r="B83" s="48">
        <v>102200</v>
      </c>
      <c r="C83" s="48" t="s">
        <v>112</v>
      </c>
      <c r="D83" s="48">
        <v>2</v>
      </c>
      <c r="E83" s="49" t="s">
        <v>100</v>
      </c>
      <c r="F83" s="49"/>
      <c r="G83" s="49" t="s">
        <v>228</v>
      </c>
      <c r="H83" s="49" t="s">
        <v>202</v>
      </c>
      <c r="I83" s="24" t="s">
        <v>113</v>
      </c>
      <c r="J83" s="50" t="str">
        <f t="shared" ref="J83:J88" si="12">J82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3" s="27">
        <v>6000</v>
      </c>
      <c r="L83" s="27">
        <v>8000</v>
      </c>
      <c r="M83" s="28" t="s">
        <v>24</v>
      </c>
    </row>
    <row r="84" spans="1:13" s="8" customFormat="1" ht="16.5" x14ac:dyDescent="0.3">
      <c r="A84" s="48">
        <v>22003</v>
      </c>
      <c r="B84" s="48">
        <v>102200</v>
      </c>
      <c r="C84" s="48" t="s">
        <v>112</v>
      </c>
      <c r="D84" s="48">
        <v>3</v>
      </c>
      <c r="E84" s="49" t="s">
        <v>103</v>
      </c>
      <c r="F84" s="49"/>
      <c r="G84" s="49" t="s">
        <v>228</v>
      </c>
      <c r="H84" s="49" t="s">
        <v>202</v>
      </c>
      <c r="I84" s="24" t="s">
        <v>113</v>
      </c>
      <c r="J84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4" s="27">
        <v>4000</v>
      </c>
      <c r="L84" s="27">
        <v>6000</v>
      </c>
      <c r="M84" s="28" t="s">
        <v>26</v>
      </c>
    </row>
    <row r="85" spans="1:13" s="8" customFormat="1" ht="16.5" x14ac:dyDescent="0.3">
      <c r="A85" s="48">
        <v>22004</v>
      </c>
      <c r="B85" s="48">
        <v>102200</v>
      </c>
      <c r="C85" s="48" t="s">
        <v>112</v>
      </c>
      <c r="D85" s="48">
        <v>4</v>
      </c>
      <c r="E85" s="49" t="s">
        <v>65</v>
      </c>
      <c r="F85" s="49"/>
      <c r="G85" s="49" t="s">
        <v>228</v>
      </c>
      <c r="H85" s="49" t="s">
        <v>202</v>
      </c>
      <c r="I85" s="24" t="s">
        <v>113</v>
      </c>
      <c r="J85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5" s="27">
        <v>2000</v>
      </c>
      <c r="L85" s="27">
        <v>4000</v>
      </c>
      <c r="M85" s="28" t="s">
        <v>28</v>
      </c>
    </row>
    <row r="86" spans="1:13" s="8" customFormat="1" ht="16.5" x14ac:dyDescent="0.3">
      <c r="A86" s="48">
        <v>22005</v>
      </c>
      <c r="B86" s="48">
        <v>102200</v>
      </c>
      <c r="C86" s="48" t="s">
        <v>112</v>
      </c>
      <c r="D86" s="48">
        <v>5</v>
      </c>
      <c r="E86" s="49" t="s">
        <v>115</v>
      </c>
      <c r="F86" s="49"/>
      <c r="G86" s="49" t="s">
        <v>228</v>
      </c>
      <c r="H86" s="49" t="s">
        <v>202</v>
      </c>
      <c r="I86" s="24" t="s">
        <v>113</v>
      </c>
      <c r="J86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6" s="27">
        <v>0</v>
      </c>
      <c r="L86" s="27">
        <v>2000</v>
      </c>
      <c r="M86" s="28" t="s">
        <v>30</v>
      </c>
    </row>
    <row r="87" spans="1:13" s="8" customFormat="1" ht="16.5" x14ac:dyDescent="0.3">
      <c r="A87" s="48">
        <v>22006</v>
      </c>
      <c r="B87" s="48">
        <v>102200</v>
      </c>
      <c r="C87" s="48" t="s">
        <v>112</v>
      </c>
      <c r="D87" s="48">
        <v>6</v>
      </c>
      <c r="E87" s="49" t="s">
        <v>42</v>
      </c>
      <c r="F87" s="49"/>
      <c r="G87" s="49" t="s">
        <v>228</v>
      </c>
      <c r="H87" s="49" t="s">
        <v>202</v>
      </c>
      <c r="I87" s="24" t="s">
        <v>113</v>
      </c>
      <c r="J87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7" s="27">
        <v>-1000</v>
      </c>
      <c r="L87" s="27">
        <v>0</v>
      </c>
      <c r="M87" s="28" t="s">
        <v>32</v>
      </c>
    </row>
    <row r="88" spans="1:13" s="8" customFormat="1" ht="16.5" x14ac:dyDescent="0.3">
      <c r="A88" s="48">
        <v>22007</v>
      </c>
      <c r="B88" s="48">
        <v>102200</v>
      </c>
      <c r="C88" s="48" t="s">
        <v>112</v>
      </c>
      <c r="D88" s="48">
        <v>7</v>
      </c>
      <c r="E88" s="49" t="s">
        <v>42</v>
      </c>
      <c r="F88" s="49"/>
      <c r="G88" s="49" t="s">
        <v>228</v>
      </c>
      <c r="H88" s="49" t="s">
        <v>202</v>
      </c>
      <c r="I88" s="24" t="s">
        <v>113</v>
      </c>
      <c r="J88" s="50" t="str">
        <f t="shared" si="12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88" s="27">
        <v>-999999</v>
      </c>
      <c r="L88" s="27">
        <v>-1000</v>
      </c>
      <c r="M88" s="28" t="s">
        <v>34</v>
      </c>
    </row>
    <row r="89" spans="1:13" s="9" customFormat="1" ht="16.5" x14ac:dyDescent="0.3">
      <c r="A89" s="51">
        <v>23001</v>
      </c>
      <c r="B89" s="51">
        <v>102300</v>
      </c>
      <c r="C89" s="51" t="s">
        <v>116</v>
      </c>
      <c r="D89" s="51">
        <v>1</v>
      </c>
      <c r="E89" s="52" t="s">
        <v>117</v>
      </c>
      <c r="F89" s="52"/>
      <c r="G89" s="52" t="s">
        <v>230</v>
      </c>
      <c r="H89" s="52" t="s">
        <v>229</v>
      </c>
      <c r="I89" s="24" t="s">
        <v>118</v>
      </c>
      <c r="J89" s="26" t="s">
        <v>206</v>
      </c>
      <c r="K89" s="27">
        <v>8000</v>
      </c>
      <c r="L89" s="27">
        <v>999999</v>
      </c>
      <c r="M89" s="28" t="s">
        <v>22</v>
      </c>
    </row>
    <row r="90" spans="1:13" s="9" customFormat="1" ht="16.5" x14ac:dyDescent="0.3">
      <c r="A90" s="51">
        <v>23002</v>
      </c>
      <c r="B90" s="51">
        <v>102300</v>
      </c>
      <c r="C90" s="51" t="s">
        <v>116</v>
      </c>
      <c r="D90" s="51">
        <v>2</v>
      </c>
      <c r="E90" s="52" t="s">
        <v>119</v>
      </c>
      <c r="F90" s="52"/>
      <c r="G90" s="52" t="s">
        <v>230</v>
      </c>
      <c r="H90" s="52" t="s">
        <v>229</v>
      </c>
      <c r="I90" s="24" t="s">
        <v>118</v>
      </c>
      <c r="J90" s="53" t="str">
        <f t="shared" ref="J90:J95" si="13">J89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0" s="27">
        <v>6000</v>
      </c>
      <c r="L90" s="27">
        <v>8000</v>
      </c>
      <c r="M90" s="28" t="s">
        <v>24</v>
      </c>
    </row>
    <row r="91" spans="1:13" s="9" customFormat="1" ht="16.5" x14ac:dyDescent="0.3">
      <c r="A91" s="51">
        <v>23003</v>
      </c>
      <c r="B91" s="51">
        <v>102300</v>
      </c>
      <c r="C91" s="51" t="s">
        <v>116</v>
      </c>
      <c r="D91" s="51">
        <v>3</v>
      </c>
      <c r="E91" s="52" t="s">
        <v>120</v>
      </c>
      <c r="F91" s="52"/>
      <c r="G91" s="52" t="s">
        <v>230</v>
      </c>
      <c r="H91" s="52" t="s">
        <v>229</v>
      </c>
      <c r="I91" s="24" t="s">
        <v>118</v>
      </c>
      <c r="J91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1" s="27">
        <v>4000</v>
      </c>
      <c r="L91" s="27">
        <v>6000</v>
      </c>
      <c r="M91" s="28" t="s">
        <v>26</v>
      </c>
    </row>
    <row r="92" spans="1:13" s="9" customFormat="1" ht="16.5" x14ac:dyDescent="0.3">
      <c r="A92" s="51">
        <v>23004</v>
      </c>
      <c r="B92" s="51">
        <v>102300</v>
      </c>
      <c r="C92" s="51" t="s">
        <v>116</v>
      </c>
      <c r="D92" s="51">
        <v>4</v>
      </c>
      <c r="E92" s="52" t="s">
        <v>121</v>
      </c>
      <c r="F92" s="52"/>
      <c r="G92" s="52" t="s">
        <v>230</v>
      </c>
      <c r="H92" s="52" t="s">
        <v>229</v>
      </c>
      <c r="I92" s="24" t="s">
        <v>118</v>
      </c>
      <c r="J92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2" s="27">
        <v>2000</v>
      </c>
      <c r="L92" s="27">
        <v>4000</v>
      </c>
      <c r="M92" s="28" t="s">
        <v>28</v>
      </c>
    </row>
    <row r="93" spans="1:13" s="9" customFormat="1" ht="16.5" x14ac:dyDescent="0.3">
      <c r="A93" s="51">
        <v>23005</v>
      </c>
      <c r="B93" s="51">
        <v>102300</v>
      </c>
      <c r="C93" s="51" t="s">
        <v>116</v>
      </c>
      <c r="D93" s="51">
        <v>5</v>
      </c>
      <c r="E93" s="52" t="s">
        <v>122</v>
      </c>
      <c r="F93" s="52"/>
      <c r="G93" s="52" t="s">
        <v>230</v>
      </c>
      <c r="H93" s="52" t="s">
        <v>229</v>
      </c>
      <c r="I93" s="24" t="s">
        <v>118</v>
      </c>
      <c r="J93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3" s="27">
        <v>0</v>
      </c>
      <c r="L93" s="27">
        <v>2000</v>
      </c>
      <c r="M93" s="28" t="s">
        <v>30</v>
      </c>
    </row>
    <row r="94" spans="1:13" s="9" customFormat="1" ht="16.5" x14ac:dyDescent="0.3">
      <c r="A94" s="51">
        <v>23006</v>
      </c>
      <c r="B94" s="51">
        <v>102300</v>
      </c>
      <c r="C94" s="51" t="s">
        <v>116</v>
      </c>
      <c r="D94" s="51">
        <v>6</v>
      </c>
      <c r="E94" s="52" t="s">
        <v>92</v>
      </c>
      <c r="F94" s="52"/>
      <c r="G94" s="52" t="s">
        <v>230</v>
      </c>
      <c r="H94" s="52" t="s">
        <v>229</v>
      </c>
      <c r="I94" s="24" t="s">
        <v>118</v>
      </c>
      <c r="J94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4" s="27">
        <v>-1000</v>
      </c>
      <c r="L94" s="27">
        <v>0</v>
      </c>
      <c r="M94" s="28" t="s">
        <v>32</v>
      </c>
    </row>
    <row r="95" spans="1:13" s="9" customFormat="1" ht="16.5" x14ac:dyDescent="0.3">
      <c r="A95" s="51">
        <v>23007</v>
      </c>
      <c r="B95" s="51">
        <v>102300</v>
      </c>
      <c r="C95" s="51" t="s">
        <v>116</v>
      </c>
      <c r="D95" s="51">
        <v>7</v>
      </c>
      <c r="E95" s="52" t="s">
        <v>42</v>
      </c>
      <c r="F95" s="52"/>
      <c r="G95" s="52" t="s">
        <v>230</v>
      </c>
      <c r="H95" s="52" t="s">
        <v>229</v>
      </c>
      <c r="I95" s="24" t="s">
        <v>118</v>
      </c>
      <c r="J95" s="53" t="str">
        <f t="shared" si="13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5" s="27">
        <v>-999999</v>
      </c>
      <c r="L95" s="27">
        <v>-1000</v>
      </c>
      <c r="M95" s="28" t="s">
        <v>34</v>
      </c>
    </row>
    <row r="96" spans="1:13" ht="16.5" x14ac:dyDescent="0.2">
      <c r="A96" s="22">
        <v>24001</v>
      </c>
      <c r="B96" s="22">
        <v>102400</v>
      </c>
      <c r="C96" s="22" t="s">
        <v>123</v>
      </c>
      <c r="D96" s="22">
        <v>1</v>
      </c>
      <c r="E96" s="24" t="s">
        <v>20</v>
      </c>
      <c r="F96" s="24"/>
      <c r="G96" s="24" t="s">
        <v>213</v>
      </c>
      <c r="H96" s="24" t="s">
        <v>197</v>
      </c>
      <c r="I96" s="24"/>
      <c r="J96" s="26" t="s">
        <v>21</v>
      </c>
      <c r="K96" s="27">
        <v>8000</v>
      </c>
      <c r="L96" s="27">
        <v>999999</v>
      </c>
      <c r="M96" s="28" t="s">
        <v>22</v>
      </c>
    </row>
    <row r="97" spans="1:13" ht="16.5" x14ac:dyDescent="0.2">
      <c r="A97" s="22">
        <v>24002</v>
      </c>
      <c r="B97" s="22">
        <v>102400</v>
      </c>
      <c r="C97" s="22" t="s">
        <v>123</v>
      </c>
      <c r="D97" s="22">
        <v>2</v>
      </c>
      <c r="E97" s="24" t="s">
        <v>23</v>
      </c>
      <c r="F97" s="24"/>
      <c r="G97" s="24" t="s">
        <v>213</v>
      </c>
      <c r="H97" s="24" t="s">
        <v>197</v>
      </c>
      <c r="I97" s="24"/>
      <c r="J97" s="24" t="str">
        <f t="shared" ref="J97:J102" si="14">J96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7" s="27">
        <v>6000</v>
      </c>
      <c r="L97" s="27">
        <v>8000</v>
      </c>
      <c r="M97" s="28" t="s">
        <v>24</v>
      </c>
    </row>
    <row r="98" spans="1:13" ht="16.5" x14ac:dyDescent="0.2">
      <c r="A98" s="22">
        <v>24003</v>
      </c>
      <c r="B98" s="22">
        <v>102400</v>
      </c>
      <c r="C98" s="22" t="s">
        <v>123</v>
      </c>
      <c r="D98" s="22">
        <v>3</v>
      </c>
      <c r="E98" s="24" t="s">
        <v>25</v>
      </c>
      <c r="F98" s="24"/>
      <c r="G98" s="24" t="s">
        <v>213</v>
      </c>
      <c r="H98" s="24" t="s">
        <v>197</v>
      </c>
      <c r="I98" s="24"/>
      <c r="J98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8" s="27">
        <v>4000</v>
      </c>
      <c r="L98" s="27">
        <v>6000</v>
      </c>
      <c r="M98" s="28" t="s">
        <v>26</v>
      </c>
    </row>
    <row r="99" spans="1:13" ht="16.5" x14ac:dyDescent="0.2">
      <c r="A99" s="22">
        <v>24004</v>
      </c>
      <c r="B99" s="22">
        <v>102400</v>
      </c>
      <c r="C99" s="22" t="s">
        <v>123</v>
      </c>
      <c r="D99" s="22">
        <v>4</v>
      </c>
      <c r="E99" s="24" t="s">
        <v>27</v>
      </c>
      <c r="F99" s="24"/>
      <c r="G99" s="24" t="s">
        <v>213</v>
      </c>
      <c r="H99" s="24" t="s">
        <v>197</v>
      </c>
      <c r="I99" s="24"/>
      <c r="J99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9" s="27">
        <v>2000</v>
      </c>
      <c r="L99" s="27">
        <v>4000</v>
      </c>
      <c r="M99" s="28" t="s">
        <v>28</v>
      </c>
    </row>
    <row r="100" spans="1:13" ht="16.5" x14ac:dyDescent="0.2">
      <c r="A100" s="22">
        <v>24005</v>
      </c>
      <c r="B100" s="22">
        <v>102400</v>
      </c>
      <c r="C100" s="22" t="s">
        <v>123</v>
      </c>
      <c r="D100" s="22">
        <v>5</v>
      </c>
      <c r="E100" s="24" t="s">
        <v>29</v>
      </c>
      <c r="F100" s="24"/>
      <c r="G100" s="24" t="s">
        <v>213</v>
      </c>
      <c r="H100" s="24" t="s">
        <v>197</v>
      </c>
      <c r="I100" s="24"/>
      <c r="J100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0" s="27">
        <v>0</v>
      </c>
      <c r="L100" s="27">
        <v>2000</v>
      </c>
      <c r="M100" s="28" t="s">
        <v>30</v>
      </c>
    </row>
    <row r="101" spans="1:13" ht="16.5" x14ac:dyDescent="0.2">
      <c r="A101" s="22">
        <v>24006</v>
      </c>
      <c r="B101" s="22">
        <v>102400</v>
      </c>
      <c r="C101" s="22" t="s">
        <v>123</v>
      </c>
      <c r="D101" s="22">
        <v>6</v>
      </c>
      <c r="E101" s="24" t="s">
        <v>31</v>
      </c>
      <c r="F101" s="24"/>
      <c r="G101" s="24" t="s">
        <v>213</v>
      </c>
      <c r="H101" s="24" t="s">
        <v>197</v>
      </c>
      <c r="I101" s="24"/>
      <c r="J101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1" s="27">
        <v>-1000</v>
      </c>
      <c r="L101" s="27">
        <v>0</v>
      </c>
      <c r="M101" s="28" t="s">
        <v>32</v>
      </c>
    </row>
    <row r="102" spans="1:13" ht="16.5" x14ac:dyDescent="0.2">
      <c r="A102" s="22">
        <v>24007</v>
      </c>
      <c r="B102" s="22">
        <v>102400</v>
      </c>
      <c r="C102" s="22" t="s">
        <v>123</v>
      </c>
      <c r="D102" s="22">
        <v>7</v>
      </c>
      <c r="E102" s="24" t="s">
        <v>33</v>
      </c>
      <c r="F102" s="24"/>
      <c r="G102" s="24" t="s">
        <v>213</v>
      </c>
      <c r="H102" s="24" t="s">
        <v>197</v>
      </c>
      <c r="I102" s="24"/>
      <c r="J102" s="24" t="str">
        <f t="shared" si="1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2" s="27">
        <v>-999999</v>
      </c>
      <c r="L102" s="27">
        <v>-1000</v>
      </c>
      <c r="M102" s="28" t="s">
        <v>34</v>
      </c>
    </row>
    <row r="103" spans="1:13" s="10" customFormat="1" ht="16.5" x14ac:dyDescent="0.3">
      <c r="A103" s="54">
        <v>25001</v>
      </c>
      <c r="B103" s="54">
        <v>102500</v>
      </c>
      <c r="C103" s="54" t="s">
        <v>124</v>
      </c>
      <c r="D103" s="54">
        <v>1</v>
      </c>
      <c r="E103" s="55" t="s">
        <v>95</v>
      </c>
      <c r="F103" s="55"/>
      <c r="G103" s="55" t="s">
        <v>231</v>
      </c>
      <c r="H103" s="55" t="s">
        <v>232</v>
      </c>
      <c r="I103" s="24" t="s">
        <v>87</v>
      </c>
      <c r="J103" s="26" t="s">
        <v>125</v>
      </c>
      <c r="K103" s="27">
        <v>8000</v>
      </c>
      <c r="L103" s="27">
        <v>999999</v>
      </c>
      <c r="M103" s="28" t="s">
        <v>22</v>
      </c>
    </row>
    <row r="104" spans="1:13" s="10" customFormat="1" ht="16.5" x14ac:dyDescent="0.3">
      <c r="A104" s="54">
        <v>25002</v>
      </c>
      <c r="B104" s="54">
        <v>102500</v>
      </c>
      <c r="C104" s="54" t="s">
        <v>124</v>
      </c>
      <c r="D104" s="54">
        <v>2</v>
      </c>
      <c r="E104" s="55" t="s">
        <v>96</v>
      </c>
      <c r="F104" s="55"/>
      <c r="G104" s="55" t="s">
        <v>231</v>
      </c>
      <c r="H104" s="55" t="s">
        <v>232</v>
      </c>
      <c r="I104" s="24" t="s">
        <v>87</v>
      </c>
      <c r="J104" s="56" t="str">
        <f t="shared" ref="J104:J109" si="15">J103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4" s="27">
        <v>6000</v>
      </c>
      <c r="L104" s="27">
        <v>8000</v>
      </c>
      <c r="M104" s="28" t="s">
        <v>24</v>
      </c>
    </row>
    <row r="105" spans="1:13" s="10" customFormat="1" ht="16.5" x14ac:dyDescent="0.3">
      <c r="A105" s="54">
        <v>25003</v>
      </c>
      <c r="B105" s="54">
        <v>102500</v>
      </c>
      <c r="C105" s="54" t="s">
        <v>124</v>
      </c>
      <c r="D105" s="54">
        <v>3</v>
      </c>
      <c r="E105" s="55" t="s">
        <v>97</v>
      </c>
      <c r="F105" s="55"/>
      <c r="G105" s="55" t="s">
        <v>231</v>
      </c>
      <c r="H105" s="55" t="s">
        <v>232</v>
      </c>
      <c r="I105" s="24" t="s">
        <v>87</v>
      </c>
      <c r="J105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5" s="27">
        <v>4000</v>
      </c>
      <c r="L105" s="27">
        <v>6000</v>
      </c>
      <c r="M105" s="28" t="s">
        <v>26</v>
      </c>
    </row>
    <row r="106" spans="1:13" s="10" customFormat="1" ht="16.5" x14ac:dyDescent="0.3">
      <c r="A106" s="54">
        <v>25004</v>
      </c>
      <c r="B106" s="54">
        <v>102500</v>
      </c>
      <c r="C106" s="54" t="s">
        <v>124</v>
      </c>
      <c r="D106" s="54">
        <v>4</v>
      </c>
      <c r="E106" s="55" t="s">
        <v>90</v>
      </c>
      <c r="F106" s="55"/>
      <c r="G106" s="55" t="s">
        <v>231</v>
      </c>
      <c r="H106" s="55" t="s">
        <v>232</v>
      </c>
      <c r="I106" s="24" t="s">
        <v>87</v>
      </c>
      <c r="J106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6" s="27">
        <v>2000</v>
      </c>
      <c r="L106" s="27">
        <v>4000</v>
      </c>
      <c r="M106" s="28" t="s">
        <v>28</v>
      </c>
    </row>
    <row r="107" spans="1:13" s="10" customFormat="1" ht="16.5" x14ac:dyDescent="0.3">
      <c r="A107" s="54">
        <v>25005</v>
      </c>
      <c r="B107" s="54">
        <v>102500</v>
      </c>
      <c r="C107" s="54" t="s">
        <v>124</v>
      </c>
      <c r="D107" s="54">
        <v>5</v>
      </c>
      <c r="E107" s="55" t="s">
        <v>98</v>
      </c>
      <c r="F107" s="55"/>
      <c r="G107" s="55" t="s">
        <v>231</v>
      </c>
      <c r="H107" s="55" t="s">
        <v>232</v>
      </c>
      <c r="I107" s="24" t="s">
        <v>87</v>
      </c>
      <c r="J107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7" s="27">
        <v>0</v>
      </c>
      <c r="L107" s="27">
        <v>2000</v>
      </c>
      <c r="M107" s="28" t="s">
        <v>30</v>
      </c>
    </row>
    <row r="108" spans="1:13" s="10" customFormat="1" ht="16.5" x14ac:dyDescent="0.3">
      <c r="A108" s="54">
        <v>25006</v>
      </c>
      <c r="B108" s="54">
        <v>102500</v>
      </c>
      <c r="C108" s="54" t="s">
        <v>124</v>
      </c>
      <c r="D108" s="54">
        <v>6</v>
      </c>
      <c r="E108" s="55" t="s">
        <v>42</v>
      </c>
      <c r="F108" s="55"/>
      <c r="G108" s="55" t="s">
        <v>231</v>
      </c>
      <c r="H108" s="55" t="s">
        <v>232</v>
      </c>
      <c r="I108" s="24" t="s">
        <v>87</v>
      </c>
      <c r="J108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8" s="27">
        <v>-1000</v>
      </c>
      <c r="L108" s="27">
        <v>0</v>
      </c>
      <c r="M108" s="28" t="s">
        <v>32</v>
      </c>
    </row>
    <row r="109" spans="1:13" s="10" customFormat="1" ht="16.5" x14ac:dyDescent="0.3">
      <c r="A109" s="54">
        <v>25007</v>
      </c>
      <c r="B109" s="54">
        <v>102500</v>
      </c>
      <c r="C109" s="54" t="s">
        <v>124</v>
      </c>
      <c r="D109" s="54">
        <v>7</v>
      </c>
      <c r="E109" s="55" t="s">
        <v>42</v>
      </c>
      <c r="F109" s="55"/>
      <c r="G109" s="55" t="s">
        <v>231</v>
      </c>
      <c r="H109" s="55" t="s">
        <v>232</v>
      </c>
      <c r="I109" s="24" t="s">
        <v>87</v>
      </c>
      <c r="J109" s="56" t="str">
        <f t="shared" si="15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09" s="27">
        <v>-999999</v>
      </c>
      <c r="L109" s="27">
        <v>-1000</v>
      </c>
      <c r="M109" s="28" t="s">
        <v>34</v>
      </c>
    </row>
    <row r="110" spans="1:13" s="11" customFormat="1" ht="16.5" x14ac:dyDescent="0.3">
      <c r="A110" s="57">
        <v>26001</v>
      </c>
      <c r="B110" s="57">
        <v>102600</v>
      </c>
      <c r="C110" s="57" t="s">
        <v>126</v>
      </c>
      <c r="D110" s="57">
        <v>1</v>
      </c>
      <c r="E110" s="58" t="s">
        <v>77</v>
      </c>
      <c r="F110" s="58"/>
      <c r="G110" s="58"/>
      <c r="H110" s="58"/>
      <c r="I110" s="24"/>
      <c r="J110" s="59" t="s">
        <v>78</v>
      </c>
      <c r="K110" s="27">
        <v>8000</v>
      </c>
      <c r="L110" s="27">
        <v>999999</v>
      </c>
      <c r="M110" s="60" t="s">
        <v>22</v>
      </c>
    </row>
    <row r="111" spans="1:13" s="11" customFormat="1" ht="16.5" x14ac:dyDescent="0.3">
      <c r="A111" s="57">
        <v>26002</v>
      </c>
      <c r="B111" s="57">
        <v>102600</v>
      </c>
      <c r="C111" s="57" t="s">
        <v>126</v>
      </c>
      <c r="D111" s="57">
        <v>2</v>
      </c>
      <c r="E111" s="58" t="s">
        <v>79</v>
      </c>
      <c r="F111" s="58"/>
      <c r="G111" s="58"/>
      <c r="H111" s="58"/>
      <c r="I111" s="24"/>
      <c r="J111" s="59" t="str">
        <f t="shared" ref="J111:J116" si="16">J110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1" s="27">
        <v>6000</v>
      </c>
      <c r="L111" s="27">
        <v>8000</v>
      </c>
      <c r="M111" s="60" t="s">
        <v>24</v>
      </c>
    </row>
    <row r="112" spans="1:13" s="11" customFormat="1" ht="16.5" x14ac:dyDescent="0.3">
      <c r="A112" s="57">
        <v>26003</v>
      </c>
      <c r="B112" s="57">
        <v>102600</v>
      </c>
      <c r="C112" s="57" t="s">
        <v>126</v>
      </c>
      <c r="D112" s="57">
        <v>3</v>
      </c>
      <c r="E112" s="58" t="s">
        <v>80</v>
      </c>
      <c r="F112" s="58"/>
      <c r="G112" s="58"/>
      <c r="H112" s="58"/>
      <c r="I112" s="24"/>
      <c r="J112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2" s="27">
        <v>4000</v>
      </c>
      <c r="L112" s="27">
        <v>6000</v>
      </c>
      <c r="M112" s="60" t="s">
        <v>26</v>
      </c>
    </row>
    <row r="113" spans="1:13" s="11" customFormat="1" ht="16.5" x14ac:dyDescent="0.3">
      <c r="A113" s="57">
        <v>26004</v>
      </c>
      <c r="B113" s="57">
        <v>102600</v>
      </c>
      <c r="C113" s="57" t="s">
        <v>126</v>
      </c>
      <c r="D113" s="57">
        <v>4</v>
      </c>
      <c r="E113" s="58" t="s">
        <v>81</v>
      </c>
      <c r="F113" s="58"/>
      <c r="G113" s="58"/>
      <c r="H113" s="58"/>
      <c r="I113" s="24"/>
      <c r="J113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3" s="27">
        <v>2000</v>
      </c>
      <c r="L113" s="27">
        <v>4000</v>
      </c>
      <c r="M113" s="60" t="s">
        <v>28</v>
      </c>
    </row>
    <row r="114" spans="1:13" s="11" customFormat="1" ht="16.5" x14ac:dyDescent="0.3">
      <c r="A114" s="57">
        <v>26005</v>
      </c>
      <c r="B114" s="57">
        <v>102600</v>
      </c>
      <c r="C114" s="57" t="s">
        <v>126</v>
      </c>
      <c r="D114" s="57">
        <v>5</v>
      </c>
      <c r="E114" s="58" t="s">
        <v>82</v>
      </c>
      <c r="F114" s="58"/>
      <c r="G114" s="58"/>
      <c r="H114" s="58"/>
      <c r="I114" s="24"/>
      <c r="J114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4" s="27">
        <v>0</v>
      </c>
      <c r="L114" s="27">
        <v>2000</v>
      </c>
      <c r="M114" s="60" t="s">
        <v>30</v>
      </c>
    </row>
    <row r="115" spans="1:13" s="11" customFormat="1" ht="16.5" x14ac:dyDescent="0.3">
      <c r="A115" s="57">
        <v>26006</v>
      </c>
      <c r="B115" s="57">
        <v>102600</v>
      </c>
      <c r="C115" s="57" t="s">
        <v>126</v>
      </c>
      <c r="D115" s="57">
        <v>6</v>
      </c>
      <c r="E115" s="58" t="s">
        <v>83</v>
      </c>
      <c r="F115" s="58"/>
      <c r="G115" s="58"/>
      <c r="H115" s="58"/>
      <c r="I115" s="24"/>
      <c r="J115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5" s="27">
        <v>-1000</v>
      </c>
      <c r="L115" s="27">
        <v>0</v>
      </c>
      <c r="M115" s="60" t="s">
        <v>32</v>
      </c>
    </row>
    <row r="116" spans="1:13" s="11" customFormat="1" ht="16.5" x14ac:dyDescent="0.3">
      <c r="A116" s="57">
        <v>26007</v>
      </c>
      <c r="B116" s="57">
        <v>102600</v>
      </c>
      <c r="C116" s="57" t="s">
        <v>126</v>
      </c>
      <c r="D116" s="57">
        <v>7</v>
      </c>
      <c r="E116" s="58" t="s">
        <v>84</v>
      </c>
      <c r="F116" s="58"/>
      <c r="G116" s="58"/>
      <c r="H116" s="58"/>
      <c r="I116" s="24"/>
      <c r="J116" s="5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6" s="27">
        <v>-999999</v>
      </c>
      <c r="L116" s="27">
        <v>-1000</v>
      </c>
      <c r="M116" s="60" t="s">
        <v>34</v>
      </c>
    </row>
    <row r="117" spans="1:13" s="10" customFormat="1" ht="16.5" x14ac:dyDescent="0.3">
      <c r="A117" s="54">
        <v>27001</v>
      </c>
      <c r="B117" s="54">
        <v>102700</v>
      </c>
      <c r="C117" s="54" t="s">
        <v>127</v>
      </c>
      <c r="D117" s="54">
        <v>1</v>
      </c>
      <c r="E117" s="55" t="s">
        <v>77</v>
      </c>
      <c r="F117" s="55"/>
      <c r="G117" s="55"/>
      <c r="H117" s="55"/>
      <c r="I117" s="24"/>
      <c r="J117" s="56" t="s">
        <v>128</v>
      </c>
      <c r="K117" s="27">
        <v>8000</v>
      </c>
      <c r="L117" s="27">
        <v>999999</v>
      </c>
      <c r="M117" s="28" t="s">
        <v>22</v>
      </c>
    </row>
    <row r="118" spans="1:13" s="10" customFormat="1" ht="16.5" x14ac:dyDescent="0.3">
      <c r="A118" s="54">
        <v>27002</v>
      </c>
      <c r="B118" s="54">
        <v>102700</v>
      </c>
      <c r="C118" s="54" t="s">
        <v>127</v>
      </c>
      <c r="D118" s="54">
        <v>2</v>
      </c>
      <c r="E118" s="55" t="s">
        <v>79</v>
      </c>
      <c r="F118" s="55"/>
      <c r="G118" s="55"/>
      <c r="H118" s="55"/>
      <c r="I118" s="24"/>
      <c r="J118" s="56" t="str">
        <f t="shared" ref="J118:J123" si="17">J117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7">
        <v>6000</v>
      </c>
      <c r="L118" s="27">
        <v>8000</v>
      </c>
      <c r="M118" s="28" t="s">
        <v>24</v>
      </c>
    </row>
    <row r="119" spans="1:13" s="10" customFormat="1" ht="16.5" x14ac:dyDescent="0.3">
      <c r="A119" s="54">
        <v>27003</v>
      </c>
      <c r="B119" s="54">
        <v>102700</v>
      </c>
      <c r="C119" s="54" t="s">
        <v>127</v>
      </c>
      <c r="D119" s="54">
        <v>3</v>
      </c>
      <c r="E119" s="55" t="s">
        <v>80</v>
      </c>
      <c r="F119" s="55"/>
      <c r="G119" s="55"/>
      <c r="H119" s="55"/>
      <c r="I119" s="24"/>
      <c r="J119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7">
        <v>4000</v>
      </c>
      <c r="L119" s="27">
        <v>6000</v>
      </c>
      <c r="M119" s="28" t="s">
        <v>26</v>
      </c>
    </row>
    <row r="120" spans="1:13" s="10" customFormat="1" ht="16.5" x14ac:dyDescent="0.3">
      <c r="A120" s="54">
        <v>27004</v>
      </c>
      <c r="B120" s="54">
        <v>102700</v>
      </c>
      <c r="C120" s="54" t="s">
        <v>127</v>
      </c>
      <c r="D120" s="54">
        <v>4</v>
      </c>
      <c r="E120" s="55" t="s">
        <v>81</v>
      </c>
      <c r="F120" s="55"/>
      <c r="G120" s="55"/>
      <c r="H120" s="55"/>
      <c r="I120" s="24"/>
      <c r="J120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7">
        <v>2000</v>
      </c>
      <c r="L120" s="27">
        <v>4000</v>
      </c>
      <c r="M120" s="28" t="s">
        <v>28</v>
      </c>
    </row>
    <row r="121" spans="1:13" s="10" customFormat="1" ht="16.5" x14ac:dyDescent="0.3">
      <c r="A121" s="54">
        <v>27005</v>
      </c>
      <c r="B121" s="54">
        <v>102700</v>
      </c>
      <c r="C121" s="54" t="s">
        <v>127</v>
      </c>
      <c r="D121" s="54">
        <v>5</v>
      </c>
      <c r="E121" s="55" t="s">
        <v>82</v>
      </c>
      <c r="F121" s="55"/>
      <c r="G121" s="55"/>
      <c r="H121" s="55"/>
      <c r="I121" s="24"/>
      <c r="J121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7">
        <v>0</v>
      </c>
      <c r="L121" s="27">
        <v>2000</v>
      </c>
      <c r="M121" s="28" t="s">
        <v>30</v>
      </c>
    </row>
    <row r="122" spans="1:13" s="10" customFormat="1" ht="16.5" x14ac:dyDescent="0.3">
      <c r="A122" s="54">
        <v>27006</v>
      </c>
      <c r="B122" s="54">
        <v>102700</v>
      </c>
      <c r="C122" s="54" t="s">
        <v>127</v>
      </c>
      <c r="D122" s="54">
        <v>6</v>
      </c>
      <c r="E122" s="55" t="s">
        <v>83</v>
      </c>
      <c r="F122" s="55"/>
      <c r="G122" s="55"/>
      <c r="H122" s="55"/>
      <c r="I122" s="24"/>
      <c r="J122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7">
        <v>-1000</v>
      </c>
      <c r="L122" s="27">
        <v>0</v>
      </c>
      <c r="M122" s="28" t="s">
        <v>32</v>
      </c>
    </row>
    <row r="123" spans="1:13" s="10" customFormat="1" ht="16.5" x14ac:dyDescent="0.3">
      <c r="A123" s="54">
        <v>27007</v>
      </c>
      <c r="B123" s="54">
        <v>102700</v>
      </c>
      <c r="C123" s="54" t="s">
        <v>127</v>
      </c>
      <c r="D123" s="54">
        <v>7</v>
      </c>
      <c r="E123" s="55" t="s">
        <v>84</v>
      </c>
      <c r="F123" s="55"/>
      <c r="G123" s="55"/>
      <c r="H123" s="55"/>
      <c r="I123" s="24"/>
      <c r="J123" s="56" t="str">
        <f t="shared" si="17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7">
        <v>-999999</v>
      </c>
      <c r="L123" s="27">
        <v>-1000</v>
      </c>
      <c r="M123" s="28" t="s">
        <v>34</v>
      </c>
    </row>
    <row r="124" spans="1:13" s="5" customFormat="1" ht="16.5" x14ac:dyDescent="0.3">
      <c r="A124" s="39">
        <v>28001</v>
      </c>
      <c r="B124" s="39">
        <v>102800</v>
      </c>
      <c r="C124" s="39" t="s">
        <v>129</v>
      </c>
      <c r="D124" s="39">
        <v>1</v>
      </c>
      <c r="E124" s="40" t="s">
        <v>77</v>
      </c>
      <c r="F124" s="40"/>
      <c r="G124" s="40"/>
      <c r="H124" s="40"/>
      <c r="I124" s="24"/>
      <c r="J124" s="41" t="s">
        <v>78</v>
      </c>
      <c r="K124" s="27">
        <v>8000</v>
      </c>
      <c r="L124" s="27">
        <v>999999</v>
      </c>
      <c r="M124" s="42" t="s">
        <v>22</v>
      </c>
    </row>
    <row r="125" spans="1:13" s="5" customFormat="1" ht="16.5" x14ac:dyDescent="0.3">
      <c r="A125" s="39">
        <v>28002</v>
      </c>
      <c r="B125" s="39">
        <v>102800</v>
      </c>
      <c r="C125" s="39" t="s">
        <v>129</v>
      </c>
      <c r="D125" s="39">
        <v>2</v>
      </c>
      <c r="E125" s="40" t="s">
        <v>79</v>
      </c>
      <c r="F125" s="40"/>
      <c r="G125" s="40"/>
      <c r="H125" s="40"/>
      <c r="I125" s="24"/>
      <c r="J125" s="41" t="str">
        <f t="shared" ref="J125:J130" si="18">J124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7">
        <v>6000</v>
      </c>
      <c r="L125" s="27">
        <v>8000</v>
      </c>
      <c r="M125" s="42" t="s">
        <v>24</v>
      </c>
    </row>
    <row r="126" spans="1:13" s="5" customFormat="1" ht="16.5" x14ac:dyDescent="0.3">
      <c r="A126" s="39">
        <v>28003</v>
      </c>
      <c r="B126" s="39">
        <v>102800</v>
      </c>
      <c r="C126" s="39" t="s">
        <v>129</v>
      </c>
      <c r="D126" s="39">
        <v>3</v>
      </c>
      <c r="E126" s="40" t="s">
        <v>80</v>
      </c>
      <c r="F126" s="40"/>
      <c r="G126" s="40"/>
      <c r="H126" s="40"/>
      <c r="I126" s="24"/>
      <c r="J126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7">
        <v>4000</v>
      </c>
      <c r="L126" s="27">
        <v>6000</v>
      </c>
      <c r="M126" s="42" t="s">
        <v>26</v>
      </c>
    </row>
    <row r="127" spans="1:13" s="5" customFormat="1" ht="16.5" x14ac:dyDescent="0.3">
      <c r="A127" s="39">
        <v>28004</v>
      </c>
      <c r="B127" s="39">
        <v>102800</v>
      </c>
      <c r="C127" s="39" t="s">
        <v>129</v>
      </c>
      <c r="D127" s="39">
        <v>4</v>
      </c>
      <c r="E127" s="40" t="s">
        <v>81</v>
      </c>
      <c r="F127" s="40"/>
      <c r="G127" s="40"/>
      <c r="H127" s="40"/>
      <c r="I127" s="24"/>
      <c r="J127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7">
        <v>2000</v>
      </c>
      <c r="L127" s="27">
        <v>4000</v>
      </c>
      <c r="M127" s="42" t="s">
        <v>28</v>
      </c>
    </row>
    <row r="128" spans="1:13" s="5" customFormat="1" ht="16.5" x14ac:dyDescent="0.3">
      <c r="A128" s="39">
        <v>28005</v>
      </c>
      <c r="B128" s="39">
        <v>102800</v>
      </c>
      <c r="C128" s="39" t="s">
        <v>129</v>
      </c>
      <c r="D128" s="39">
        <v>5</v>
      </c>
      <c r="E128" s="40" t="s">
        <v>82</v>
      </c>
      <c r="F128" s="40"/>
      <c r="G128" s="40"/>
      <c r="H128" s="40"/>
      <c r="I128" s="24"/>
      <c r="J128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7">
        <v>0</v>
      </c>
      <c r="L128" s="27">
        <v>2000</v>
      </c>
      <c r="M128" s="42" t="s">
        <v>30</v>
      </c>
    </row>
    <row r="129" spans="1:13" s="5" customFormat="1" ht="16.5" x14ac:dyDescent="0.3">
      <c r="A129" s="39">
        <v>28006</v>
      </c>
      <c r="B129" s="39">
        <v>102800</v>
      </c>
      <c r="C129" s="39" t="s">
        <v>129</v>
      </c>
      <c r="D129" s="39">
        <v>6</v>
      </c>
      <c r="E129" s="40" t="s">
        <v>83</v>
      </c>
      <c r="F129" s="40"/>
      <c r="G129" s="40"/>
      <c r="H129" s="40"/>
      <c r="I129" s="24"/>
      <c r="J129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7">
        <v>-1000</v>
      </c>
      <c r="L129" s="27">
        <v>0</v>
      </c>
      <c r="M129" s="42" t="s">
        <v>32</v>
      </c>
    </row>
    <row r="130" spans="1:13" s="5" customFormat="1" ht="16.5" x14ac:dyDescent="0.3">
      <c r="A130" s="39">
        <v>28007</v>
      </c>
      <c r="B130" s="39">
        <v>102800</v>
      </c>
      <c r="C130" s="39" t="s">
        <v>129</v>
      </c>
      <c r="D130" s="39">
        <v>7</v>
      </c>
      <c r="E130" s="40" t="s">
        <v>84</v>
      </c>
      <c r="F130" s="40"/>
      <c r="G130" s="40"/>
      <c r="H130" s="40"/>
      <c r="I130" s="24"/>
      <c r="J130" s="41" t="str">
        <f t="shared" si="1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7">
        <v>-999999</v>
      </c>
      <c r="L130" s="27">
        <v>-1000</v>
      </c>
      <c r="M130" s="42" t="s">
        <v>34</v>
      </c>
    </row>
    <row r="131" spans="1:13" s="12" customFormat="1" ht="16.5" x14ac:dyDescent="0.3">
      <c r="A131" s="61">
        <v>31001</v>
      </c>
      <c r="B131" s="61">
        <v>103100</v>
      </c>
      <c r="C131" s="61" t="s">
        <v>130</v>
      </c>
      <c r="D131" s="61">
        <v>1</v>
      </c>
      <c r="E131" s="62" t="s">
        <v>131</v>
      </c>
      <c r="F131" s="62"/>
      <c r="G131" s="62"/>
      <c r="H131" s="62"/>
      <c r="I131" s="24"/>
      <c r="J131" s="63" t="s">
        <v>132</v>
      </c>
      <c r="K131" s="27">
        <v>8000</v>
      </c>
      <c r="L131" s="27">
        <v>999999</v>
      </c>
      <c r="M131" s="64" t="s">
        <v>22</v>
      </c>
    </row>
    <row r="132" spans="1:13" s="12" customFormat="1" ht="16.5" x14ac:dyDescent="0.3">
      <c r="A132" s="61">
        <v>31002</v>
      </c>
      <c r="B132" s="61">
        <v>103100</v>
      </c>
      <c r="C132" s="61" t="s">
        <v>130</v>
      </c>
      <c r="D132" s="61">
        <v>2</v>
      </c>
      <c r="E132" s="62" t="s">
        <v>133</v>
      </c>
      <c r="F132" s="62"/>
      <c r="G132" s="62"/>
      <c r="H132" s="62"/>
      <c r="I132" s="24"/>
      <c r="J132" s="63" t="str">
        <f t="shared" ref="J132:J137" si="19">J131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2" s="27">
        <v>6000</v>
      </c>
      <c r="L132" s="27">
        <v>8000</v>
      </c>
      <c r="M132" s="64" t="s">
        <v>24</v>
      </c>
    </row>
    <row r="133" spans="1:13" s="12" customFormat="1" ht="16.5" x14ac:dyDescent="0.3">
      <c r="A133" s="61">
        <v>31003</v>
      </c>
      <c r="B133" s="61">
        <v>103100</v>
      </c>
      <c r="C133" s="61" t="s">
        <v>130</v>
      </c>
      <c r="D133" s="61">
        <v>3</v>
      </c>
      <c r="E133" s="62" t="s">
        <v>134</v>
      </c>
      <c r="F133" s="62"/>
      <c r="G133" s="62"/>
      <c r="H133" s="62"/>
      <c r="I133" s="24"/>
      <c r="J133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3" s="27">
        <v>4000</v>
      </c>
      <c r="L133" s="27">
        <v>6000</v>
      </c>
      <c r="M133" s="64" t="s">
        <v>26</v>
      </c>
    </row>
    <row r="134" spans="1:13" s="12" customFormat="1" ht="16.5" x14ac:dyDescent="0.3">
      <c r="A134" s="61">
        <v>31004</v>
      </c>
      <c r="B134" s="61">
        <v>103100</v>
      </c>
      <c r="C134" s="61" t="s">
        <v>130</v>
      </c>
      <c r="D134" s="61">
        <v>4</v>
      </c>
      <c r="E134" s="62" t="s">
        <v>135</v>
      </c>
      <c r="F134" s="62"/>
      <c r="G134" s="62"/>
      <c r="H134" s="62"/>
      <c r="I134" s="24"/>
      <c r="J134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4" s="27">
        <v>2000</v>
      </c>
      <c r="L134" s="27">
        <v>4000</v>
      </c>
      <c r="M134" s="64" t="s">
        <v>28</v>
      </c>
    </row>
    <row r="135" spans="1:13" s="12" customFormat="1" ht="16.5" x14ac:dyDescent="0.3">
      <c r="A135" s="61">
        <v>31005</v>
      </c>
      <c r="B135" s="61">
        <v>103100</v>
      </c>
      <c r="C135" s="61" t="s">
        <v>130</v>
      </c>
      <c r="D135" s="61">
        <v>5</v>
      </c>
      <c r="E135" s="62" t="s">
        <v>136</v>
      </c>
      <c r="F135" s="62"/>
      <c r="G135" s="62"/>
      <c r="H135" s="62"/>
      <c r="I135" s="24"/>
      <c r="J135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5" s="27">
        <v>0</v>
      </c>
      <c r="L135" s="27">
        <v>2000</v>
      </c>
      <c r="M135" s="64" t="s">
        <v>30</v>
      </c>
    </row>
    <row r="136" spans="1:13" s="12" customFormat="1" ht="16.5" x14ac:dyDescent="0.3">
      <c r="A136" s="61">
        <v>31006</v>
      </c>
      <c r="B136" s="61">
        <v>103100</v>
      </c>
      <c r="C136" s="61" t="s">
        <v>130</v>
      </c>
      <c r="D136" s="61">
        <v>6</v>
      </c>
      <c r="E136" s="62" t="s">
        <v>137</v>
      </c>
      <c r="F136" s="62"/>
      <c r="G136" s="62"/>
      <c r="H136" s="62"/>
      <c r="I136" s="24"/>
      <c r="J136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6" s="27">
        <v>-1000</v>
      </c>
      <c r="L136" s="27">
        <v>0</v>
      </c>
      <c r="M136" s="64" t="s">
        <v>32</v>
      </c>
    </row>
    <row r="137" spans="1:13" s="12" customFormat="1" ht="16.5" x14ac:dyDescent="0.3">
      <c r="A137" s="61">
        <v>31007</v>
      </c>
      <c r="B137" s="61">
        <v>103100</v>
      </c>
      <c r="C137" s="61" t="s">
        <v>130</v>
      </c>
      <c r="D137" s="61">
        <v>7</v>
      </c>
      <c r="E137" s="62" t="s">
        <v>138</v>
      </c>
      <c r="F137" s="62"/>
      <c r="G137" s="62"/>
      <c r="H137" s="62"/>
      <c r="I137" s="24"/>
      <c r="J137" s="63" t="str">
        <f t="shared" si="19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7" s="27">
        <v>-999999</v>
      </c>
      <c r="L137" s="27">
        <v>-1000</v>
      </c>
      <c r="M137" s="64" t="s">
        <v>34</v>
      </c>
    </row>
    <row r="138" spans="1:13" s="13" customFormat="1" ht="16.5" x14ac:dyDescent="0.3">
      <c r="A138" s="65">
        <v>34001</v>
      </c>
      <c r="B138" s="65">
        <v>103400</v>
      </c>
      <c r="C138" s="65" t="s">
        <v>139</v>
      </c>
      <c r="D138" s="65">
        <v>1</v>
      </c>
      <c r="E138" s="66" t="s">
        <v>150</v>
      </c>
      <c r="F138" s="66"/>
      <c r="G138" s="66" t="s">
        <v>236</v>
      </c>
      <c r="H138" s="66" t="s">
        <v>237</v>
      </c>
      <c r="I138" s="24"/>
      <c r="J138" s="26" t="s">
        <v>212</v>
      </c>
      <c r="K138" s="27">
        <v>8000</v>
      </c>
      <c r="L138" s="27">
        <v>999999</v>
      </c>
      <c r="M138" s="28" t="s">
        <v>22</v>
      </c>
    </row>
    <row r="139" spans="1:13" s="13" customFormat="1" ht="16.5" x14ac:dyDescent="0.3">
      <c r="A139" s="65">
        <v>34002</v>
      </c>
      <c r="B139" s="65">
        <v>103400</v>
      </c>
      <c r="C139" s="65" t="s">
        <v>139</v>
      </c>
      <c r="D139" s="65">
        <v>2</v>
      </c>
      <c r="E139" s="66" t="s">
        <v>62</v>
      </c>
      <c r="F139" s="66"/>
      <c r="G139" s="66" t="s">
        <v>236</v>
      </c>
      <c r="H139" s="66" t="s">
        <v>237</v>
      </c>
      <c r="I139" s="24"/>
      <c r="J139" s="67" t="str">
        <f t="shared" ref="J139:J144" si="20">J138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39" s="27">
        <v>6000</v>
      </c>
      <c r="L139" s="27">
        <v>8000</v>
      </c>
      <c r="M139" s="28" t="s">
        <v>24</v>
      </c>
    </row>
    <row r="140" spans="1:13" s="13" customFormat="1" ht="16.5" x14ac:dyDescent="0.3">
      <c r="A140" s="65">
        <v>34003</v>
      </c>
      <c r="B140" s="65">
        <v>103400</v>
      </c>
      <c r="C140" s="65" t="s">
        <v>139</v>
      </c>
      <c r="D140" s="65">
        <v>3</v>
      </c>
      <c r="E140" s="66" t="s">
        <v>152</v>
      </c>
      <c r="F140" s="66"/>
      <c r="G140" s="66" t="s">
        <v>236</v>
      </c>
      <c r="H140" s="66" t="s">
        <v>237</v>
      </c>
      <c r="I140" s="24"/>
      <c r="J140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0" s="27">
        <v>4000</v>
      </c>
      <c r="L140" s="27">
        <v>6000</v>
      </c>
      <c r="M140" s="28" t="s">
        <v>26</v>
      </c>
    </row>
    <row r="141" spans="1:13" s="13" customFormat="1" ht="16.5" x14ac:dyDescent="0.3">
      <c r="A141" s="65">
        <v>34004</v>
      </c>
      <c r="B141" s="65">
        <v>103400</v>
      </c>
      <c r="C141" s="65" t="s">
        <v>139</v>
      </c>
      <c r="D141" s="65">
        <v>4</v>
      </c>
      <c r="E141" s="66" t="s">
        <v>140</v>
      </c>
      <c r="F141" s="66"/>
      <c r="G141" s="66" t="s">
        <v>236</v>
      </c>
      <c r="H141" s="66" t="s">
        <v>237</v>
      </c>
      <c r="I141" s="24"/>
      <c r="J141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1" s="27">
        <v>2000</v>
      </c>
      <c r="L141" s="27">
        <v>4000</v>
      </c>
      <c r="M141" s="28" t="s">
        <v>28</v>
      </c>
    </row>
    <row r="142" spans="1:13" s="13" customFormat="1" ht="16.5" x14ac:dyDescent="0.3">
      <c r="A142" s="65">
        <v>34005</v>
      </c>
      <c r="B142" s="65">
        <v>103400</v>
      </c>
      <c r="C142" s="65" t="s">
        <v>139</v>
      </c>
      <c r="D142" s="65">
        <v>5</v>
      </c>
      <c r="E142" s="66" t="s">
        <v>233</v>
      </c>
      <c r="F142" s="66"/>
      <c r="G142" s="66" t="s">
        <v>236</v>
      </c>
      <c r="H142" s="66" t="s">
        <v>237</v>
      </c>
      <c r="I142" s="24"/>
      <c r="J142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2" s="27">
        <v>0</v>
      </c>
      <c r="L142" s="27">
        <v>2000</v>
      </c>
      <c r="M142" s="28" t="s">
        <v>30</v>
      </c>
    </row>
    <row r="143" spans="1:13" s="13" customFormat="1" ht="16.5" x14ac:dyDescent="0.3">
      <c r="A143" s="65">
        <v>34006</v>
      </c>
      <c r="B143" s="65">
        <v>103400</v>
      </c>
      <c r="C143" s="65" t="s">
        <v>139</v>
      </c>
      <c r="D143" s="65">
        <v>6</v>
      </c>
      <c r="E143" s="66" t="s">
        <v>234</v>
      </c>
      <c r="F143" s="66"/>
      <c r="G143" s="66" t="s">
        <v>236</v>
      </c>
      <c r="H143" s="66" t="s">
        <v>237</v>
      </c>
      <c r="I143" s="24"/>
      <c r="J143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3" s="27">
        <v>-1000</v>
      </c>
      <c r="L143" s="27">
        <v>0</v>
      </c>
      <c r="M143" s="28" t="s">
        <v>32</v>
      </c>
    </row>
    <row r="144" spans="1:13" s="13" customFormat="1" ht="16.5" x14ac:dyDescent="0.3">
      <c r="A144" s="65">
        <v>34007</v>
      </c>
      <c r="B144" s="65">
        <v>103400</v>
      </c>
      <c r="C144" s="65" t="s">
        <v>139</v>
      </c>
      <c r="D144" s="65">
        <v>7</v>
      </c>
      <c r="E144" s="66" t="s">
        <v>42</v>
      </c>
      <c r="F144" s="66"/>
      <c r="G144" s="66" t="s">
        <v>236</v>
      </c>
      <c r="H144" s="66" t="s">
        <v>237</v>
      </c>
      <c r="I144" s="24"/>
      <c r="J144" s="6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4" s="27">
        <v>-999999</v>
      </c>
      <c r="L144" s="27">
        <v>-1000</v>
      </c>
      <c r="M144" s="28" t="s">
        <v>34</v>
      </c>
    </row>
    <row r="145" spans="1:13" s="14" customFormat="1" ht="16.5" x14ac:dyDescent="0.3">
      <c r="A145" s="68">
        <v>34011</v>
      </c>
      <c r="B145" s="68">
        <v>103401</v>
      </c>
      <c r="C145" s="68" t="s">
        <v>141</v>
      </c>
      <c r="D145" s="68">
        <v>1</v>
      </c>
      <c r="E145" s="69" t="s">
        <v>150</v>
      </c>
      <c r="F145" s="69"/>
      <c r="G145" s="66" t="s">
        <v>236</v>
      </c>
      <c r="H145" s="66" t="s">
        <v>237</v>
      </c>
      <c r="I145" s="24"/>
      <c r="J145" s="70" t="s">
        <v>212</v>
      </c>
      <c r="K145" s="27">
        <v>8000</v>
      </c>
      <c r="L145" s="27">
        <v>999999</v>
      </c>
      <c r="M145" s="71" t="s">
        <v>22</v>
      </c>
    </row>
    <row r="146" spans="1:13" s="14" customFormat="1" ht="16.5" x14ac:dyDescent="0.3">
      <c r="A146" s="68">
        <v>34012</v>
      </c>
      <c r="B146" s="68">
        <v>103401</v>
      </c>
      <c r="C146" s="68" t="s">
        <v>141</v>
      </c>
      <c r="D146" s="68">
        <v>2</v>
      </c>
      <c r="E146" s="69" t="s">
        <v>62</v>
      </c>
      <c r="F146" s="69"/>
      <c r="G146" s="66" t="s">
        <v>236</v>
      </c>
      <c r="H146" s="66" t="s">
        <v>237</v>
      </c>
      <c r="I146" s="24"/>
      <c r="J146" s="70" t="str">
        <f t="shared" ref="J146:J151" si="21">J145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7">
        <v>6000</v>
      </c>
      <c r="L146" s="27">
        <v>8000</v>
      </c>
      <c r="M146" s="71" t="s">
        <v>24</v>
      </c>
    </row>
    <row r="147" spans="1:13" s="14" customFormat="1" ht="16.5" x14ac:dyDescent="0.3">
      <c r="A147" s="68">
        <v>34013</v>
      </c>
      <c r="B147" s="68">
        <v>103401</v>
      </c>
      <c r="C147" s="68" t="s">
        <v>141</v>
      </c>
      <c r="D147" s="68">
        <v>3</v>
      </c>
      <c r="E147" s="69" t="s">
        <v>235</v>
      </c>
      <c r="F147" s="69"/>
      <c r="G147" s="66" t="s">
        <v>236</v>
      </c>
      <c r="H147" s="66" t="s">
        <v>237</v>
      </c>
      <c r="I147" s="24"/>
      <c r="J147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7">
        <v>4000</v>
      </c>
      <c r="L147" s="27">
        <v>6000</v>
      </c>
      <c r="M147" s="71" t="s">
        <v>26</v>
      </c>
    </row>
    <row r="148" spans="1:13" s="14" customFormat="1" ht="16.5" x14ac:dyDescent="0.3">
      <c r="A148" s="68">
        <v>34014</v>
      </c>
      <c r="B148" s="68">
        <v>103401</v>
      </c>
      <c r="C148" s="68" t="s">
        <v>141</v>
      </c>
      <c r="D148" s="68">
        <v>4</v>
      </c>
      <c r="E148" s="69" t="s">
        <v>140</v>
      </c>
      <c r="F148" s="69"/>
      <c r="G148" s="66" t="s">
        <v>236</v>
      </c>
      <c r="H148" s="66" t="s">
        <v>237</v>
      </c>
      <c r="I148" s="24"/>
      <c r="J148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7">
        <v>2000</v>
      </c>
      <c r="L148" s="27">
        <v>4000</v>
      </c>
      <c r="M148" s="71" t="s">
        <v>28</v>
      </c>
    </row>
    <row r="149" spans="1:13" s="14" customFormat="1" ht="16.5" x14ac:dyDescent="0.3">
      <c r="A149" s="68">
        <v>34015</v>
      </c>
      <c r="B149" s="68">
        <v>103401</v>
      </c>
      <c r="C149" s="68" t="s">
        <v>141</v>
      </c>
      <c r="D149" s="68">
        <v>5</v>
      </c>
      <c r="E149" s="69" t="s">
        <v>233</v>
      </c>
      <c r="F149" s="69"/>
      <c r="G149" s="66" t="s">
        <v>236</v>
      </c>
      <c r="H149" s="66" t="s">
        <v>237</v>
      </c>
      <c r="I149" s="24"/>
      <c r="J149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7">
        <v>0</v>
      </c>
      <c r="L149" s="27">
        <v>2000</v>
      </c>
      <c r="M149" s="71" t="s">
        <v>30</v>
      </c>
    </row>
    <row r="150" spans="1:13" s="14" customFormat="1" ht="16.5" x14ac:dyDescent="0.3">
      <c r="A150" s="68">
        <v>34016</v>
      </c>
      <c r="B150" s="68">
        <v>103401</v>
      </c>
      <c r="C150" s="68" t="s">
        <v>141</v>
      </c>
      <c r="D150" s="68">
        <v>6</v>
      </c>
      <c r="E150" s="69" t="s">
        <v>234</v>
      </c>
      <c r="F150" s="69"/>
      <c r="G150" s="66" t="s">
        <v>236</v>
      </c>
      <c r="H150" s="66" t="s">
        <v>237</v>
      </c>
      <c r="I150" s="24"/>
      <c r="J150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7">
        <v>-1000</v>
      </c>
      <c r="L150" s="27">
        <v>0</v>
      </c>
      <c r="M150" s="71" t="s">
        <v>32</v>
      </c>
    </row>
    <row r="151" spans="1:13" s="14" customFormat="1" ht="16.5" x14ac:dyDescent="0.3">
      <c r="A151" s="68">
        <v>34017</v>
      </c>
      <c r="B151" s="68">
        <v>103401</v>
      </c>
      <c r="C151" s="68" t="s">
        <v>141</v>
      </c>
      <c r="D151" s="68">
        <v>7</v>
      </c>
      <c r="E151" s="69" t="s">
        <v>42</v>
      </c>
      <c r="F151" s="69"/>
      <c r="G151" s="66" t="s">
        <v>236</v>
      </c>
      <c r="H151" s="66" t="s">
        <v>237</v>
      </c>
      <c r="I151" s="24"/>
      <c r="J151" s="70" t="str">
        <f t="shared" si="21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7">
        <v>-999999</v>
      </c>
      <c r="L151" s="27">
        <v>-1000</v>
      </c>
      <c r="M151" s="71" t="s">
        <v>34</v>
      </c>
    </row>
    <row r="152" spans="1:13" s="15" customFormat="1" ht="16.5" x14ac:dyDescent="0.3">
      <c r="A152" s="72">
        <v>35001</v>
      </c>
      <c r="B152" s="72">
        <v>103500</v>
      </c>
      <c r="C152" s="72" t="s">
        <v>142</v>
      </c>
      <c r="D152" s="72">
        <v>1</v>
      </c>
      <c r="E152" s="73" t="s">
        <v>65</v>
      </c>
      <c r="F152" s="73"/>
      <c r="G152" s="73" t="s">
        <v>238</v>
      </c>
      <c r="H152" s="73" t="s">
        <v>204</v>
      </c>
      <c r="I152" s="24"/>
      <c r="J152" s="26" t="s">
        <v>143</v>
      </c>
      <c r="K152" s="27">
        <v>8000</v>
      </c>
      <c r="L152" s="27">
        <v>999999</v>
      </c>
      <c r="M152" s="28" t="s">
        <v>22</v>
      </c>
    </row>
    <row r="153" spans="1:13" s="15" customFormat="1" ht="16.5" x14ac:dyDescent="0.3">
      <c r="A153" s="72">
        <v>35002</v>
      </c>
      <c r="B153" s="72">
        <v>103500</v>
      </c>
      <c r="C153" s="72" t="s">
        <v>142</v>
      </c>
      <c r="D153" s="72">
        <v>2</v>
      </c>
      <c r="E153" s="73" t="s">
        <v>144</v>
      </c>
      <c r="F153" s="73"/>
      <c r="G153" s="73" t="s">
        <v>238</v>
      </c>
      <c r="H153" s="73" t="s">
        <v>204</v>
      </c>
      <c r="I153" s="24"/>
      <c r="J153" s="74" t="str">
        <f t="shared" ref="J153:J158" si="22">J152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3" s="27">
        <v>6000</v>
      </c>
      <c r="L153" s="27">
        <v>8000</v>
      </c>
      <c r="M153" s="28" t="s">
        <v>24</v>
      </c>
    </row>
    <row r="154" spans="1:13" s="15" customFormat="1" ht="16.5" x14ac:dyDescent="0.3">
      <c r="A154" s="72">
        <v>35003</v>
      </c>
      <c r="B154" s="72">
        <v>103500</v>
      </c>
      <c r="C154" s="72" t="s">
        <v>142</v>
      </c>
      <c r="D154" s="72">
        <v>3</v>
      </c>
      <c r="E154" s="73" t="s">
        <v>145</v>
      </c>
      <c r="F154" s="73"/>
      <c r="G154" s="73" t="s">
        <v>238</v>
      </c>
      <c r="H154" s="73" t="s">
        <v>204</v>
      </c>
      <c r="I154" s="24"/>
      <c r="J154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4" s="27">
        <v>4000</v>
      </c>
      <c r="L154" s="27">
        <v>6000</v>
      </c>
      <c r="M154" s="28" t="s">
        <v>26</v>
      </c>
    </row>
    <row r="155" spans="1:13" s="15" customFormat="1" ht="16.5" x14ac:dyDescent="0.3">
      <c r="A155" s="72">
        <v>35004</v>
      </c>
      <c r="B155" s="72">
        <v>103500</v>
      </c>
      <c r="C155" s="72" t="s">
        <v>142</v>
      </c>
      <c r="D155" s="72">
        <v>4</v>
      </c>
      <c r="E155" s="73" t="s">
        <v>146</v>
      </c>
      <c r="F155" s="73"/>
      <c r="G155" s="73" t="s">
        <v>238</v>
      </c>
      <c r="H155" s="73" t="s">
        <v>204</v>
      </c>
      <c r="I155" s="24"/>
      <c r="J155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5" s="27">
        <v>2000</v>
      </c>
      <c r="L155" s="27">
        <v>4000</v>
      </c>
      <c r="M155" s="28" t="s">
        <v>28</v>
      </c>
    </row>
    <row r="156" spans="1:13" s="15" customFormat="1" ht="16.5" x14ac:dyDescent="0.3">
      <c r="A156" s="72">
        <v>35005</v>
      </c>
      <c r="B156" s="72">
        <v>103500</v>
      </c>
      <c r="C156" s="72" t="s">
        <v>142</v>
      </c>
      <c r="D156" s="72">
        <v>5</v>
      </c>
      <c r="E156" s="73" t="s">
        <v>147</v>
      </c>
      <c r="F156" s="73"/>
      <c r="G156" s="73" t="s">
        <v>238</v>
      </c>
      <c r="H156" s="73" t="s">
        <v>204</v>
      </c>
      <c r="I156" s="24"/>
      <c r="J156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6" s="27">
        <v>0</v>
      </c>
      <c r="L156" s="27">
        <v>2000</v>
      </c>
      <c r="M156" s="28" t="s">
        <v>30</v>
      </c>
    </row>
    <row r="157" spans="1:13" s="15" customFormat="1" ht="16.5" x14ac:dyDescent="0.3">
      <c r="A157" s="72">
        <v>35006</v>
      </c>
      <c r="B157" s="72">
        <v>103500</v>
      </c>
      <c r="C157" s="72" t="s">
        <v>142</v>
      </c>
      <c r="D157" s="72">
        <v>6</v>
      </c>
      <c r="E157" s="73" t="s">
        <v>42</v>
      </c>
      <c r="F157" s="73"/>
      <c r="G157" s="73" t="s">
        <v>238</v>
      </c>
      <c r="H157" s="73" t="s">
        <v>204</v>
      </c>
      <c r="I157" s="24"/>
      <c r="J157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7" s="27">
        <v>-1000</v>
      </c>
      <c r="L157" s="27">
        <v>0</v>
      </c>
      <c r="M157" s="28" t="s">
        <v>32</v>
      </c>
    </row>
    <row r="158" spans="1:13" s="15" customFormat="1" ht="16.5" x14ac:dyDescent="0.3">
      <c r="A158" s="72">
        <v>35007</v>
      </c>
      <c r="B158" s="72">
        <v>103500</v>
      </c>
      <c r="C158" s="72" t="s">
        <v>142</v>
      </c>
      <c r="D158" s="72">
        <v>7</v>
      </c>
      <c r="E158" s="73" t="s">
        <v>42</v>
      </c>
      <c r="F158" s="73"/>
      <c r="G158" s="73" t="s">
        <v>238</v>
      </c>
      <c r="H158" s="73" t="s">
        <v>204</v>
      </c>
      <c r="I158" s="24"/>
      <c r="J158" s="74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58" s="27">
        <v>-999999</v>
      </c>
      <c r="L158" s="27">
        <v>-1000</v>
      </c>
      <c r="M158" s="28" t="s">
        <v>34</v>
      </c>
    </row>
    <row r="159" spans="1:13" s="16" customFormat="1" ht="16.5" x14ac:dyDescent="0.3">
      <c r="A159" s="75">
        <v>35011</v>
      </c>
      <c r="B159" s="75">
        <v>103501</v>
      </c>
      <c r="C159" s="75" t="s">
        <v>148</v>
      </c>
      <c r="D159" s="75">
        <v>1</v>
      </c>
      <c r="E159" s="76" t="s">
        <v>65</v>
      </c>
      <c r="F159" s="76"/>
      <c r="G159" s="76" t="s">
        <v>238</v>
      </c>
      <c r="H159" s="76" t="s">
        <v>203</v>
      </c>
      <c r="I159" s="24"/>
      <c r="J159" s="26" t="s">
        <v>143</v>
      </c>
      <c r="K159" s="27">
        <v>8000</v>
      </c>
      <c r="L159" s="27">
        <v>999999</v>
      </c>
      <c r="M159" s="28" t="s">
        <v>22</v>
      </c>
    </row>
    <row r="160" spans="1:13" s="16" customFormat="1" ht="16.5" x14ac:dyDescent="0.3">
      <c r="A160" s="75">
        <v>35012</v>
      </c>
      <c r="B160" s="75">
        <v>103501</v>
      </c>
      <c r="C160" s="75" t="s">
        <v>148</v>
      </c>
      <c r="D160" s="75">
        <v>2</v>
      </c>
      <c r="E160" s="76" t="s">
        <v>144</v>
      </c>
      <c r="F160" s="76"/>
      <c r="G160" s="76" t="s">
        <v>238</v>
      </c>
      <c r="H160" s="76" t="s">
        <v>203</v>
      </c>
      <c r="I160" s="24"/>
      <c r="J160" s="31" t="str">
        <f t="shared" ref="J160:J165" si="23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7">
        <v>6000</v>
      </c>
      <c r="L160" s="27">
        <v>8000</v>
      </c>
      <c r="M160" s="28" t="s">
        <v>24</v>
      </c>
    </row>
    <row r="161" spans="1:13" s="16" customFormat="1" ht="16.5" x14ac:dyDescent="0.3">
      <c r="A161" s="75">
        <v>35013</v>
      </c>
      <c r="B161" s="75">
        <v>103501</v>
      </c>
      <c r="C161" s="75" t="s">
        <v>148</v>
      </c>
      <c r="D161" s="75">
        <v>3</v>
      </c>
      <c r="E161" s="76" t="s">
        <v>145</v>
      </c>
      <c r="F161" s="76"/>
      <c r="G161" s="76" t="s">
        <v>238</v>
      </c>
      <c r="H161" s="76" t="s">
        <v>203</v>
      </c>
      <c r="I161" s="24"/>
      <c r="J161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7">
        <v>4000</v>
      </c>
      <c r="L161" s="27">
        <v>6000</v>
      </c>
      <c r="M161" s="28" t="s">
        <v>26</v>
      </c>
    </row>
    <row r="162" spans="1:13" s="16" customFormat="1" ht="16.5" x14ac:dyDescent="0.3">
      <c r="A162" s="75">
        <v>35014</v>
      </c>
      <c r="B162" s="75">
        <v>103501</v>
      </c>
      <c r="C162" s="75" t="s">
        <v>148</v>
      </c>
      <c r="D162" s="75">
        <v>4</v>
      </c>
      <c r="E162" s="76" t="s">
        <v>146</v>
      </c>
      <c r="F162" s="76"/>
      <c r="G162" s="76" t="s">
        <v>238</v>
      </c>
      <c r="H162" s="76" t="s">
        <v>203</v>
      </c>
      <c r="I162" s="24"/>
      <c r="J162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7">
        <v>2000</v>
      </c>
      <c r="L162" s="27">
        <v>4000</v>
      </c>
      <c r="M162" s="28" t="s">
        <v>28</v>
      </c>
    </row>
    <row r="163" spans="1:13" s="16" customFormat="1" ht="16.5" x14ac:dyDescent="0.3">
      <c r="A163" s="75">
        <v>35015</v>
      </c>
      <c r="B163" s="75">
        <v>103501</v>
      </c>
      <c r="C163" s="75" t="s">
        <v>148</v>
      </c>
      <c r="D163" s="75">
        <v>5</v>
      </c>
      <c r="E163" s="76" t="s">
        <v>147</v>
      </c>
      <c r="F163" s="76"/>
      <c r="G163" s="76" t="s">
        <v>238</v>
      </c>
      <c r="H163" s="76" t="s">
        <v>203</v>
      </c>
      <c r="I163" s="24"/>
      <c r="J163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7">
        <v>0</v>
      </c>
      <c r="L163" s="27">
        <v>2000</v>
      </c>
      <c r="M163" s="28" t="s">
        <v>30</v>
      </c>
    </row>
    <row r="164" spans="1:13" s="16" customFormat="1" ht="16.5" x14ac:dyDescent="0.3">
      <c r="A164" s="75">
        <v>35016</v>
      </c>
      <c r="B164" s="75">
        <v>103501</v>
      </c>
      <c r="C164" s="75" t="s">
        <v>148</v>
      </c>
      <c r="D164" s="75">
        <v>6</v>
      </c>
      <c r="E164" s="76" t="s">
        <v>42</v>
      </c>
      <c r="F164" s="76"/>
      <c r="G164" s="76" t="s">
        <v>238</v>
      </c>
      <c r="H164" s="76" t="s">
        <v>203</v>
      </c>
      <c r="I164" s="24"/>
      <c r="J164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7">
        <v>-1000</v>
      </c>
      <c r="L164" s="27">
        <v>0</v>
      </c>
      <c r="M164" s="28" t="s">
        <v>32</v>
      </c>
    </row>
    <row r="165" spans="1:13" s="16" customFormat="1" ht="16.5" x14ac:dyDescent="0.3">
      <c r="A165" s="75">
        <v>35017</v>
      </c>
      <c r="B165" s="75">
        <v>103501</v>
      </c>
      <c r="C165" s="75" t="s">
        <v>148</v>
      </c>
      <c r="D165" s="75">
        <v>7</v>
      </c>
      <c r="E165" s="76" t="s">
        <v>42</v>
      </c>
      <c r="F165" s="76"/>
      <c r="G165" s="76" t="s">
        <v>238</v>
      </c>
      <c r="H165" s="76" t="s">
        <v>203</v>
      </c>
      <c r="I165" s="24"/>
      <c r="J165" s="31" t="str">
        <f t="shared" si="2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7">
        <v>-999999</v>
      </c>
      <c r="L165" s="27">
        <v>-1000</v>
      </c>
      <c r="M165" s="28" t="s">
        <v>34</v>
      </c>
    </row>
    <row r="166" spans="1:13" s="17" customFormat="1" ht="16.5" x14ac:dyDescent="0.3">
      <c r="A166" s="77">
        <v>36001</v>
      </c>
      <c r="B166" s="77">
        <v>103600</v>
      </c>
      <c r="C166" s="77" t="s">
        <v>149</v>
      </c>
      <c r="D166" s="77">
        <v>1</v>
      </c>
      <c r="E166" s="78" t="s">
        <v>150</v>
      </c>
      <c r="F166" s="78"/>
      <c r="G166" s="78" t="s">
        <v>239</v>
      </c>
      <c r="H166" s="78" t="s">
        <v>205</v>
      </c>
      <c r="I166" s="24"/>
      <c r="J166" s="79" t="s">
        <v>151</v>
      </c>
      <c r="K166" s="27">
        <v>8000</v>
      </c>
      <c r="L166" s="27">
        <v>999999</v>
      </c>
      <c r="M166" s="80" t="s">
        <v>22</v>
      </c>
    </row>
    <row r="167" spans="1:13" s="17" customFormat="1" ht="16.5" x14ac:dyDescent="0.3">
      <c r="A167" s="77">
        <v>36002</v>
      </c>
      <c r="B167" s="77">
        <v>103600</v>
      </c>
      <c r="C167" s="77" t="s">
        <v>149</v>
      </c>
      <c r="D167" s="77">
        <v>2</v>
      </c>
      <c r="E167" s="78" t="s">
        <v>62</v>
      </c>
      <c r="F167" s="78"/>
      <c r="G167" s="78" t="s">
        <v>239</v>
      </c>
      <c r="H167" s="78" t="s">
        <v>205</v>
      </c>
      <c r="I167" s="24"/>
      <c r="J167" s="79" t="str">
        <f t="shared" ref="J167:J172" si="24">J166</f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7" s="27">
        <v>6000</v>
      </c>
      <c r="L167" s="27">
        <v>8000</v>
      </c>
      <c r="M167" s="80" t="s">
        <v>24</v>
      </c>
    </row>
    <row r="168" spans="1:13" s="17" customFormat="1" ht="16.5" x14ac:dyDescent="0.3">
      <c r="A168" s="77">
        <v>36003</v>
      </c>
      <c r="B168" s="77">
        <v>103600</v>
      </c>
      <c r="C168" s="77" t="s">
        <v>149</v>
      </c>
      <c r="D168" s="77">
        <v>3</v>
      </c>
      <c r="E168" s="78" t="s">
        <v>152</v>
      </c>
      <c r="F168" s="78"/>
      <c r="G168" s="78" t="s">
        <v>239</v>
      </c>
      <c r="H168" s="78" t="s">
        <v>205</v>
      </c>
      <c r="I168" s="24"/>
      <c r="J168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8" s="27">
        <v>4000</v>
      </c>
      <c r="L168" s="27">
        <v>6000</v>
      </c>
      <c r="M168" s="80" t="s">
        <v>26</v>
      </c>
    </row>
    <row r="169" spans="1:13" s="17" customFormat="1" ht="16.5" x14ac:dyDescent="0.3">
      <c r="A169" s="77">
        <v>36004</v>
      </c>
      <c r="B169" s="77">
        <v>103600</v>
      </c>
      <c r="C169" s="77" t="s">
        <v>149</v>
      </c>
      <c r="D169" s="77">
        <v>4</v>
      </c>
      <c r="E169" s="78" t="s">
        <v>153</v>
      </c>
      <c r="F169" s="78"/>
      <c r="G169" s="78" t="s">
        <v>239</v>
      </c>
      <c r="H169" s="78" t="s">
        <v>205</v>
      </c>
      <c r="I169" s="24"/>
      <c r="J169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69" s="27">
        <v>2000</v>
      </c>
      <c r="L169" s="27">
        <v>4000</v>
      </c>
      <c r="M169" s="80" t="s">
        <v>28</v>
      </c>
    </row>
    <row r="170" spans="1:13" s="17" customFormat="1" ht="16.5" x14ac:dyDescent="0.3">
      <c r="A170" s="77">
        <v>36005</v>
      </c>
      <c r="B170" s="77">
        <v>103600</v>
      </c>
      <c r="C170" s="77" t="s">
        <v>149</v>
      </c>
      <c r="D170" s="77">
        <v>5</v>
      </c>
      <c r="E170" s="78" t="s">
        <v>65</v>
      </c>
      <c r="F170" s="78"/>
      <c r="G170" s="78" t="s">
        <v>239</v>
      </c>
      <c r="H170" s="78" t="s">
        <v>205</v>
      </c>
      <c r="I170" s="24"/>
      <c r="J170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0" s="27">
        <v>0</v>
      </c>
      <c r="L170" s="27">
        <v>2000</v>
      </c>
      <c r="M170" s="80" t="s">
        <v>30</v>
      </c>
    </row>
    <row r="171" spans="1:13" s="17" customFormat="1" ht="16.5" x14ac:dyDescent="0.3">
      <c r="A171" s="77">
        <v>36006</v>
      </c>
      <c r="B171" s="77">
        <v>103600</v>
      </c>
      <c r="C171" s="77" t="s">
        <v>149</v>
      </c>
      <c r="D171" s="77">
        <v>6</v>
      </c>
      <c r="E171" s="78" t="s">
        <v>95</v>
      </c>
      <c r="F171" s="78"/>
      <c r="G171" s="78" t="s">
        <v>239</v>
      </c>
      <c r="H171" s="78" t="s">
        <v>205</v>
      </c>
      <c r="I171" s="24"/>
      <c r="J171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1" s="27">
        <v>-1000</v>
      </c>
      <c r="L171" s="27">
        <v>0</v>
      </c>
      <c r="M171" s="80" t="s">
        <v>32</v>
      </c>
    </row>
    <row r="172" spans="1:13" s="17" customFormat="1" ht="16.5" x14ac:dyDescent="0.3">
      <c r="A172" s="77">
        <v>36007</v>
      </c>
      <c r="B172" s="77">
        <v>103600</v>
      </c>
      <c r="C172" s="77" t="s">
        <v>149</v>
      </c>
      <c r="D172" s="77">
        <v>7</v>
      </c>
      <c r="E172" s="78" t="s">
        <v>42</v>
      </c>
      <c r="F172" s="78"/>
      <c r="G172" s="78" t="s">
        <v>239</v>
      </c>
      <c r="H172" s="78" t="s">
        <v>205</v>
      </c>
      <c r="I172" s="24"/>
      <c r="J172" s="79" t="str">
        <f t="shared" si="24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2" s="27">
        <v>-999999</v>
      </c>
      <c r="L172" s="27">
        <v>-1000</v>
      </c>
      <c r="M172" s="80" t="s">
        <v>34</v>
      </c>
    </row>
    <row r="173" spans="1:13" s="18" customFormat="1" ht="16.5" x14ac:dyDescent="0.3">
      <c r="A173" s="81">
        <v>38001</v>
      </c>
      <c r="B173" s="81">
        <v>103800</v>
      </c>
      <c r="C173" s="81" t="s">
        <v>154</v>
      </c>
      <c r="D173" s="81">
        <v>1</v>
      </c>
      <c r="E173" s="82" t="s">
        <v>155</v>
      </c>
      <c r="F173" s="82"/>
      <c r="G173" s="82" t="s">
        <v>241</v>
      </c>
      <c r="H173" s="82" t="s">
        <v>240</v>
      </c>
      <c r="I173" s="24"/>
      <c r="J173" s="83" t="s">
        <v>211</v>
      </c>
      <c r="K173" s="27">
        <v>8000</v>
      </c>
      <c r="L173" s="27">
        <v>999999</v>
      </c>
      <c r="M173" s="84" t="s">
        <v>22</v>
      </c>
    </row>
    <row r="174" spans="1:13" s="18" customFormat="1" ht="16.5" x14ac:dyDescent="0.3">
      <c r="A174" s="81">
        <v>38002</v>
      </c>
      <c r="B174" s="81">
        <v>103800</v>
      </c>
      <c r="C174" s="81" t="s">
        <v>154</v>
      </c>
      <c r="D174" s="81">
        <v>2</v>
      </c>
      <c r="E174" s="82" t="s">
        <v>156</v>
      </c>
      <c r="F174" s="82"/>
      <c r="G174" s="82" t="s">
        <v>241</v>
      </c>
      <c r="H174" s="82" t="s">
        <v>240</v>
      </c>
      <c r="I174" s="24"/>
      <c r="J174" s="83" t="str">
        <f t="shared" ref="J174:J179" si="25">J173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4" s="27">
        <v>6000</v>
      </c>
      <c r="L174" s="27">
        <v>8000</v>
      </c>
      <c r="M174" s="84" t="s">
        <v>24</v>
      </c>
    </row>
    <row r="175" spans="1:13" s="18" customFormat="1" ht="16.5" x14ac:dyDescent="0.3">
      <c r="A175" s="81">
        <v>38003</v>
      </c>
      <c r="B175" s="81">
        <v>103800</v>
      </c>
      <c r="C175" s="81" t="s">
        <v>154</v>
      </c>
      <c r="D175" s="81">
        <v>3</v>
      </c>
      <c r="E175" s="82" t="s">
        <v>157</v>
      </c>
      <c r="F175" s="82"/>
      <c r="G175" s="82" t="s">
        <v>241</v>
      </c>
      <c r="H175" s="82" t="s">
        <v>240</v>
      </c>
      <c r="I175" s="24"/>
      <c r="J175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5" s="27">
        <v>4000</v>
      </c>
      <c r="L175" s="27">
        <v>6000</v>
      </c>
      <c r="M175" s="84" t="s">
        <v>26</v>
      </c>
    </row>
    <row r="176" spans="1:13" s="18" customFormat="1" ht="16.5" x14ac:dyDescent="0.3">
      <c r="A176" s="81">
        <v>38004</v>
      </c>
      <c r="B176" s="81">
        <v>103800</v>
      </c>
      <c r="C176" s="81" t="s">
        <v>154</v>
      </c>
      <c r="D176" s="81">
        <v>4</v>
      </c>
      <c r="E176" s="82" t="s">
        <v>158</v>
      </c>
      <c r="F176" s="82"/>
      <c r="G176" s="82" t="s">
        <v>241</v>
      </c>
      <c r="H176" s="82" t="s">
        <v>240</v>
      </c>
      <c r="I176" s="24"/>
      <c r="J176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6" s="27">
        <v>2000</v>
      </c>
      <c r="L176" s="27">
        <v>4000</v>
      </c>
      <c r="M176" s="84" t="s">
        <v>28</v>
      </c>
    </row>
    <row r="177" spans="1:13" s="18" customFormat="1" ht="16.5" x14ac:dyDescent="0.3">
      <c r="A177" s="81">
        <v>38005</v>
      </c>
      <c r="B177" s="81">
        <v>103800</v>
      </c>
      <c r="C177" s="81" t="s">
        <v>154</v>
      </c>
      <c r="D177" s="81">
        <v>5</v>
      </c>
      <c r="E177" s="82" t="s">
        <v>159</v>
      </c>
      <c r="F177" s="82"/>
      <c r="G177" s="82" t="s">
        <v>241</v>
      </c>
      <c r="H177" s="82" t="s">
        <v>240</v>
      </c>
      <c r="I177" s="24"/>
      <c r="J177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7" s="27">
        <v>0</v>
      </c>
      <c r="L177" s="27">
        <v>2000</v>
      </c>
      <c r="M177" s="84" t="s">
        <v>30</v>
      </c>
    </row>
    <row r="178" spans="1:13" s="18" customFormat="1" ht="16.5" x14ac:dyDescent="0.3">
      <c r="A178" s="81">
        <v>38006</v>
      </c>
      <c r="B178" s="81">
        <v>103800</v>
      </c>
      <c r="C178" s="81" t="s">
        <v>154</v>
      </c>
      <c r="D178" s="81">
        <v>6</v>
      </c>
      <c r="E178" s="82" t="s">
        <v>160</v>
      </c>
      <c r="F178" s="82"/>
      <c r="G178" s="82" t="s">
        <v>241</v>
      </c>
      <c r="H178" s="82" t="s">
        <v>240</v>
      </c>
      <c r="I178" s="24"/>
      <c r="J178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8" s="27">
        <v>-1000</v>
      </c>
      <c r="L178" s="27">
        <v>0</v>
      </c>
      <c r="M178" s="84" t="s">
        <v>32</v>
      </c>
    </row>
    <row r="179" spans="1:13" s="18" customFormat="1" ht="16.5" x14ac:dyDescent="0.3">
      <c r="A179" s="81">
        <v>38007</v>
      </c>
      <c r="B179" s="81">
        <v>103800</v>
      </c>
      <c r="C179" s="81" t="s">
        <v>154</v>
      </c>
      <c r="D179" s="81">
        <v>7</v>
      </c>
      <c r="E179" s="82" t="s">
        <v>111</v>
      </c>
      <c r="F179" s="82"/>
      <c r="G179" s="82" t="s">
        <v>241</v>
      </c>
      <c r="H179" s="82" t="s">
        <v>240</v>
      </c>
      <c r="I179" s="24"/>
      <c r="J179" s="83" t="str">
        <f t="shared" si="25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79" s="27">
        <v>-999999</v>
      </c>
      <c r="L179" s="27">
        <v>-1000</v>
      </c>
      <c r="M179" s="84" t="s">
        <v>34</v>
      </c>
    </row>
    <row r="180" spans="1:13" s="17" customFormat="1" ht="16.5" x14ac:dyDescent="0.3">
      <c r="A180" s="77">
        <v>37001</v>
      </c>
      <c r="B180" s="77">
        <v>103700</v>
      </c>
      <c r="C180" s="77" t="s">
        <v>161</v>
      </c>
      <c r="D180" s="77">
        <v>1</v>
      </c>
      <c r="E180" s="78" t="s">
        <v>162</v>
      </c>
      <c r="F180" s="78"/>
      <c r="G180" s="78"/>
      <c r="H180" s="78"/>
      <c r="I180" s="24"/>
      <c r="J180" s="79" t="s">
        <v>163</v>
      </c>
      <c r="K180" s="27">
        <v>8000</v>
      </c>
      <c r="L180" s="27">
        <v>999999</v>
      </c>
      <c r="M180" s="80" t="s">
        <v>22</v>
      </c>
    </row>
    <row r="181" spans="1:13" s="17" customFormat="1" ht="16.5" x14ac:dyDescent="0.3">
      <c r="A181" s="77">
        <v>37002</v>
      </c>
      <c r="B181" s="77">
        <v>103700</v>
      </c>
      <c r="C181" s="77" t="s">
        <v>161</v>
      </c>
      <c r="D181" s="77">
        <v>2</v>
      </c>
      <c r="E181" s="78" t="s">
        <v>164</v>
      </c>
      <c r="F181" s="78"/>
      <c r="G181" s="78"/>
      <c r="H181" s="78"/>
      <c r="I181" s="24"/>
      <c r="J181" s="79" t="str">
        <f t="shared" ref="J181:J186" si="26">J180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1" s="27">
        <v>6000</v>
      </c>
      <c r="L181" s="27">
        <v>8000</v>
      </c>
      <c r="M181" s="80" t="s">
        <v>24</v>
      </c>
    </row>
    <row r="182" spans="1:13" s="17" customFormat="1" ht="16.5" x14ac:dyDescent="0.3">
      <c r="A182" s="77">
        <v>37003</v>
      </c>
      <c r="B182" s="77">
        <v>103700</v>
      </c>
      <c r="C182" s="77" t="s">
        <v>161</v>
      </c>
      <c r="D182" s="77">
        <v>3</v>
      </c>
      <c r="E182" s="78" t="s">
        <v>165</v>
      </c>
      <c r="F182" s="78"/>
      <c r="G182" s="78"/>
      <c r="H182" s="78"/>
      <c r="I182" s="24"/>
      <c r="J182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2" s="27">
        <v>4000</v>
      </c>
      <c r="L182" s="27">
        <v>6000</v>
      </c>
      <c r="M182" s="80" t="s">
        <v>26</v>
      </c>
    </row>
    <row r="183" spans="1:13" s="17" customFormat="1" ht="16.5" x14ac:dyDescent="0.3">
      <c r="A183" s="77">
        <v>37004</v>
      </c>
      <c r="B183" s="77">
        <v>103700</v>
      </c>
      <c r="C183" s="77" t="s">
        <v>161</v>
      </c>
      <c r="D183" s="77">
        <v>4</v>
      </c>
      <c r="E183" s="78" t="s">
        <v>166</v>
      </c>
      <c r="F183" s="78"/>
      <c r="G183" s="78"/>
      <c r="H183" s="78"/>
      <c r="I183" s="24"/>
      <c r="J183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3" s="27">
        <v>2000</v>
      </c>
      <c r="L183" s="27">
        <v>4000</v>
      </c>
      <c r="M183" s="80" t="s">
        <v>28</v>
      </c>
    </row>
    <row r="184" spans="1:13" s="17" customFormat="1" ht="16.5" x14ac:dyDescent="0.3">
      <c r="A184" s="77">
        <v>37005</v>
      </c>
      <c r="B184" s="77">
        <v>103700</v>
      </c>
      <c r="C184" s="77" t="s">
        <v>161</v>
      </c>
      <c r="D184" s="77">
        <v>5</v>
      </c>
      <c r="E184" s="78" t="s">
        <v>167</v>
      </c>
      <c r="F184" s="78"/>
      <c r="G184" s="78"/>
      <c r="H184" s="78"/>
      <c r="J184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4" s="27">
        <v>0</v>
      </c>
      <c r="L184" s="27">
        <v>2000</v>
      </c>
      <c r="M184" s="80" t="s">
        <v>30</v>
      </c>
    </row>
    <row r="185" spans="1:13" s="17" customFormat="1" ht="16.5" x14ac:dyDescent="0.3">
      <c r="A185" s="77">
        <v>37006</v>
      </c>
      <c r="B185" s="77">
        <v>103700</v>
      </c>
      <c r="C185" s="77" t="s">
        <v>161</v>
      </c>
      <c r="D185" s="77">
        <v>6</v>
      </c>
      <c r="E185" s="78" t="s">
        <v>81</v>
      </c>
      <c r="F185" s="78"/>
      <c r="G185" s="78"/>
      <c r="H185" s="78"/>
      <c r="I185" s="24"/>
      <c r="J185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5" s="27">
        <v>-1000</v>
      </c>
      <c r="L185" s="27">
        <v>0</v>
      </c>
      <c r="M185" s="80" t="s">
        <v>32</v>
      </c>
    </row>
    <row r="186" spans="1:13" s="17" customFormat="1" ht="16.5" x14ac:dyDescent="0.3">
      <c r="A186" s="77">
        <v>37007</v>
      </c>
      <c r="B186" s="77">
        <v>103700</v>
      </c>
      <c r="C186" s="77" t="s">
        <v>161</v>
      </c>
      <c r="D186" s="77">
        <v>7</v>
      </c>
      <c r="E186" s="78" t="s">
        <v>168</v>
      </c>
      <c r="F186" s="78"/>
      <c r="G186" s="78"/>
      <c r="H186" s="78"/>
      <c r="I186" s="24"/>
      <c r="J186" s="79" t="str">
        <f t="shared" si="26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6" s="27">
        <v>-999999</v>
      </c>
      <c r="L186" s="27">
        <v>-1000</v>
      </c>
      <c r="M186" s="80" t="s">
        <v>34</v>
      </c>
    </row>
    <row r="187" spans="1:13" s="19" customFormat="1" ht="16.5" x14ac:dyDescent="0.3">
      <c r="A187" s="85">
        <v>39001</v>
      </c>
      <c r="B187" s="85">
        <v>103900</v>
      </c>
      <c r="C187" s="85" t="s">
        <v>169</v>
      </c>
      <c r="D187" s="85">
        <v>1</v>
      </c>
      <c r="E187" s="86" t="s">
        <v>117</v>
      </c>
      <c r="F187" s="86"/>
      <c r="G187" s="86"/>
      <c r="H187" s="86"/>
      <c r="I187" s="24"/>
      <c r="J187" s="32" t="s">
        <v>170</v>
      </c>
      <c r="K187" s="27">
        <v>8000</v>
      </c>
      <c r="L187" s="27">
        <v>999999</v>
      </c>
      <c r="M187" s="87" t="s">
        <v>22</v>
      </c>
    </row>
    <row r="188" spans="1:13" s="19" customFormat="1" ht="16.5" x14ac:dyDescent="0.3">
      <c r="A188" s="85">
        <v>39002</v>
      </c>
      <c r="B188" s="85">
        <v>103900</v>
      </c>
      <c r="C188" s="85" t="s">
        <v>169</v>
      </c>
      <c r="D188" s="85">
        <v>2</v>
      </c>
      <c r="E188" s="86" t="s">
        <v>171</v>
      </c>
      <c r="F188" s="86"/>
      <c r="G188" s="86"/>
      <c r="H188" s="86"/>
      <c r="I188" s="24"/>
      <c r="J188" s="32" t="str">
        <f t="shared" ref="J188:J193" si="27">J187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8" s="27">
        <v>6000</v>
      </c>
      <c r="L188" s="27">
        <v>8000</v>
      </c>
      <c r="M188" s="87" t="s">
        <v>24</v>
      </c>
    </row>
    <row r="189" spans="1:13" s="19" customFormat="1" ht="16.5" x14ac:dyDescent="0.3">
      <c r="A189" s="85">
        <v>39003</v>
      </c>
      <c r="B189" s="85">
        <v>103900</v>
      </c>
      <c r="C189" s="85" t="s">
        <v>169</v>
      </c>
      <c r="D189" s="85">
        <v>3</v>
      </c>
      <c r="E189" s="86" t="s">
        <v>172</v>
      </c>
      <c r="F189" s="86"/>
      <c r="G189" s="86"/>
      <c r="H189" s="86"/>
      <c r="I189" s="24"/>
      <c r="J189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89" s="27">
        <v>4000</v>
      </c>
      <c r="L189" s="27">
        <v>6000</v>
      </c>
      <c r="M189" s="87" t="s">
        <v>26</v>
      </c>
    </row>
    <row r="190" spans="1:13" s="19" customFormat="1" ht="16.5" x14ac:dyDescent="0.3">
      <c r="A190" s="85">
        <v>39004</v>
      </c>
      <c r="B190" s="85">
        <v>103900</v>
      </c>
      <c r="C190" s="85" t="s">
        <v>169</v>
      </c>
      <c r="D190" s="85">
        <v>4</v>
      </c>
      <c r="E190" s="86" t="s">
        <v>173</v>
      </c>
      <c r="F190" s="86"/>
      <c r="G190" s="86"/>
      <c r="H190" s="86"/>
      <c r="I190" s="24"/>
      <c r="J190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0" s="27">
        <v>2000</v>
      </c>
      <c r="L190" s="27">
        <v>4000</v>
      </c>
      <c r="M190" s="87" t="s">
        <v>28</v>
      </c>
    </row>
    <row r="191" spans="1:13" s="19" customFormat="1" ht="16.5" x14ac:dyDescent="0.3">
      <c r="A191" s="85">
        <v>39005</v>
      </c>
      <c r="B191" s="85">
        <v>103900</v>
      </c>
      <c r="C191" s="85" t="s">
        <v>169</v>
      </c>
      <c r="D191" s="85">
        <v>5</v>
      </c>
      <c r="E191" s="86" t="s">
        <v>174</v>
      </c>
      <c r="F191" s="86"/>
      <c r="G191" s="86"/>
      <c r="H191" s="86"/>
      <c r="I191" s="24"/>
      <c r="J191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1" s="27">
        <v>0</v>
      </c>
      <c r="L191" s="27">
        <v>2000</v>
      </c>
      <c r="M191" s="87" t="s">
        <v>30</v>
      </c>
    </row>
    <row r="192" spans="1:13" s="19" customFormat="1" ht="16.5" x14ac:dyDescent="0.3">
      <c r="A192" s="85">
        <v>39006</v>
      </c>
      <c r="B192" s="85">
        <v>103900</v>
      </c>
      <c r="C192" s="85" t="s">
        <v>169</v>
      </c>
      <c r="D192" s="85">
        <v>6</v>
      </c>
      <c r="E192" s="86" t="s">
        <v>168</v>
      </c>
      <c r="F192" s="86"/>
      <c r="G192" s="86"/>
      <c r="H192" s="86"/>
      <c r="I192" s="24"/>
      <c r="J192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2" s="27">
        <v>-1000</v>
      </c>
      <c r="L192" s="27">
        <v>0</v>
      </c>
      <c r="M192" s="87" t="s">
        <v>32</v>
      </c>
    </row>
    <row r="193" spans="1:13" s="19" customFormat="1" ht="16.5" x14ac:dyDescent="0.3">
      <c r="A193" s="85">
        <v>39007</v>
      </c>
      <c r="B193" s="85">
        <v>103900</v>
      </c>
      <c r="C193" s="85" t="s">
        <v>169</v>
      </c>
      <c r="D193" s="85">
        <v>7</v>
      </c>
      <c r="E193" s="86" t="s">
        <v>175</v>
      </c>
      <c r="F193" s="86"/>
      <c r="G193" s="86"/>
      <c r="H193" s="86"/>
      <c r="I193" s="24"/>
      <c r="J193" s="32" t="str">
        <f t="shared" si="27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3" s="27">
        <v>-999999</v>
      </c>
      <c r="L193" s="27">
        <v>-1000</v>
      </c>
      <c r="M193" s="87" t="s">
        <v>34</v>
      </c>
    </row>
    <row r="194" spans="1:13" s="14" customFormat="1" ht="16.5" x14ac:dyDescent="0.3">
      <c r="A194" s="68">
        <v>40001</v>
      </c>
      <c r="B194" s="68">
        <v>104000</v>
      </c>
      <c r="C194" s="68" t="s">
        <v>176</v>
      </c>
      <c r="D194" s="68">
        <v>1</v>
      </c>
      <c r="E194" s="69" t="s">
        <v>144</v>
      </c>
      <c r="F194" s="69"/>
      <c r="G194" s="69" t="s">
        <v>244</v>
      </c>
      <c r="H194" s="69" t="s">
        <v>245</v>
      </c>
      <c r="I194" s="24" t="s">
        <v>243</v>
      </c>
      <c r="J194" s="70" t="s">
        <v>242</v>
      </c>
      <c r="K194" s="27">
        <v>8000</v>
      </c>
      <c r="L194" s="27">
        <v>999999</v>
      </c>
      <c r="M194" s="71" t="s">
        <v>22</v>
      </c>
    </row>
    <row r="195" spans="1:13" s="14" customFormat="1" ht="16.5" x14ac:dyDescent="0.3">
      <c r="A195" s="68">
        <v>40002</v>
      </c>
      <c r="B195" s="68">
        <v>104000</v>
      </c>
      <c r="C195" s="68" t="s">
        <v>176</v>
      </c>
      <c r="D195" s="68">
        <v>2</v>
      </c>
      <c r="E195" s="69" t="s">
        <v>177</v>
      </c>
      <c r="F195" s="69"/>
      <c r="G195" s="69" t="s">
        <v>244</v>
      </c>
      <c r="H195" s="69" t="s">
        <v>245</v>
      </c>
      <c r="I195" s="24" t="str">
        <f t="shared" ref="I195:I200" si="28">I194</f>
        <v>1000000&amp;999999999_2,17-0|18-0</v>
      </c>
      <c r="J195" s="70" t="str">
        <f t="shared" ref="J195:J200" si="29">J194</f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5" s="27">
        <v>6000</v>
      </c>
      <c r="L195" s="27">
        <v>8000</v>
      </c>
      <c r="M195" s="71" t="s">
        <v>24</v>
      </c>
    </row>
    <row r="196" spans="1:13" s="14" customFormat="1" ht="16.5" x14ac:dyDescent="0.3">
      <c r="A196" s="68">
        <v>40003</v>
      </c>
      <c r="B196" s="68">
        <v>104000</v>
      </c>
      <c r="C196" s="68" t="s">
        <v>176</v>
      </c>
      <c r="D196" s="68">
        <v>3</v>
      </c>
      <c r="E196" s="69" t="s">
        <v>178</v>
      </c>
      <c r="F196" s="69"/>
      <c r="G196" s="69" t="s">
        <v>244</v>
      </c>
      <c r="H196" s="69" t="s">
        <v>245</v>
      </c>
      <c r="I196" s="24" t="str">
        <f t="shared" si="28"/>
        <v>1000000&amp;999999999_2,17-0|18-0</v>
      </c>
      <c r="J196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6" s="27">
        <v>4000</v>
      </c>
      <c r="L196" s="27">
        <v>6000</v>
      </c>
      <c r="M196" s="71" t="s">
        <v>26</v>
      </c>
    </row>
    <row r="197" spans="1:13" s="14" customFormat="1" ht="16.5" x14ac:dyDescent="0.3">
      <c r="A197" s="68">
        <v>40004</v>
      </c>
      <c r="B197" s="68">
        <v>104000</v>
      </c>
      <c r="C197" s="68" t="s">
        <v>176</v>
      </c>
      <c r="D197" s="68">
        <v>4</v>
      </c>
      <c r="E197" s="69" t="s">
        <v>86</v>
      </c>
      <c r="F197" s="69"/>
      <c r="G197" s="69" t="s">
        <v>244</v>
      </c>
      <c r="H197" s="69" t="s">
        <v>245</v>
      </c>
      <c r="I197" s="24" t="str">
        <f t="shared" si="28"/>
        <v>1000000&amp;999999999_2,17-0|18-0</v>
      </c>
      <c r="J197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7" s="27">
        <v>2000</v>
      </c>
      <c r="L197" s="27">
        <v>4000</v>
      </c>
      <c r="M197" s="71" t="s">
        <v>28</v>
      </c>
    </row>
    <row r="198" spans="1:13" s="14" customFormat="1" ht="16.5" x14ac:dyDescent="0.3">
      <c r="A198" s="68">
        <v>40005</v>
      </c>
      <c r="B198" s="68">
        <v>104000</v>
      </c>
      <c r="C198" s="68" t="s">
        <v>176</v>
      </c>
      <c r="D198" s="68">
        <v>5</v>
      </c>
      <c r="E198" s="69" t="s">
        <v>179</v>
      </c>
      <c r="F198" s="69"/>
      <c r="G198" s="69" t="s">
        <v>244</v>
      </c>
      <c r="H198" s="69" t="s">
        <v>245</v>
      </c>
      <c r="I198" s="24" t="str">
        <f t="shared" si="28"/>
        <v>1000000&amp;999999999_2,17-0|18-0</v>
      </c>
      <c r="J198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8" s="27">
        <v>0</v>
      </c>
      <c r="L198" s="27">
        <v>2000</v>
      </c>
      <c r="M198" s="71" t="s">
        <v>30</v>
      </c>
    </row>
    <row r="199" spans="1:13" s="14" customFormat="1" ht="16.5" x14ac:dyDescent="0.3">
      <c r="A199" s="68">
        <v>40006</v>
      </c>
      <c r="B199" s="68">
        <v>104000</v>
      </c>
      <c r="C199" s="68" t="s">
        <v>176</v>
      </c>
      <c r="D199" s="68">
        <v>6</v>
      </c>
      <c r="E199" s="69" t="s">
        <v>180</v>
      </c>
      <c r="F199" s="69"/>
      <c r="G199" s="69" t="s">
        <v>244</v>
      </c>
      <c r="H199" s="69" t="s">
        <v>245</v>
      </c>
      <c r="I199" s="24" t="str">
        <f t="shared" si="28"/>
        <v>1000000&amp;999999999_2,17-0|18-0</v>
      </c>
      <c r="J199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99" s="27">
        <v>-1000</v>
      </c>
      <c r="L199" s="27">
        <v>0</v>
      </c>
      <c r="M199" s="71" t="s">
        <v>32</v>
      </c>
    </row>
    <row r="200" spans="1:13" s="14" customFormat="1" ht="16.5" x14ac:dyDescent="0.3">
      <c r="A200" s="68">
        <v>40007</v>
      </c>
      <c r="B200" s="68">
        <v>104000</v>
      </c>
      <c r="C200" s="68" t="s">
        <v>176</v>
      </c>
      <c r="D200" s="68">
        <v>7</v>
      </c>
      <c r="E200" s="69" t="s">
        <v>42</v>
      </c>
      <c r="F200" s="69"/>
      <c r="G200" s="69" t="s">
        <v>244</v>
      </c>
      <c r="H200" s="69" t="s">
        <v>245</v>
      </c>
      <c r="I200" s="24" t="str">
        <f t="shared" si="28"/>
        <v>1000000&amp;999999999_2,17-0|18-0</v>
      </c>
      <c r="J200" s="70" t="str">
        <f t="shared" si="29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0" s="27">
        <v>-999999</v>
      </c>
      <c r="L200" s="27">
        <v>-1000</v>
      </c>
      <c r="M200" s="71" t="s">
        <v>34</v>
      </c>
    </row>
    <row r="201" spans="1:13" s="17" customFormat="1" ht="16.5" x14ac:dyDescent="0.3">
      <c r="A201" s="77">
        <v>50001</v>
      </c>
      <c r="B201" s="77">
        <v>105000</v>
      </c>
      <c r="C201" s="77" t="s">
        <v>181</v>
      </c>
      <c r="D201" s="77">
        <v>1</v>
      </c>
      <c r="E201" s="78" t="s">
        <v>77</v>
      </c>
      <c r="F201" s="78"/>
      <c r="G201" s="78"/>
      <c r="H201" s="78"/>
      <c r="I201" s="24"/>
      <c r="J201" s="79" t="s">
        <v>78</v>
      </c>
      <c r="K201" s="27">
        <v>8000</v>
      </c>
      <c r="L201" s="27">
        <v>999999</v>
      </c>
      <c r="M201" s="80" t="s">
        <v>22</v>
      </c>
    </row>
    <row r="202" spans="1:13" s="17" customFormat="1" ht="16.5" x14ac:dyDescent="0.3">
      <c r="A202" s="77">
        <v>50002</v>
      </c>
      <c r="B202" s="77">
        <v>105000</v>
      </c>
      <c r="C202" s="77" t="s">
        <v>181</v>
      </c>
      <c r="D202" s="77">
        <v>2</v>
      </c>
      <c r="E202" s="78" t="s">
        <v>79</v>
      </c>
      <c r="F202" s="78"/>
      <c r="G202" s="78"/>
      <c r="H202" s="78"/>
      <c r="I202" s="24"/>
      <c r="J202" s="79" t="s">
        <v>78</v>
      </c>
      <c r="K202" s="27">
        <v>6000</v>
      </c>
      <c r="L202" s="27">
        <v>8000</v>
      </c>
      <c r="M202" s="80" t="s">
        <v>24</v>
      </c>
    </row>
    <row r="203" spans="1:13" s="17" customFormat="1" ht="16.5" x14ac:dyDescent="0.3">
      <c r="A203" s="77">
        <v>50003</v>
      </c>
      <c r="B203" s="77">
        <v>105000</v>
      </c>
      <c r="C203" s="77" t="s">
        <v>181</v>
      </c>
      <c r="D203" s="77">
        <v>3</v>
      </c>
      <c r="E203" s="78" t="s">
        <v>80</v>
      </c>
      <c r="F203" s="78"/>
      <c r="G203" s="78"/>
      <c r="H203" s="78"/>
      <c r="I203" s="24"/>
      <c r="J203" s="79" t="s">
        <v>78</v>
      </c>
      <c r="K203" s="27">
        <v>4000</v>
      </c>
      <c r="L203" s="27">
        <v>6000</v>
      </c>
      <c r="M203" s="80" t="s">
        <v>26</v>
      </c>
    </row>
    <row r="204" spans="1:13" s="17" customFormat="1" ht="16.5" x14ac:dyDescent="0.3">
      <c r="A204" s="77">
        <v>50004</v>
      </c>
      <c r="B204" s="77">
        <v>105000</v>
      </c>
      <c r="C204" s="77" t="s">
        <v>181</v>
      </c>
      <c r="D204" s="77">
        <v>4</v>
      </c>
      <c r="E204" s="78" t="s">
        <v>81</v>
      </c>
      <c r="F204" s="78"/>
      <c r="G204" s="78"/>
      <c r="H204" s="78"/>
      <c r="I204" s="24"/>
      <c r="J204" s="79" t="s">
        <v>78</v>
      </c>
      <c r="K204" s="27">
        <v>2000</v>
      </c>
      <c r="L204" s="27">
        <v>4000</v>
      </c>
      <c r="M204" s="80" t="s">
        <v>28</v>
      </c>
    </row>
    <row r="205" spans="1:13" s="17" customFormat="1" ht="16.5" x14ac:dyDescent="0.3">
      <c r="A205" s="77">
        <v>50005</v>
      </c>
      <c r="B205" s="77">
        <v>105000</v>
      </c>
      <c r="C205" s="77" t="s">
        <v>181</v>
      </c>
      <c r="D205" s="77">
        <v>5</v>
      </c>
      <c r="E205" s="78" t="s">
        <v>82</v>
      </c>
      <c r="F205" s="78"/>
      <c r="G205" s="78"/>
      <c r="H205" s="78"/>
      <c r="I205" s="24"/>
      <c r="J205" s="79" t="s">
        <v>78</v>
      </c>
      <c r="K205" s="27">
        <v>0</v>
      </c>
      <c r="L205" s="27">
        <v>2000</v>
      </c>
      <c r="M205" s="80" t="s">
        <v>30</v>
      </c>
    </row>
    <row r="206" spans="1:13" s="17" customFormat="1" ht="16.5" x14ac:dyDescent="0.3">
      <c r="A206" s="77">
        <v>50006</v>
      </c>
      <c r="B206" s="77">
        <v>105000</v>
      </c>
      <c r="C206" s="77" t="s">
        <v>181</v>
      </c>
      <c r="D206" s="77">
        <v>6</v>
      </c>
      <c r="E206" s="78" t="s">
        <v>83</v>
      </c>
      <c r="F206" s="78"/>
      <c r="G206" s="78"/>
      <c r="H206" s="78"/>
      <c r="I206" s="24"/>
      <c r="J206" s="79" t="s">
        <v>78</v>
      </c>
      <c r="K206" s="27">
        <v>-1000</v>
      </c>
      <c r="L206" s="27">
        <v>0</v>
      </c>
      <c r="M206" s="80" t="s">
        <v>32</v>
      </c>
    </row>
    <row r="207" spans="1:13" s="17" customFormat="1" ht="16.5" x14ac:dyDescent="0.3">
      <c r="A207" s="77">
        <v>50007</v>
      </c>
      <c r="B207" s="77">
        <v>105000</v>
      </c>
      <c r="C207" s="77" t="s">
        <v>181</v>
      </c>
      <c r="D207" s="77">
        <v>7</v>
      </c>
      <c r="E207" s="78" t="s">
        <v>84</v>
      </c>
      <c r="F207" s="78"/>
      <c r="G207" s="78"/>
      <c r="H207" s="78"/>
      <c r="I207" s="24"/>
      <c r="J207" s="79" t="s">
        <v>78</v>
      </c>
      <c r="K207" s="27">
        <v>-999999</v>
      </c>
      <c r="L207" s="27">
        <v>-1000</v>
      </c>
      <c r="M207" s="80" t="s">
        <v>34</v>
      </c>
    </row>
    <row r="208" spans="1:13" s="20" customFormat="1" ht="16.5" x14ac:dyDescent="0.3">
      <c r="A208" s="88">
        <v>51001</v>
      </c>
      <c r="B208" s="88">
        <v>105100</v>
      </c>
      <c r="C208" s="88" t="s">
        <v>182</v>
      </c>
      <c r="D208" s="88">
        <v>1</v>
      </c>
      <c r="E208" s="89" t="s">
        <v>77</v>
      </c>
      <c r="F208" s="89"/>
      <c r="G208" s="89"/>
      <c r="H208" s="89"/>
      <c r="I208" s="24"/>
      <c r="J208" s="90" t="s">
        <v>78</v>
      </c>
      <c r="K208" s="27">
        <v>8000</v>
      </c>
      <c r="L208" s="27">
        <v>999999</v>
      </c>
      <c r="M208" s="91" t="s">
        <v>22</v>
      </c>
    </row>
    <row r="209" spans="1:13" s="20" customFormat="1" ht="16.5" x14ac:dyDescent="0.3">
      <c r="A209" s="88">
        <v>51002</v>
      </c>
      <c r="B209" s="88">
        <v>105100</v>
      </c>
      <c r="C209" s="88" t="s">
        <v>182</v>
      </c>
      <c r="D209" s="88">
        <v>2</v>
      </c>
      <c r="E209" s="89" t="s">
        <v>79</v>
      </c>
      <c r="F209" s="89"/>
      <c r="G209" s="89"/>
      <c r="H209" s="89"/>
      <c r="I209" s="24"/>
      <c r="J209" s="90" t="s">
        <v>78</v>
      </c>
      <c r="K209" s="27">
        <v>6000</v>
      </c>
      <c r="L209" s="27">
        <v>8000</v>
      </c>
      <c r="M209" s="91" t="s">
        <v>24</v>
      </c>
    </row>
    <row r="210" spans="1:13" s="20" customFormat="1" ht="16.5" x14ac:dyDescent="0.3">
      <c r="A210" s="88">
        <v>51003</v>
      </c>
      <c r="B210" s="88">
        <v>105100</v>
      </c>
      <c r="C210" s="88" t="s">
        <v>182</v>
      </c>
      <c r="D210" s="88">
        <v>3</v>
      </c>
      <c r="E210" s="89" t="s">
        <v>80</v>
      </c>
      <c r="F210" s="89"/>
      <c r="G210" s="89"/>
      <c r="H210" s="89"/>
      <c r="I210" s="24"/>
      <c r="J210" s="90" t="s">
        <v>78</v>
      </c>
      <c r="K210" s="27">
        <v>4000</v>
      </c>
      <c r="L210" s="27">
        <v>6000</v>
      </c>
      <c r="M210" s="91" t="s">
        <v>26</v>
      </c>
    </row>
    <row r="211" spans="1:13" s="20" customFormat="1" ht="16.5" x14ac:dyDescent="0.3">
      <c r="A211" s="88">
        <v>51004</v>
      </c>
      <c r="B211" s="88">
        <v>105100</v>
      </c>
      <c r="C211" s="88" t="s">
        <v>182</v>
      </c>
      <c r="D211" s="88">
        <v>4</v>
      </c>
      <c r="E211" s="89" t="s">
        <v>81</v>
      </c>
      <c r="F211" s="89"/>
      <c r="G211" s="89"/>
      <c r="H211" s="89"/>
      <c r="I211" s="24"/>
      <c r="J211" s="90" t="s">
        <v>78</v>
      </c>
      <c r="K211" s="27">
        <v>2000</v>
      </c>
      <c r="L211" s="27">
        <v>4000</v>
      </c>
      <c r="M211" s="91" t="s">
        <v>28</v>
      </c>
    </row>
    <row r="212" spans="1:13" s="20" customFormat="1" ht="16.5" x14ac:dyDescent="0.3">
      <c r="A212" s="88">
        <v>51005</v>
      </c>
      <c r="B212" s="88">
        <v>105100</v>
      </c>
      <c r="C212" s="88" t="s">
        <v>182</v>
      </c>
      <c r="D212" s="88">
        <v>5</v>
      </c>
      <c r="E212" s="89" t="s">
        <v>82</v>
      </c>
      <c r="F212" s="89"/>
      <c r="G212" s="89"/>
      <c r="H212" s="89"/>
      <c r="I212" s="24"/>
      <c r="J212" s="90" t="s">
        <v>78</v>
      </c>
      <c r="K212" s="27">
        <v>0</v>
      </c>
      <c r="L212" s="27">
        <v>2000</v>
      </c>
      <c r="M212" s="91" t="s">
        <v>30</v>
      </c>
    </row>
    <row r="213" spans="1:13" s="20" customFormat="1" ht="16.5" x14ac:dyDescent="0.3">
      <c r="A213" s="88">
        <v>51006</v>
      </c>
      <c r="B213" s="88">
        <v>105100</v>
      </c>
      <c r="C213" s="88" t="s">
        <v>182</v>
      </c>
      <c r="D213" s="88">
        <v>6</v>
      </c>
      <c r="E213" s="89" t="s">
        <v>83</v>
      </c>
      <c r="F213" s="89"/>
      <c r="G213" s="89"/>
      <c r="H213" s="89"/>
      <c r="I213" s="24"/>
      <c r="J213" s="90" t="s">
        <v>78</v>
      </c>
      <c r="K213" s="27">
        <v>-1000</v>
      </c>
      <c r="L213" s="27">
        <v>0</v>
      </c>
      <c r="M213" s="91" t="s">
        <v>32</v>
      </c>
    </row>
    <row r="214" spans="1:13" s="20" customFormat="1" ht="16.5" x14ac:dyDescent="0.3">
      <c r="A214" s="88">
        <v>51007</v>
      </c>
      <c r="B214" s="88">
        <v>105100</v>
      </c>
      <c r="C214" s="88" t="s">
        <v>182</v>
      </c>
      <c r="D214" s="88">
        <v>7</v>
      </c>
      <c r="E214" s="89" t="s">
        <v>84</v>
      </c>
      <c r="F214" s="89"/>
      <c r="G214" s="89"/>
      <c r="H214" s="89"/>
      <c r="I214" s="24"/>
      <c r="J214" s="90" t="s">
        <v>78</v>
      </c>
      <c r="K214" s="27">
        <v>-999999</v>
      </c>
      <c r="L214" s="27">
        <v>-1000</v>
      </c>
      <c r="M214" s="91" t="s">
        <v>34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2026-04-07T09:58:21Z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