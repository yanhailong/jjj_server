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SpecialResultLib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F1" authorId="0">
      <text>
        <r>
          <rPr>
            <sz val="9"/>
            <rFont val="宋体"/>
            <charset val="134"/>
          </rPr>
          <t>下注下限&amp;下注上限，模式1_触发权重|模式2_触发权重|……；下注下限&amp;下注上限，模式1_触发权重|模式2_触发权重|……
左闭右开（大于等于左边且小于右边）
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<sst xmlns="http://schemas.openxmlformats.org/spreadsheetml/2006/main" count="315" uniqueCount="128">
  <si>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</si>
  <si>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</si>
  <si>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</si>
  <si>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</si>
  <si>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</si>
  <si>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</si>
  <si>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</si>
  <si>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</si>
  <si>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</si>
  <si>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list&lt;list&lt;string&gt;{,}&gt;{;}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</si>
  <si>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</si>
  <si>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</si>
  <si>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</si>
  <si>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</si>
  <si>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</si>
  <si>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</si>
  <si>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</si>
  <si>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</si>
  <si>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1_9560|2_300|3_300|4_300|5_0</t>
  </si>
  <si>
    <t>1&amp;500000,1_9560|2_300|3_300|4_300|5_0;500000&amp;999999999,1_9560|2_300|3_300|4_300|5_0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</si>
  <si>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</si>
  <si>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</si>
  <si>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1_9580|2_240|3_120|4_120|5_40</t>
  </si>
  <si>
    <t>放水池+2</t>
  </si>
  <si>
    <t>1_9600|2_120|3_80|4_80|5_80</t>
  </si>
  <si>
    <t>放水池+1</t>
  </si>
  <si>
    <t>1_9620|2_70|3_60|4_60|5_100</t>
  </si>
  <si>
    <t>标准池</t>
  </si>
  <si>
    <t>1_9640|2_40|3_20|4_20|5_400</t>
  </si>
  <si>
    <t>吸水池-1</t>
  </si>
  <si>
    <t>1_9660|2_10|3_0|4_0|5_500</t>
  </si>
  <si>
    <t>吸水池-2</t>
  </si>
  <si>
    <t>1_9680|2_0|3_0|4_0|5_0</t>
  </si>
  <si>
    <t>吸水池-3</t>
  </si>
  <si>
    <t>超级明星</t>
  </si>
  <si>
    <t>1_9150|2_50|3_800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</si>
  <si>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t>
  </si>
  <si>
    <t>1_9880|2_40|3_80</t>
  </si>
  <si>
    <t>1_9940|2_30|3_30</t>
  </si>
  <si>
    <t>1_9970|2_20|3_10</t>
  </si>
  <si>
    <t>1_9990|2_10|3_0</t>
  </si>
  <si>
    <t>1_9998|2_2|3_0</t>
  </si>
  <si>
    <t>1_10000|2_0|3_0</t>
  </si>
  <si>
    <t>麻将胡了</t>
  </si>
  <si>
    <t>1_9500|2_500</t>
  </si>
  <si>
    <t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t>
  </si>
  <si>
    <t>1_9850|2_150</t>
  </si>
  <si>
    <t>1_9900|2_100</t>
  </si>
  <si>
    <t>1_9950|2_50</t>
  </si>
  <si>
    <t>1_9980|2_20</t>
  </si>
  <si>
    <t>1_10000|2_0</t>
  </si>
  <si>
    <t>财神</t>
  </si>
  <si>
    <t>1_9590|2_10|3_0|4_350|5_50</t>
  </si>
  <si>
    <t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t>
  </si>
  <si>
    <t>1_9710|2_10|3_50|4_220|5_10</t>
  </si>
  <si>
    <t>1_9785|2_10|3_100|4_100|5_5</t>
  </si>
  <si>
    <t>1_9790|2_10|3_150|4_50|5_0</t>
  </si>
  <si>
    <t>1_9940|2_10|3_50|4_0|5_0</t>
  </si>
  <si>
    <t>1_9990|2_10|3_0|4_0|5_0</t>
  </si>
  <si>
    <t>埃及艳后</t>
  </si>
  <si>
    <t>1_7499|2_2500|3_1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</si>
  <si>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</si>
  <si>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1_8799|2_1200|3_1</t>
  </si>
  <si>
    <t>1_9799|2_200|3_1</t>
  </si>
  <si>
    <t>1_9849|2_150|3_1</t>
  </si>
  <si>
    <t>1_9900|2_100|3_0</t>
  </si>
  <si>
    <t>1_9950|2_50|3_0</t>
  </si>
  <si>
    <t>财富银行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</si>
  <si>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</si>
  <si>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</si>
  <si>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</si>
  <si>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1_9925|2_65|3_10</t>
  </si>
  <si>
    <t>1_9940|2_50|3_10</t>
  </si>
  <si>
    <t>1_9965|2_35|3_0</t>
  </si>
  <si>
    <t>1_9980|2_20|3_0</t>
  </si>
  <si>
    <t>1_9995|2_5|3_0</t>
  </si>
  <si>
    <t>雷神</t>
  </si>
  <si>
    <t>1_8990|2_1000|3_10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</si>
  <si>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t>
  </si>
  <si>
    <t>1_9740|2_250|3_10</t>
  </si>
  <si>
    <t>1_9830|2_160|3_10</t>
  </si>
  <si>
    <t>1_9880|2_120|3_0</t>
  </si>
  <si>
    <t>杰克船长</t>
  </si>
  <si>
    <t>1_8990|2_500|3_500|4_10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</si>
  <si>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</si>
  <si>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1_9760|2_200|3_30|4_10</t>
  </si>
  <si>
    <t>1_9820|2_150|3_20|4_10</t>
  </si>
  <si>
    <t>1_9950|2_50|3_0|4_0</t>
  </si>
  <si>
    <t>1_9980|2_20|3_0|4_0</t>
  </si>
  <si>
    <t>1_9995|2_5|3_0|4_0</t>
  </si>
  <si>
    <t>1_10000|2_0|3_0|4_0</t>
  </si>
  <si>
    <t>篮球巨星</t>
  </si>
  <si>
    <t>1_9510|2_480|3_10</t>
  </si>
  <si>
    <t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</si>
  <si>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1_9950|2_40|3_10</t>
  </si>
  <si>
    <t>1_9970|2_30|3_0</t>
  </si>
  <si>
    <t>寒冰王座</t>
  </si>
  <si>
    <t>1_9640|2_350|3_10</t>
  </si>
  <si>
    <t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</si>
  <si>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1_9955|2_35|3_10</t>
  </si>
  <si>
    <t>1_9966|2_24|3_10</t>
  </si>
  <si>
    <t>1_9982|2_18|3_0</t>
  </si>
  <si>
    <t>1_9988|2_12|3_0</t>
  </si>
  <si>
    <t>1_9994|2_6|3_0</t>
  </si>
  <si>
    <t>蒸汽时代</t>
  </si>
  <si>
    <t>1_9590|2_400|3_10</t>
  </si>
  <si>
    <t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</si>
  <si>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</si>
  <si>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1_9985|2_15|3_0</t>
  </si>
  <si>
    <t>神马飞扬</t>
  </si>
  <si>
    <t>1_6990|2_3000|3_10</t>
  </si>
  <si>
    <t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</si>
  <si>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1_8490|2_1500|3_10</t>
  </si>
  <si>
    <t>1_9540|2_450|3_10</t>
  </si>
  <si>
    <t>1_9700|2_300|3_0</t>
  </si>
  <si>
    <t>1_9850|2_150|3_0</t>
  </si>
  <si>
    <t>金蛇招财</t>
  </si>
  <si>
    <t>1_9490|2_500|3_10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</si>
  <si>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</si>
  <si>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1_9840|2_150|3_10</t>
  </si>
  <si>
    <t>1_9870|2_120|3_10</t>
  </si>
  <si>
    <t>1_9910|2_90|3_0</t>
  </si>
  <si>
    <t>1_9940|2_60|3_0</t>
  </si>
  <si>
    <t>金钱兔</t>
  </si>
  <si>
    <t>1000_2000_5000_8000_12000_16000_20000</t>
  </si>
  <si>
    <t>10000_20000_50000_80000_120000_160000_200000</t>
  </si>
  <si>
    <t>1&amp;500000,1_9560|2_300|3_300|4_300|5_0;500000&amp;999999999,1_9560|2_300|3_300|4_300|5_0;</t>
  </si>
  <si>
    <t>100000_200000_500000_800000_1200000_1600000_2000000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</si>
</sst>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1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2" borderId="4" applyNumberFormat="0" applyAlignment="0" applyProtection="0">
      <alignment vertical="center"/>
    </xf>
    <xf numFmtId="0" fontId="13" fillId="13" borderId="5" applyNumberFormat="0" applyAlignment="0" applyProtection="0">
      <alignment vertical="center"/>
    </xf>
    <xf numFmtId="0" fontId="14" fillId="13" borderId="4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0" fillId="0" borderId="0"/>
  </cellStyleXfs>
  <cellXfs count="49">
    <xf numFmtId="0" fontId="0" fillId="0" borderId="0" xfId="0"/>
    <xf numFmtId="0" fontId="1" fillId="0" borderId="0" xfId="0" applyFont="1" applyFill="1" applyAlignment="1">
      <alignment horizontal="left" vertical="top"/>
    </xf>
    <xf numFmtId="0" fontId="2" fillId="0" borderId="0" xfId="0" applyFont="1" applyAlignment="1">
      <alignment horizontal="left" vertical="center"/>
    </xf>
    <xf numFmtId="9" fontId="0" fillId="0" borderId="0" xfId="3" applyAlignment="1"/>
    <xf numFmtId="1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5" borderId="0" xfId="0" applyFont="1" applyFill="1"/>
    <xf numFmtId="0" fontId="2" fillId="3" borderId="0" xfId="0" applyFont="1" applyFill="1"/>
    <xf numFmtId="0" fontId="2" fillId="6" borderId="0" xfId="0" applyFont="1" applyFill="1"/>
    <xf numFmtId="0" fontId="2" fillId="2" borderId="0" xfId="0" applyFont="1" applyFill="1"/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/>
    <xf numFmtId="0" fontId="2" fillId="4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0" xfId="49" applyFont="1" applyAlignment="1">
      <alignment horizontal="center" vertical="center"/>
    </xf>
    <xf numFmtId="0" fontId="3" fillId="10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2" fillId="4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3" fontId="2" fillId="4" borderId="0" xfId="0" applyNumberFormat="1" applyFont="1" applyFill="1" applyAlignment="1">
      <alignment horizontal="left" vertical="center"/>
    </xf>
    <xf numFmtId="0" fontId="2" fillId="5" borderId="0" xfId="0" applyFont="1" applyFill="1" applyAlignment="1">
      <alignment horizontal="center"/>
    </xf>
    <xf numFmtId="0" fontId="2" fillId="5" borderId="0" xfId="0" applyFont="1" applyFill="1" applyAlignment="1">
      <alignment horizontal="left"/>
    </xf>
    <xf numFmtId="0" fontId="2" fillId="5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2" fillId="6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0" xfId="0" applyFont="1" applyFill="1" applyAlignment="1">
      <alignment horizontal="left" vertical="center"/>
    </xf>
    <xf numFmtId="0" fontId="2" fillId="7" borderId="0" xfId="0" applyFont="1" applyFill="1" applyAlignment="1">
      <alignment horizontal="center"/>
    </xf>
    <xf numFmtId="0" fontId="2" fillId="7" borderId="0" xfId="0" applyFont="1" applyFill="1" applyAlignment="1">
      <alignment horizontal="left"/>
    </xf>
    <xf numFmtId="0" fontId="2" fillId="7" borderId="0" xfId="0" applyFont="1" applyFill="1" applyAlignment="1">
      <alignment horizontal="left" vertical="center"/>
    </xf>
    <xf numFmtId="0" fontId="2" fillId="8" borderId="0" xfId="0" applyFont="1" applyFill="1" applyAlignment="1">
      <alignment horizontal="center"/>
    </xf>
    <xf numFmtId="0" fontId="2" fillId="8" borderId="0" xfId="0" applyFont="1" applyFill="1" applyAlignment="1">
      <alignment horizontal="left"/>
    </xf>
    <xf numFmtId="0" fontId="2" fillId="8" borderId="0" xfId="0" applyFont="1" applyFill="1" applyAlignment="1">
      <alignment horizontal="left" vertical="center"/>
    </xf>
    <xf numFmtId="0" fontId="2" fillId="9" borderId="0" xfId="0" applyFont="1" applyFill="1" applyAlignment="1">
      <alignment horizontal="center"/>
    </xf>
    <xf numFmtId="0" fontId="2" fillId="9" borderId="0" xfId="0" applyFont="1" applyFill="1" applyAlignment="1">
      <alignment horizontal="left"/>
    </xf>
    <xf numFmtId="0" fontId="2" fillId="9" borderId="0" xfId="0" applyFont="1" applyFill="1" applyAlignment="1">
      <alignment horizontal="left" vertical="center"/>
    </xf>
    <xf numFmtId="0" fontId="2" fillId="4" borderId="0" xfId="0" applyFont="1" applyFill="1" applyAlignment="1">
      <alignment horizontal="center"/>
    </xf>
    <xf numFmtId="0" fontId="2" fillId="4" borderId="0" xfId="0" applyFont="1" applyFill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9"/>
  <sheetViews>
    <sheetView tabSelected="1" zoomScale="85" zoomScaleNormal="85" topLeftCell="C1" workbookViewId="0">
      <selection activeCell="F2" sqref="F2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28.2333333333333" style="16" customWidth="1"/>
    <col min="6" max="6" width="36.025" style="16" customWidth="1"/>
    <col min="7" max="7" width="114.025" style="16" customWidth="1"/>
    <col min="8" max="8" width="15.625" customWidth="1"/>
    <col min="9" max="9" width="15.125" customWidth="1"/>
    <col min="10" max="10" width="12.5" customWidth="1"/>
  </cols>
  <sheetData>
    <row r="1" ht="16.5" spans="1:10">
      <c r="A1" s="17" t="s">
        <v>0</v>
      </c>
      <c r="B1" s="18" t="s">
        <v>1</v>
      </c>
      <c r="C1" s="18"/>
      <c r="D1" s="18" t="s">
        <v>2</v>
      </c>
      <c r="F1" s="2" t="s">
        <v>3</v>
      </c>
      <c r="G1" s="2" t="s">
        <v>4</v>
      </c>
      <c r="H1" s="17" t="s">
        <v>5</v>
      </c>
      <c r="I1" s="17" t="s">
        <v>6</v>
      </c>
      <c r="J1" s="17" t="s">
        <v>7</v>
      </c>
    </row>
    <row r="2" ht="16.5" spans="1:10">
      <c r="A2" s="17" t="s">
        <v>8</v>
      </c>
      <c r="B2" s="18" t="s">
        <v>8</v>
      </c>
      <c r="C2" s="18"/>
      <c r="D2" s="18" t="s">
        <v>8</v>
      </c>
      <c r="F2" s="2" t="s">
        <v>9</v>
      </c>
      <c r="G2" s="2" t="s">
        <v>10</v>
      </c>
      <c r="H2" s="17" t="s">
        <v>8</v>
      </c>
      <c r="I2" s="17" t="s">
        <v>8</v>
      </c>
      <c r="J2" s="17"/>
    </row>
    <row r="3" ht="16.5" spans="1:10">
      <c r="A3" s="17" t="s">
        <v>0</v>
      </c>
      <c r="B3" s="18" t="s">
        <v>11</v>
      </c>
      <c r="C3" s="18"/>
      <c r="D3" s="18" t="s">
        <v>12</v>
      </c>
      <c r="F3" s="2" t="s">
        <v>13</v>
      </c>
      <c r="G3" s="2" t="s">
        <v>14</v>
      </c>
      <c r="H3" s="17" t="s">
        <v>15</v>
      </c>
      <c r="I3" s="17" t="s">
        <v>16</v>
      </c>
      <c r="J3" s="17"/>
    </row>
    <row r="4" ht="16.5" spans="1:10">
      <c r="A4" s="17"/>
      <c r="B4" s="18"/>
      <c r="C4" s="18"/>
      <c r="D4" s="18"/>
      <c r="E4" s="2"/>
      <c r="F4" s="2"/>
      <c r="G4" s="2"/>
      <c r="H4" s="17"/>
      <c r="I4" s="17"/>
      <c r="J4" s="17"/>
    </row>
    <row r="5" ht="16.5" spans="1:10">
      <c r="A5" s="17">
        <v>1001</v>
      </c>
      <c r="B5" s="17">
        <v>100100</v>
      </c>
      <c r="C5" s="17" t="s">
        <v>17</v>
      </c>
      <c r="D5" s="17">
        <v>1</v>
      </c>
      <c r="E5" s="2" t="s">
        <v>18</v>
      </c>
      <c r="F5" s="2" t="s">
        <v>19</v>
      </c>
      <c r="G5" s="19" t="s">
        <v>20</v>
      </c>
      <c r="H5" s="20">
        <v>8000</v>
      </c>
      <c r="I5" s="20">
        <v>999999</v>
      </c>
      <c r="J5" s="21" t="s">
        <v>21</v>
      </c>
    </row>
    <row r="6" ht="16.5" spans="1:10">
      <c r="A6" s="17">
        <v>1002</v>
      </c>
      <c r="B6" s="17">
        <v>100100</v>
      </c>
      <c r="C6" s="17"/>
      <c r="D6" s="17">
        <v>2</v>
      </c>
      <c r="E6" s="2" t="s">
        <v>22</v>
      </c>
      <c r="F6" s="2" t="str">
        <f>"1&amp;500000,"&amp;E6&amp;";500000&amp;999999999,"&amp;E6</f>
        <v>1&amp;500000,1_9580|2_240|3_120|4_120|5_40;500000&amp;999999999,1_9580|2_240|3_120|4_120|5_40</v>
      </c>
      <c r="G6" s="2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0">
        <v>6000</v>
      </c>
      <c r="I6" s="20">
        <v>8000</v>
      </c>
      <c r="J6" s="21" t="s">
        <v>23</v>
      </c>
    </row>
    <row r="7" ht="16.5" spans="1:10">
      <c r="A7" s="17">
        <v>1003</v>
      </c>
      <c r="B7" s="17">
        <v>100100</v>
      </c>
      <c r="C7" s="17"/>
      <c r="D7" s="17">
        <v>3</v>
      </c>
      <c r="E7" s="2" t="s">
        <v>24</v>
      </c>
      <c r="F7" s="2" t="str">
        <f t="shared" ref="F7:F38" si="1">"1&amp;500000,"&amp;E7&amp;";500000&amp;999999999,"&amp;E7</f>
        <v>1&amp;500000,1_9600|2_120|3_80|4_80|5_80;500000&amp;999999999,1_9600|2_120|3_80|4_80|5_80</v>
      </c>
      <c r="G7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0">
        <v>4000</v>
      </c>
      <c r="I7" s="20">
        <v>6000</v>
      </c>
      <c r="J7" s="21" t="s">
        <v>25</v>
      </c>
    </row>
    <row r="8" ht="16.5" spans="1:10">
      <c r="A8" s="17">
        <v>1004</v>
      </c>
      <c r="B8" s="17">
        <v>100100</v>
      </c>
      <c r="C8" s="17"/>
      <c r="D8" s="17">
        <v>4</v>
      </c>
      <c r="E8" s="2" t="s">
        <v>26</v>
      </c>
      <c r="F8" s="2" t="str">
        <f t="shared" si="1"/>
        <v>1&amp;500000,1_9620|2_70|3_60|4_60|5_100;500000&amp;999999999,1_9620|2_70|3_60|4_60|5_100</v>
      </c>
      <c r="G8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0">
        <v>2000</v>
      </c>
      <c r="I8" s="20">
        <v>4000</v>
      </c>
      <c r="J8" s="21" t="s">
        <v>27</v>
      </c>
    </row>
    <row r="9" ht="16.5" spans="1:10">
      <c r="A9" s="17">
        <v>1005</v>
      </c>
      <c r="B9" s="17">
        <v>100100</v>
      </c>
      <c r="C9" s="17"/>
      <c r="D9" s="17">
        <v>5</v>
      </c>
      <c r="E9" s="2" t="s">
        <v>28</v>
      </c>
      <c r="F9" s="2" t="str">
        <f t="shared" si="1"/>
        <v>1&amp;500000,1_9640|2_40|3_20|4_20|5_400;500000&amp;999999999,1_9640|2_40|3_20|4_20|5_400</v>
      </c>
      <c r="G9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0">
        <v>0</v>
      </c>
      <c r="I9" s="20">
        <v>2000</v>
      </c>
      <c r="J9" s="21" t="s">
        <v>29</v>
      </c>
    </row>
    <row r="10" ht="16.5" spans="1:10">
      <c r="A10" s="17">
        <v>1006</v>
      </c>
      <c r="B10" s="17">
        <v>100100</v>
      </c>
      <c r="C10" s="17"/>
      <c r="D10" s="17">
        <v>6</v>
      </c>
      <c r="E10" s="2" t="s">
        <v>30</v>
      </c>
      <c r="F10" s="2" t="str">
        <f t="shared" si="1"/>
        <v>1&amp;500000,1_9660|2_10|3_0|4_0|5_500;500000&amp;999999999,1_9660|2_10|3_0|4_0|5_500</v>
      </c>
      <c r="G10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0">
        <v>-1000</v>
      </c>
      <c r="I10" s="20">
        <v>0</v>
      </c>
      <c r="J10" s="21" t="s">
        <v>31</v>
      </c>
    </row>
    <row r="11" ht="16.5" spans="1:10">
      <c r="A11" s="17">
        <v>1007</v>
      </c>
      <c r="B11" s="17">
        <v>100100</v>
      </c>
      <c r="C11" s="17"/>
      <c r="D11" s="17">
        <v>7</v>
      </c>
      <c r="E11" s="2" t="s">
        <v>32</v>
      </c>
      <c r="F11" s="2" t="str">
        <f t="shared" si="1"/>
        <v>1&amp;500000,1_9680|2_0|3_0|4_0|5_0;500000&amp;999999999,1_9680|2_0|3_0|4_0|5_0</v>
      </c>
      <c r="G11" s="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0">
        <v>-999999</v>
      </c>
      <c r="I11" s="20">
        <v>-1000</v>
      </c>
      <c r="J11" s="21" t="s">
        <v>33</v>
      </c>
    </row>
    <row r="12" s="5" customFormat="1" ht="16.5" spans="1:10">
      <c r="A12" s="21">
        <v>3001</v>
      </c>
      <c r="B12" s="21">
        <v>100300</v>
      </c>
      <c r="C12" s="21" t="s">
        <v>34</v>
      </c>
      <c r="D12" s="21">
        <v>1</v>
      </c>
      <c r="E12" s="2" t="s">
        <v>35</v>
      </c>
      <c r="F12" s="2" t="str">
        <f t="shared" si="1"/>
        <v>1&amp;500000,1_9150|2_50|3_800;500000&amp;999999999,1_9150|2_50|3_800</v>
      </c>
      <c r="G12" s="19" t="s">
        <v>36</v>
      </c>
      <c r="H12" s="20">
        <v>8000</v>
      </c>
      <c r="I12" s="20">
        <v>999999</v>
      </c>
      <c r="J12" s="21" t="s">
        <v>21</v>
      </c>
    </row>
    <row r="13" s="5" customFormat="1" ht="16.5" spans="1:10">
      <c r="A13" s="21">
        <v>3002</v>
      </c>
      <c r="B13" s="21">
        <v>100300</v>
      </c>
      <c r="C13" s="21"/>
      <c r="D13" s="21">
        <v>2</v>
      </c>
      <c r="E13" s="2" t="s">
        <v>37</v>
      </c>
      <c r="F13" s="2" t="str">
        <f t="shared" si="1"/>
        <v>1&amp;500000,1_9880|2_40|3_80;500000&amp;999999999,1_9880|2_40|3_80</v>
      </c>
      <c r="G13" s="2" t="str">
        <f t="shared" ref="G13:G18" si="2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3" s="20">
        <v>6000</v>
      </c>
      <c r="I13" s="20">
        <v>8000</v>
      </c>
      <c r="J13" s="21" t="s">
        <v>23</v>
      </c>
    </row>
    <row r="14" s="5" customFormat="1" ht="16.5" spans="1:10">
      <c r="A14" s="21">
        <v>3003</v>
      </c>
      <c r="B14" s="21">
        <v>100300</v>
      </c>
      <c r="C14" s="21"/>
      <c r="D14" s="21">
        <v>3</v>
      </c>
      <c r="E14" s="2" t="s">
        <v>38</v>
      </c>
      <c r="F14" s="2" t="str">
        <f t="shared" si="1"/>
        <v>1&amp;500000,1_9940|2_30|3_30;500000&amp;999999999,1_9940|2_30|3_30</v>
      </c>
      <c r="G14" s="2" t="str">
        <f t="shared" si="2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4" s="20">
        <v>4000</v>
      </c>
      <c r="I14" s="20">
        <v>6000</v>
      </c>
      <c r="J14" s="21" t="s">
        <v>25</v>
      </c>
    </row>
    <row r="15" s="5" customFormat="1" ht="16.5" spans="1:10">
      <c r="A15" s="21">
        <v>3004</v>
      </c>
      <c r="B15" s="21">
        <v>100300</v>
      </c>
      <c r="C15" s="21"/>
      <c r="D15" s="21">
        <v>4</v>
      </c>
      <c r="E15" s="2" t="s">
        <v>39</v>
      </c>
      <c r="F15" s="2" t="str">
        <f t="shared" si="1"/>
        <v>1&amp;500000,1_9970|2_20|3_10;500000&amp;999999999,1_9970|2_20|3_10</v>
      </c>
      <c r="G15" s="2" t="str">
        <f t="shared" si="2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5" s="20">
        <v>2000</v>
      </c>
      <c r="I15" s="20">
        <v>4000</v>
      </c>
      <c r="J15" s="21" t="s">
        <v>27</v>
      </c>
    </row>
    <row r="16" s="5" customFormat="1" ht="16.5" spans="1:10">
      <c r="A16" s="21">
        <v>3005</v>
      </c>
      <c r="B16" s="21">
        <v>100300</v>
      </c>
      <c r="C16" s="21"/>
      <c r="D16" s="21">
        <v>5</v>
      </c>
      <c r="E16" s="2" t="s">
        <v>40</v>
      </c>
      <c r="F16" s="2" t="str">
        <f t="shared" si="1"/>
        <v>1&amp;500000,1_9990|2_10|3_0;500000&amp;999999999,1_9990|2_10|3_0</v>
      </c>
      <c r="G16" s="2" t="str">
        <f t="shared" si="2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6" s="20">
        <v>0</v>
      </c>
      <c r="I16" s="20">
        <v>2000</v>
      </c>
      <c r="J16" s="21" t="s">
        <v>29</v>
      </c>
    </row>
    <row r="17" s="5" customFormat="1" ht="16.5" spans="1:10">
      <c r="A17" s="21">
        <v>3006</v>
      </c>
      <c r="B17" s="21">
        <v>100300</v>
      </c>
      <c r="C17" s="21"/>
      <c r="D17" s="21">
        <v>6</v>
      </c>
      <c r="E17" s="2" t="s">
        <v>41</v>
      </c>
      <c r="F17" s="2" t="str">
        <f t="shared" si="1"/>
        <v>1&amp;500000,1_9998|2_2|3_0;500000&amp;999999999,1_9998|2_2|3_0</v>
      </c>
      <c r="G17" s="2" t="str">
        <f t="shared" si="2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7" s="20">
        <v>-1000</v>
      </c>
      <c r="I17" s="20">
        <v>0</v>
      </c>
      <c r="J17" s="21" t="s">
        <v>31</v>
      </c>
    </row>
    <row r="18" s="5" customFormat="1" ht="16.5" spans="1:10">
      <c r="A18" s="21">
        <v>3007</v>
      </c>
      <c r="B18" s="21">
        <v>100300</v>
      </c>
      <c r="C18" s="21"/>
      <c r="D18" s="21">
        <v>7</v>
      </c>
      <c r="E18" s="2" t="s">
        <v>42</v>
      </c>
      <c r="F18" s="2" t="str">
        <f t="shared" si="1"/>
        <v>1&amp;500000,1_10000|2_0|3_0;500000&amp;999999999,1_10000|2_0|3_0</v>
      </c>
      <c r="G18" s="2" t="str">
        <f t="shared" si="2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-50|220&amp;230-10|230&amp;240-0|240&amp;250-0|250&amp;260-0|260&amp;270-0|270&amp;280-0|280&amp;290-0|290&amp;300-0|300&amp;310-0|310&amp;320-0|320&amp;330-0|330&amp;340-0|340&amp;350-0|350&amp;360-0|360&amp;99999999-0</v>
      </c>
      <c r="H18" s="20">
        <v>-999999</v>
      </c>
      <c r="I18" s="20">
        <v>-1000</v>
      </c>
      <c r="J18" s="21" t="s">
        <v>33</v>
      </c>
    </row>
    <row r="19" s="6" customFormat="1" ht="16.5" spans="1:10">
      <c r="A19" s="17">
        <v>7001</v>
      </c>
      <c r="B19" s="22">
        <v>100700</v>
      </c>
      <c r="C19" s="22" t="s">
        <v>43</v>
      </c>
      <c r="D19" s="22">
        <v>1</v>
      </c>
      <c r="E19" s="23" t="s">
        <v>44</v>
      </c>
      <c r="F19" s="2" t="str">
        <f t="shared" si="1"/>
        <v>1&amp;500000,1_9500|2_500;500000&amp;999999999,1_9500|2_500</v>
      </c>
      <c r="G19" s="19" t="s">
        <v>45</v>
      </c>
      <c r="H19" s="20">
        <v>8000</v>
      </c>
      <c r="I19" s="20">
        <v>999999</v>
      </c>
      <c r="J19" s="21" t="s">
        <v>21</v>
      </c>
    </row>
    <row r="20" s="6" customFormat="1" ht="16.5" spans="1:10">
      <c r="A20" s="17">
        <v>7002</v>
      </c>
      <c r="B20" s="22">
        <v>100700</v>
      </c>
      <c r="C20" s="22"/>
      <c r="D20" s="22">
        <v>2</v>
      </c>
      <c r="E20" s="23" t="s">
        <v>46</v>
      </c>
      <c r="F20" s="2" t="str">
        <f t="shared" si="1"/>
        <v>1&amp;500000,1_9850|2_150;500000&amp;999999999,1_9850|2_150</v>
      </c>
      <c r="G20" s="24" t="str">
        <f t="shared" ref="G20:G25" si="3">G19</f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0" s="20">
        <v>6000</v>
      </c>
      <c r="I20" s="20">
        <v>8000</v>
      </c>
      <c r="J20" s="21" t="s">
        <v>23</v>
      </c>
    </row>
    <row r="21" s="6" customFormat="1" ht="16.5" spans="1:10">
      <c r="A21" s="17">
        <v>7003</v>
      </c>
      <c r="B21" s="22">
        <v>100700</v>
      </c>
      <c r="C21" s="22"/>
      <c r="D21" s="22">
        <v>3</v>
      </c>
      <c r="E21" s="23" t="s">
        <v>47</v>
      </c>
      <c r="F21" s="2" t="str">
        <f t="shared" si="1"/>
        <v>1&amp;500000,1_9900|2_100;500000&amp;999999999,1_9900|2_100</v>
      </c>
      <c r="G21" s="24" t="str">
        <f t="shared" si="3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1" s="20">
        <v>4000</v>
      </c>
      <c r="I21" s="20">
        <v>6000</v>
      </c>
      <c r="J21" s="21" t="s">
        <v>25</v>
      </c>
    </row>
    <row r="22" s="6" customFormat="1" ht="16.5" spans="1:10">
      <c r="A22" s="17">
        <v>7004</v>
      </c>
      <c r="B22" s="22">
        <v>100700</v>
      </c>
      <c r="C22" s="22"/>
      <c r="D22" s="22">
        <v>4</v>
      </c>
      <c r="E22" s="23" t="s">
        <v>48</v>
      </c>
      <c r="F22" s="2" t="str">
        <f t="shared" si="1"/>
        <v>1&amp;500000,1_9950|2_50;500000&amp;999999999,1_9950|2_50</v>
      </c>
      <c r="G22" s="24" t="str">
        <f t="shared" si="3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2" s="20">
        <v>2000</v>
      </c>
      <c r="I22" s="20">
        <v>4000</v>
      </c>
      <c r="J22" s="21" t="s">
        <v>27</v>
      </c>
    </row>
    <row r="23" s="6" customFormat="1" ht="16.5" spans="1:10">
      <c r="A23" s="17">
        <v>7005</v>
      </c>
      <c r="B23" s="22">
        <v>100700</v>
      </c>
      <c r="C23" s="22"/>
      <c r="D23" s="22">
        <v>5</v>
      </c>
      <c r="E23" s="23" t="s">
        <v>49</v>
      </c>
      <c r="F23" s="2" t="str">
        <f t="shared" si="1"/>
        <v>1&amp;500000,1_9980|2_20;500000&amp;999999999,1_9980|2_20</v>
      </c>
      <c r="G23" s="24" t="str">
        <f t="shared" si="3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3" s="20">
        <v>0</v>
      </c>
      <c r="I23" s="20">
        <v>2000</v>
      </c>
      <c r="J23" s="21" t="s">
        <v>29</v>
      </c>
    </row>
    <row r="24" s="6" customFormat="1" ht="16.5" spans="1:10">
      <c r="A24" s="17">
        <v>7006</v>
      </c>
      <c r="B24" s="22">
        <v>100700</v>
      </c>
      <c r="C24" s="22"/>
      <c r="D24" s="22">
        <v>6</v>
      </c>
      <c r="E24" s="23" t="s">
        <v>50</v>
      </c>
      <c r="F24" s="2" t="str">
        <f t="shared" si="1"/>
        <v>1&amp;500000,1_10000|2_0;500000&amp;999999999,1_10000|2_0</v>
      </c>
      <c r="G24" s="24" t="str">
        <f t="shared" si="3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4" s="20">
        <v>-1000</v>
      </c>
      <c r="I24" s="20">
        <v>0</v>
      </c>
      <c r="J24" s="21" t="s">
        <v>31</v>
      </c>
    </row>
    <row r="25" s="6" customFormat="1" ht="16.5" spans="1:10">
      <c r="A25" s="17">
        <v>7007</v>
      </c>
      <c r="B25" s="22">
        <v>100700</v>
      </c>
      <c r="C25" s="22"/>
      <c r="D25" s="22">
        <v>7</v>
      </c>
      <c r="E25" s="23" t="s">
        <v>50</v>
      </c>
      <c r="F25" s="2" t="str">
        <f t="shared" si="1"/>
        <v>1&amp;500000,1_10000|2_0;500000&amp;999999999,1_10000|2_0</v>
      </c>
      <c r="G25" s="24" t="str">
        <f t="shared" si="3"/>
        <v>1,0&amp;1-70000|1&amp;20-19100|20&amp;40-4000|40&amp;80-4000|80&amp;120-1500|120&amp;160-1000|160&amp;200-400|200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-12000|160&amp;200-12000|200&amp;280-12000|280&amp;320-8000|320&amp;360-7000|360&amp;400-6000|400&amp;480-4000|480&amp;560-4000|560&amp;640-4000|640&amp;720-4000|720&amp;800-3000|800&amp;960-3000|960&amp;1120-3000|1120&amp;1280-3000|1280&amp;1440-2000|1440&amp;1600-2000|1600&amp;1920-2000|1920&amp;2240-2000|2240&amp;2560-1000|2560&amp;2880-1000|2880&amp;3200-1000|3200&amp;3840-1000|3840&amp;4480-1000|4480&amp;5120-1000|5120&amp;5760-500|5760&amp;6400-200|6400&amp;7400-100|7400&amp;8400-50|8400&amp;9400-20|9400&amp;10400-10|10400&amp;11400-0|11400&amp;12400-0|12400&amp;13400-0|13400&amp;99999999-0</v>
      </c>
      <c r="H25" s="20">
        <v>-999999</v>
      </c>
      <c r="I25" s="20">
        <v>-1000</v>
      </c>
      <c r="J25" s="21" t="s">
        <v>33</v>
      </c>
    </row>
    <row r="26" s="5" customFormat="1" ht="16.5" spans="1:10">
      <c r="A26" s="21">
        <v>12001</v>
      </c>
      <c r="B26" s="21">
        <v>101200</v>
      </c>
      <c r="C26" s="21" t="s">
        <v>51</v>
      </c>
      <c r="D26" s="21">
        <v>1</v>
      </c>
      <c r="E26" s="2" t="s">
        <v>52</v>
      </c>
      <c r="F26" s="2" t="str">
        <f t="shared" si="1"/>
        <v>1&amp;500000,1_9590|2_10|3_0|4_350|5_50;500000&amp;999999999,1_9590|2_10|3_0|4_350|5_50</v>
      </c>
      <c r="G26" s="19" t="s">
        <v>53</v>
      </c>
      <c r="H26" s="20">
        <v>8000</v>
      </c>
      <c r="I26" s="20">
        <v>999999</v>
      </c>
      <c r="J26" s="21" t="s">
        <v>21</v>
      </c>
    </row>
    <row r="27" s="5" customFormat="1" ht="16.5" spans="1:10">
      <c r="A27" s="21">
        <v>12002</v>
      </c>
      <c r="B27" s="21">
        <v>101200</v>
      </c>
      <c r="C27" s="21"/>
      <c r="D27" s="21">
        <v>2</v>
      </c>
      <c r="E27" s="2" t="s">
        <v>54</v>
      </c>
      <c r="F27" s="2" t="str">
        <f t="shared" si="1"/>
        <v>1&amp;500000,1_9710|2_10|3_50|4_220|5_10;500000&amp;999999999,1_9710|2_10|3_50|4_220|5_10</v>
      </c>
      <c r="G27" s="2" t="str">
        <f t="shared" ref="G27:G32" si="4">G26</f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7" s="20">
        <v>6000</v>
      </c>
      <c r="I27" s="20">
        <v>8000</v>
      </c>
      <c r="J27" s="21" t="s">
        <v>23</v>
      </c>
    </row>
    <row r="28" s="5" customFormat="1" ht="16.5" spans="1:10">
      <c r="A28" s="21">
        <v>12003</v>
      </c>
      <c r="B28" s="21">
        <v>101200</v>
      </c>
      <c r="C28" s="21"/>
      <c r="D28" s="21">
        <v>3</v>
      </c>
      <c r="E28" s="2" t="s">
        <v>55</v>
      </c>
      <c r="F28" s="2" t="str">
        <f t="shared" si="1"/>
        <v>1&amp;500000,1_9785|2_10|3_100|4_100|5_5;500000&amp;999999999,1_9785|2_10|3_100|4_100|5_5</v>
      </c>
      <c r="G28" s="2" t="str">
        <f t="shared" si="4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8" s="20">
        <v>4000</v>
      </c>
      <c r="I28" s="20">
        <v>6000</v>
      </c>
      <c r="J28" s="21" t="s">
        <v>25</v>
      </c>
    </row>
    <row r="29" s="5" customFormat="1" ht="16.5" spans="1:10">
      <c r="A29" s="21">
        <v>12004</v>
      </c>
      <c r="B29" s="21">
        <v>101200</v>
      </c>
      <c r="C29" s="21"/>
      <c r="D29" s="21">
        <v>4</v>
      </c>
      <c r="E29" s="2" t="s">
        <v>56</v>
      </c>
      <c r="F29" s="2" t="str">
        <f t="shared" si="1"/>
        <v>1&amp;500000,1_9790|2_10|3_150|4_50|5_0;500000&amp;999999999,1_9790|2_10|3_150|4_50|5_0</v>
      </c>
      <c r="G29" s="2" t="str">
        <f t="shared" si="4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29" s="20">
        <v>2000</v>
      </c>
      <c r="I29" s="20">
        <v>4000</v>
      </c>
      <c r="J29" s="21" t="s">
        <v>27</v>
      </c>
    </row>
    <row r="30" s="5" customFormat="1" ht="16.5" spans="1:10">
      <c r="A30" s="21">
        <v>12005</v>
      </c>
      <c r="B30" s="21">
        <v>101200</v>
      </c>
      <c r="C30" s="21"/>
      <c r="D30" s="21">
        <v>5</v>
      </c>
      <c r="E30" s="2" t="s">
        <v>57</v>
      </c>
      <c r="F30" s="2" t="str">
        <f t="shared" si="1"/>
        <v>1&amp;500000,1_9940|2_10|3_50|4_0|5_0;500000&amp;999999999,1_9940|2_10|3_50|4_0|5_0</v>
      </c>
      <c r="G30" s="2" t="str">
        <f t="shared" si="4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0" s="20">
        <v>0</v>
      </c>
      <c r="I30" s="20">
        <v>2000</v>
      </c>
      <c r="J30" s="21" t="s">
        <v>29</v>
      </c>
    </row>
    <row r="31" s="5" customFormat="1" ht="16.5" spans="1:10">
      <c r="A31" s="21">
        <v>12006</v>
      </c>
      <c r="B31" s="21">
        <v>101200</v>
      </c>
      <c r="C31" s="21"/>
      <c r="D31" s="21">
        <v>6</v>
      </c>
      <c r="E31" s="2" t="s">
        <v>58</v>
      </c>
      <c r="F31" s="2" t="str">
        <f t="shared" si="1"/>
        <v>1&amp;500000,1_9990|2_10|3_0|4_0|5_0;500000&amp;999999999,1_9990|2_10|3_0|4_0|5_0</v>
      </c>
      <c r="G31" s="2" t="str">
        <f t="shared" si="4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1" s="20">
        <v>-1000</v>
      </c>
      <c r="I31" s="20">
        <v>0</v>
      </c>
      <c r="J31" s="21" t="s">
        <v>31</v>
      </c>
    </row>
    <row r="32" s="5" customFormat="1" ht="16.5" spans="1:10">
      <c r="A32" s="21">
        <v>12007</v>
      </c>
      <c r="B32" s="21">
        <v>101200</v>
      </c>
      <c r="C32" s="21"/>
      <c r="D32" s="21">
        <v>7</v>
      </c>
      <c r="E32" s="2" t="s">
        <v>58</v>
      </c>
      <c r="F32" s="2" t="str">
        <f t="shared" si="1"/>
        <v>1&amp;500000,1_9990|2_10|3_0|4_0|5_0;500000&amp;999999999,1_9990|2_10|3_0|4_0|5_0</v>
      </c>
      <c r="G32" s="2" t="str">
        <f t="shared" si="4"/>
        <v>1,0&amp;1-71000|1&amp;15-12000|10&amp;30-8000|20&amp;60-5300|60&amp;90-2000|90&amp;120-1000|120&amp;150-500|150&amp;210-200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-13000|210&amp;240-12000|240&amp;270-12000|270&amp;300-12000|300&amp;360-11000|360&amp;420-10000|420&amp;480-8000|480&amp;540-7000|540&amp;600-6000|600&amp;720-4000|720&amp;840-3000|840&amp;960-1400|960&amp;1080-500|1080&amp;1200-100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4,0&amp;1-0|1&amp;15-0|10&amp;30-0|20&amp;60-0|60&amp;90-0|90&amp;120-0|120&amp;150-0|150&amp;210-0|210&amp;240-0|240&amp;270-0|270&amp;300-0|300&amp;360-0|360&amp;420-0|420&amp;480-0|480&amp;540-0|540&amp;600-0|600&amp;720-13000|720&amp;840-12000|840&amp;960-12000|960&amp;1080-11000|1080&amp;1200-11000|1200&amp;1440-10000|1440&amp;1680-8000|1680&amp;1920-7000|1920&amp;2160-6000|2160&amp;2400-5000|2400&amp;2880-5000|2880&amp;3360-0|3360&amp;3840-0|3840&amp;4320-0|4320&amp;4800-0|4800&amp;5550-0|5550&amp;6300-0|6300&amp;7050-0|7050&amp;7800-0|7800&amp;8550-0|8550&amp;9300-0|9300&amp;10050-0|10050&amp;99999999-0;5,0&amp;1-0|1&amp;15-0|10&amp;30-0|20&amp;60-0|60&amp;90-0|90&amp;120-0|120&amp;150-0|150&amp;210-0|210&amp;240-0|240&amp;270-0|270&amp;300-0|300&amp;360-0|360&amp;420-0|420&amp;480-0|480&amp;540-0|540&amp;600-0|600&amp;720-0|720&amp;840-0|840&amp;960-0|960&amp;1080-2500|1080&amp;1200-2000|1200&amp;1440-4300|1440&amp;1680-3400|1680&amp;1920-2500|1920&amp;2160-1900|2160&amp;2400-1200|2400&amp;2880-2100|2880&amp;3360-1500|3360&amp;3840-900|3840&amp;4320-600|4320&amp;4800-400|4800&amp;5550-200|5550&amp;6300-100|6300&amp;7050-50|7050&amp;7800-20|7800&amp;8550-10|8550&amp;9300-0|9300&amp;10050-0|10050&amp;99999999-0</v>
      </c>
      <c r="H32" s="20">
        <v>-999999</v>
      </c>
      <c r="I32" s="20">
        <v>-1000</v>
      </c>
      <c r="J32" s="21" t="s">
        <v>33</v>
      </c>
    </row>
    <row r="33" s="7" customFormat="1" ht="16.5" spans="1:10">
      <c r="A33" s="17">
        <v>14001</v>
      </c>
      <c r="B33" s="25">
        <v>101400</v>
      </c>
      <c r="C33" s="25" t="s">
        <v>59</v>
      </c>
      <c r="D33" s="25">
        <v>1</v>
      </c>
      <c r="E33" s="26" t="s">
        <v>60</v>
      </c>
      <c r="F33" s="2" t="str">
        <f t="shared" si="1"/>
        <v>1&amp;500000,1_7499|2_2500|3_1;500000&amp;999999999,1_7499|2_2500|3_1</v>
      </c>
      <c r="G33" s="19" t="s">
        <v>61</v>
      </c>
      <c r="H33" s="20">
        <v>8000</v>
      </c>
      <c r="I33" s="20">
        <v>999999</v>
      </c>
      <c r="J33" s="21" t="s">
        <v>21</v>
      </c>
    </row>
    <row r="34" s="7" customFormat="1" ht="16.5" spans="1:10">
      <c r="A34" s="17">
        <v>14002</v>
      </c>
      <c r="B34" s="25">
        <v>101400</v>
      </c>
      <c r="C34" s="25"/>
      <c r="D34" s="25">
        <v>2</v>
      </c>
      <c r="E34" s="26" t="s">
        <v>62</v>
      </c>
      <c r="F34" s="2" t="str">
        <f t="shared" si="1"/>
        <v>1&amp;500000,1_8799|2_1200|3_1;500000&amp;999999999,1_8799|2_1200|3_1</v>
      </c>
      <c r="G34" s="2" t="str">
        <f t="shared" ref="G34:G39" si="5">G33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4" s="20">
        <v>6000</v>
      </c>
      <c r="I34" s="20">
        <v>8000</v>
      </c>
      <c r="J34" s="21" t="s">
        <v>23</v>
      </c>
    </row>
    <row r="35" s="7" customFormat="1" ht="16.5" spans="1:10">
      <c r="A35" s="17">
        <v>14003</v>
      </c>
      <c r="B35" s="25">
        <v>101400</v>
      </c>
      <c r="C35" s="25"/>
      <c r="D35" s="25">
        <v>3</v>
      </c>
      <c r="E35" s="26" t="s">
        <v>63</v>
      </c>
      <c r="F35" s="2" t="str">
        <f t="shared" si="1"/>
        <v>1&amp;500000,1_9799|2_200|3_1;500000&amp;999999999,1_9799|2_200|3_1</v>
      </c>
      <c r="G35" s="2" t="str">
        <f t="shared" si="5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5" s="20">
        <v>4000</v>
      </c>
      <c r="I35" s="20">
        <v>6000</v>
      </c>
      <c r="J35" s="21" t="s">
        <v>25</v>
      </c>
    </row>
    <row r="36" s="7" customFormat="1" ht="16.5" spans="1:10">
      <c r="A36" s="17">
        <v>14004</v>
      </c>
      <c r="B36" s="25">
        <v>101400</v>
      </c>
      <c r="C36" s="25"/>
      <c r="D36" s="25">
        <v>4</v>
      </c>
      <c r="E36" s="26" t="s">
        <v>64</v>
      </c>
      <c r="F36" s="2" t="str">
        <f t="shared" si="1"/>
        <v>1&amp;500000,1_9849|2_150|3_1;500000&amp;999999999,1_9849|2_150|3_1</v>
      </c>
      <c r="G36" s="2" t="str">
        <f t="shared" si="5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6" s="20">
        <v>2000</v>
      </c>
      <c r="I36" s="20">
        <v>4000</v>
      </c>
      <c r="J36" s="21" t="s">
        <v>27</v>
      </c>
    </row>
    <row r="37" s="7" customFormat="1" ht="16.5" spans="1:10">
      <c r="A37" s="17">
        <v>14005</v>
      </c>
      <c r="B37" s="25">
        <v>101400</v>
      </c>
      <c r="C37" s="25"/>
      <c r="D37" s="25">
        <v>5</v>
      </c>
      <c r="E37" s="26" t="s">
        <v>65</v>
      </c>
      <c r="F37" s="2" t="str">
        <f t="shared" si="1"/>
        <v>1&amp;500000,1_9900|2_100|3_0;500000&amp;999999999,1_9900|2_100|3_0</v>
      </c>
      <c r="G37" s="2" t="str">
        <f t="shared" si="5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7" s="20">
        <v>0</v>
      </c>
      <c r="I37" s="20">
        <v>2000</v>
      </c>
      <c r="J37" s="21" t="s">
        <v>29</v>
      </c>
    </row>
    <row r="38" s="7" customFormat="1" ht="16.5" spans="1:10">
      <c r="A38" s="17">
        <v>14006</v>
      </c>
      <c r="B38" s="25">
        <v>101400</v>
      </c>
      <c r="C38" s="25"/>
      <c r="D38" s="25">
        <v>6</v>
      </c>
      <c r="E38" s="26" t="s">
        <v>66</v>
      </c>
      <c r="F38" s="2" t="str">
        <f t="shared" si="1"/>
        <v>1&amp;500000,1_9950|2_50|3_0;500000&amp;999999999,1_9950|2_50|3_0</v>
      </c>
      <c r="G38" s="2" t="str">
        <f t="shared" si="5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8" s="20">
        <v>-1000</v>
      </c>
      <c r="I38" s="20">
        <v>0</v>
      </c>
      <c r="J38" s="21" t="s">
        <v>31</v>
      </c>
    </row>
    <row r="39" s="7" customFormat="1" ht="16.5" spans="1:10">
      <c r="A39" s="17">
        <v>14007</v>
      </c>
      <c r="B39" s="25">
        <v>101400</v>
      </c>
      <c r="C39" s="25"/>
      <c r="D39" s="25">
        <v>7</v>
      </c>
      <c r="E39" s="26" t="s">
        <v>42</v>
      </c>
      <c r="F39" s="2" t="str">
        <f t="shared" ref="F39:F70" si="6">"1&amp;500000,"&amp;E39&amp;";500000&amp;999999999,"&amp;E39</f>
        <v>1&amp;500000,1_10000|2_0|3_0;500000&amp;999999999,1_10000|2_0|3_0</v>
      </c>
      <c r="G39" s="2" t="str">
        <f t="shared" si="5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39" s="20">
        <v>-999999</v>
      </c>
      <c r="I39" s="20">
        <v>-1000</v>
      </c>
      <c r="J39" s="21" t="s">
        <v>33</v>
      </c>
    </row>
    <row r="40" ht="16.5" spans="1:10">
      <c r="A40" s="17">
        <v>24001</v>
      </c>
      <c r="B40" s="17">
        <v>102400</v>
      </c>
      <c r="C40" s="17" t="s">
        <v>67</v>
      </c>
      <c r="D40" s="17">
        <v>1</v>
      </c>
      <c r="E40" s="2" t="s">
        <v>18</v>
      </c>
      <c r="F40" s="2" t="str">
        <f t="shared" si="6"/>
        <v>1&amp;500000,1_9560|2_300|3_300|4_300|5_0;500000&amp;999999999,1_9560|2_300|3_300|4_300|5_0</v>
      </c>
      <c r="G40" s="19" t="s">
        <v>20</v>
      </c>
      <c r="H40" s="20">
        <v>8000</v>
      </c>
      <c r="I40" s="20">
        <v>999999</v>
      </c>
      <c r="J40" s="21" t="s">
        <v>21</v>
      </c>
    </row>
    <row r="41" ht="16.5" spans="1:10">
      <c r="A41" s="17">
        <v>24002</v>
      </c>
      <c r="B41" s="17">
        <v>102400</v>
      </c>
      <c r="C41" s="17"/>
      <c r="D41" s="17">
        <v>2</v>
      </c>
      <c r="E41" s="2" t="s">
        <v>22</v>
      </c>
      <c r="F41" s="2" t="str">
        <f t="shared" si="6"/>
        <v>1&amp;500000,1_9580|2_240|3_120|4_120|5_40;500000&amp;999999999,1_9580|2_240|3_120|4_120|5_40</v>
      </c>
      <c r="G41" s="2" t="str">
        <f t="shared" ref="G41:G46" si="7">G40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1" s="20">
        <v>6000</v>
      </c>
      <c r="I41" s="20">
        <v>8000</v>
      </c>
      <c r="J41" s="21" t="s">
        <v>23</v>
      </c>
    </row>
    <row r="42" ht="16.5" spans="1:10">
      <c r="A42" s="17">
        <v>24003</v>
      </c>
      <c r="B42" s="17">
        <v>102400</v>
      </c>
      <c r="C42" s="17"/>
      <c r="D42" s="17">
        <v>3</v>
      </c>
      <c r="E42" s="2" t="s">
        <v>24</v>
      </c>
      <c r="F42" s="2" t="str">
        <f t="shared" si="6"/>
        <v>1&amp;500000,1_9600|2_120|3_80|4_80|5_80;500000&amp;999999999,1_9600|2_120|3_80|4_80|5_80</v>
      </c>
      <c r="G42" s="2" t="str">
        <f t="shared" si="7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2" s="20">
        <v>4000</v>
      </c>
      <c r="I42" s="20">
        <v>6000</v>
      </c>
      <c r="J42" s="21" t="s">
        <v>25</v>
      </c>
    </row>
    <row r="43" ht="16.5" spans="1:10">
      <c r="A43" s="17">
        <v>24004</v>
      </c>
      <c r="B43" s="17">
        <v>102400</v>
      </c>
      <c r="C43" s="17"/>
      <c r="D43" s="17">
        <v>4</v>
      </c>
      <c r="E43" s="2" t="s">
        <v>26</v>
      </c>
      <c r="F43" s="2" t="str">
        <f t="shared" si="6"/>
        <v>1&amp;500000,1_9620|2_70|3_60|4_60|5_100;500000&amp;999999999,1_9620|2_70|3_60|4_60|5_100</v>
      </c>
      <c r="G43" s="2" t="str">
        <f t="shared" si="7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3" s="20">
        <v>2000</v>
      </c>
      <c r="I43" s="20">
        <v>4000</v>
      </c>
      <c r="J43" s="21" t="s">
        <v>27</v>
      </c>
    </row>
    <row r="44" ht="16.5" spans="1:10">
      <c r="A44" s="17">
        <v>24005</v>
      </c>
      <c r="B44" s="17">
        <v>102400</v>
      </c>
      <c r="C44" s="17"/>
      <c r="D44" s="17">
        <v>5</v>
      </c>
      <c r="E44" s="2" t="s">
        <v>28</v>
      </c>
      <c r="F44" s="2" t="str">
        <f t="shared" si="6"/>
        <v>1&amp;500000,1_9640|2_40|3_20|4_20|5_400;500000&amp;999999999,1_9640|2_40|3_20|4_20|5_400</v>
      </c>
      <c r="G44" s="2" t="str">
        <f t="shared" si="7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4" s="20">
        <v>0</v>
      </c>
      <c r="I44" s="20">
        <v>2000</v>
      </c>
      <c r="J44" s="21" t="s">
        <v>29</v>
      </c>
    </row>
    <row r="45" ht="16.5" spans="1:10">
      <c r="A45" s="17">
        <v>24006</v>
      </c>
      <c r="B45" s="17">
        <v>102400</v>
      </c>
      <c r="C45" s="17"/>
      <c r="D45" s="17">
        <v>6</v>
      </c>
      <c r="E45" s="2" t="s">
        <v>30</v>
      </c>
      <c r="F45" s="2" t="str">
        <f t="shared" si="6"/>
        <v>1&amp;500000,1_9660|2_10|3_0|4_0|5_500;500000&amp;999999999,1_9660|2_10|3_0|4_0|5_500</v>
      </c>
      <c r="G45" s="2" t="str">
        <f t="shared" si="7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5" s="20">
        <v>-1000</v>
      </c>
      <c r="I45" s="20">
        <v>0</v>
      </c>
      <c r="J45" s="21" t="s">
        <v>31</v>
      </c>
    </row>
    <row r="46" ht="16.5" spans="1:10">
      <c r="A46" s="17">
        <v>24007</v>
      </c>
      <c r="B46" s="17">
        <v>102400</v>
      </c>
      <c r="C46" s="17"/>
      <c r="D46" s="17">
        <v>7</v>
      </c>
      <c r="E46" s="2" t="s">
        <v>32</v>
      </c>
      <c r="F46" s="2" t="str">
        <f t="shared" si="6"/>
        <v>1&amp;500000,1_9680|2_0|3_0|4_0|5_0;500000&amp;999999999,1_9680|2_0|3_0|4_0|5_0</v>
      </c>
      <c r="G46" s="2" t="str">
        <f t="shared" si="7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46" s="20">
        <v>-999999</v>
      </c>
      <c r="I46" s="20">
        <v>-1000</v>
      </c>
      <c r="J46" s="21" t="s">
        <v>33</v>
      </c>
    </row>
    <row r="47" s="6" customFormat="1" ht="16.5" spans="1:10">
      <c r="A47" s="17">
        <v>17001</v>
      </c>
      <c r="B47" s="22">
        <v>101700</v>
      </c>
      <c r="C47" s="22" t="s">
        <v>68</v>
      </c>
      <c r="D47" s="22">
        <v>1</v>
      </c>
      <c r="E47" s="23" t="s">
        <v>69</v>
      </c>
      <c r="F47" s="2" t="str">
        <f t="shared" si="6"/>
        <v>1&amp;500000,1_9630|2_360|3_10;500000&amp;999999999,1_9630|2_360|3_10</v>
      </c>
      <c r="G47" s="19" t="s">
        <v>70</v>
      </c>
      <c r="H47" s="20">
        <v>8000</v>
      </c>
      <c r="I47" s="20">
        <v>999999</v>
      </c>
      <c r="J47" s="21" t="s">
        <v>21</v>
      </c>
    </row>
    <row r="48" s="6" customFormat="1" ht="16.5" spans="1:10">
      <c r="A48" s="17">
        <v>17002</v>
      </c>
      <c r="B48" s="22">
        <v>101700</v>
      </c>
      <c r="C48" s="22"/>
      <c r="D48" s="22">
        <v>2</v>
      </c>
      <c r="E48" s="23" t="s">
        <v>71</v>
      </c>
      <c r="F48" s="2" t="str">
        <f t="shared" si="6"/>
        <v>1&amp;500000,1_9925|2_65|3_10;500000&amp;999999999,1_9925|2_65|3_10</v>
      </c>
      <c r="G48" s="24" t="str">
        <f t="shared" ref="G48:G53" si="8">G47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0">
        <v>6000</v>
      </c>
      <c r="I48" s="20">
        <v>8000</v>
      </c>
      <c r="J48" s="21" t="s">
        <v>23</v>
      </c>
    </row>
    <row r="49" s="6" customFormat="1" ht="16.5" spans="1:10">
      <c r="A49" s="17">
        <v>17003</v>
      </c>
      <c r="B49" s="22">
        <v>101700</v>
      </c>
      <c r="C49" s="22"/>
      <c r="D49" s="22">
        <v>3</v>
      </c>
      <c r="E49" s="23" t="s">
        <v>72</v>
      </c>
      <c r="F49" s="2" t="str">
        <f t="shared" si="6"/>
        <v>1&amp;500000,1_9940|2_50|3_10;500000&amp;999999999,1_9940|2_50|3_10</v>
      </c>
      <c r="G49" s="24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0">
        <v>4000</v>
      </c>
      <c r="I49" s="20">
        <v>6000</v>
      </c>
      <c r="J49" s="21" t="s">
        <v>25</v>
      </c>
    </row>
    <row r="50" s="6" customFormat="1" ht="16.5" spans="1:10">
      <c r="A50" s="17">
        <v>17004</v>
      </c>
      <c r="B50" s="22">
        <v>101700</v>
      </c>
      <c r="C50" s="22"/>
      <c r="D50" s="22">
        <v>4</v>
      </c>
      <c r="E50" s="23" t="s">
        <v>73</v>
      </c>
      <c r="F50" s="2" t="str">
        <f t="shared" si="6"/>
        <v>1&amp;500000,1_9965|2_35|3_0;500000&amp;999999999,1_9965|2_35|3_0</v>
      </c>
      <c r="G50" s="24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0">
        <v>2000</v>
      </c>
      <c r="I50" s="20">
        <v>4000</v>
      </c>
      <c r="J50" s="21" t="s">
        <v>27</v>
      </c>
    </row>
    <row r="51" s="6" customFormat="1" ht="16.5" spans="1:10">
      <c r="A51" s="17">
        <v>17005</v>
      </c>
      <c r="B51" s="22">
        <v>101700</v>
      </c>
      <c r="C51" s="22"/>
      <c r="D51" s="22">
        <v>5</v>
      </c>
      <c r="E51" s="23" t="s">
        <v>74</v>
      </c>
      <c r="F51" s="2" t="str">
        <f t="shared" si="6"/>
        <v>1&amp;500000,1_9980|2_20|3_0;500000&amp;999999999,1_9980|2_20|3_0</v>
      </c>
      <c r="G51" s="24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0">
        <v>0</v>
      </c>
      <c r="I51" s="20">
        <v>2000</v>
      </c>
      <c r="J51" s="21" t="s">
        <v>29</v>
      </c>
    </row>
    <row r="52" s="6" customFormat="1" ht="16.5" spans="1:10">
      <c r="A52" s="17">
        <v>17006</v>
      </c>
      <c r="B52" s="22">
        <v>101700</v>
      </c>
      <c r="C52" s="22"/>
      <c r="D52" s="22">
        <v>6</v>
      </c>
      <c r="E52" s="23" t="s">
        <v>75</v>
      </c>
      <c r="F52" s="2" t="str">
        <f t="shared" si="6"/>
        <v>1&amp;500000,1_9995|2_5|3_0;500000&amp;999999999,1_9995|2_5|3_0</v>
      </c>
      <c r="G52" s="24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0">
        <v>-1000</v>
      </c>
      <c r="I52" s="20">
        <v>0</v>
      </c>
      <c r="J52" s="21" t="s">
        <v>31</v>
      </c>
    </row>
    <row r="53" s="6" customFormat="1" ht="16.5" spans="1:10">
      <c r="A53" s="17">
        <v>17007</v>
      </c>
      <c r="B53" s="22">
        <v>101700</v>
      </c>
      <c r="C53" s="22"/>
      <c r="D53" s="22">
        <v>7</v>
      </c>
      <c r="E53" s="23" t="s">
        <v>42</v>
      </c>
      <c r="F53" s="2" t="str">
        <f t="shared" si="6"/>
        <v>1&amp;500000,1_10000|2_0|3_0;500000&amp;999999999,1_10000|2_0|3_0</v>
      </c>
      <c r="G53" s="24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-4000|1440&amp;1600-4000|1600&amp;1920-4000|1920&amp;2240-4000|2240&amp;2560-4000|2560&amp;2880-4000|2880&amp;3200-4000|3200&amp;3840-4000|3840&amp;4480-2000|4480&amp;5120-2000|5120&amp;5760-2000|5760&amp;6400-1000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0">
        <v>-999999</v>
      </c>
      <c r="I53" s="20">
        <v>-1000</v>
      </c>
      <c r="J53" s="21" t="s">
        <v>33</v>
      </c>
    </row>
    <row r="54" s="8" customFormat="1" ht="16.5" spans="1:10">
      <c r="A54" s="27">
        <v>22001</v>
      </c>
      <c r="B54" s="27">
        <v>102200</v>
      </c>
      <c r="C54" s="27" t="s">
        <v>76</v>
      </c>
      <c r="D54" s="27">
        <v>1</v>
      </c>
      <c r="E54" s="28" t="s">
        <v>77</v>
      </c>
      <c r="F54" s="2" t="str">
        <f t="shared" si="6"/>
        <v>1&amp;500000,1_8990|2_1000|3_10;500000&amp;999999999,1_8990|2_1000|3_10</v>
      </c>
      <c r="G54" s="29" t="s">
        <v>78</v>
      </c>
      <c r="H54" s="20">
        <v>8000</v>
      </c>
      <c r="I54" s="20">
        <v>999999</v>
      </c>
      <c r="J54" s="21" t="s">
        <v>21</v>
      </c>
    </row>
    <row r="55" s="8" customFormat="1" ht="16.5" spans="1:10">
      <c r="A55" s="27">
        <v>22002</v>
      </c>
      <c r="B55" s="27">
        <v>102200</v>
      </c>
      <c r="C55" s="27" t="s">
        <v>76</v>
      </c>
      <c r="D55" s="27">
        <v>2</v>
      </c>
      <c r="E55" s="28" t="s">
        <v>79</v>
      </c>
      <c r="F55" s="2" t="str">
        <f t="shared" si="6"/>
        <v>1&amp;500000,1_9740|2_250|3_10;500000&amp;999999999,1_9740|2_250|3_10</v>
      </c>
      <c r="G55" s="29" t="str">
        <f t="shared" ref="G55:G60" si="9">G54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5" s="20">
        <v>6000</v>
      </c>
      <c r="I55" s="20">
        <v>8000</v>
      </c>
      <c r="J55" s="21" t="s">
        <v>23</v>
      </c>
    </row>
    <row r="56" s="8" customFormat="1" ht="16.5" spans="1:10">
      <c r="A56" s="27">
        <v>22003</v>
      </c>
      <c r="B56" s="27">
        <v>102200</v>
      </c>
      <c r="C56" s="27" t="s">
        <v>76</v>
      </c>
      <c r="D56" s="27">
        <v>3</v>
      </c>
      <c r="E56" s="28" t="s">
        <v>80</v>
      </c>
      <c r="F56" s="2" t="str">
        <f t="shared" si="6"/>
        <v>1&amp;500000,1_9830|2_160|3_10;500000&amp;999999999,1_9830|2_160|3_10</v>
      </c>
      <c r="G56" s="29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6" s="20">
        <v>4000</v>
      </c>
      <c r="I56" s="20">
        <v>6000</v>
      </c>
      <c r="J56" s="21" t="s">
        <v>25</v>
      </c>
    </row>
    <row r="57" s="8" customFormat="1" ht="16.5" spans="1:10">
      <c r="A57" s="27">
        <v>22004</v>
      </c>
      <c r="B57" s="27">
        <v>102200</v>
      </c>
      <c r="C57" s="27" t="s">
        <v>76</v>
      </c>
      <c r="D57" s="27">
        <v>4</v>
      </c>
      <c r="E57" s="28" t="s">
        <v>81</v>
      </c>
      <c r="F57" s="2" t="str">
        <f t="shared" si="6"/>
        <v>1&amp;500000,1_9880|2_120|3_0;500000&amp;999999999,1_9880|2_120|3_0</v>
      </c>
      <c r="G57" s="29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7" s="20">
        <v>2000</v>
      </c>
      <c r="I57" s="20">
        <v>4000</v>
      </c>
      <c r="J57" s="21" t="s">
        <v>27</v>
      </c>
    </row>
    <row r="58" s="8" customFormat="1" ht="16.5" spans="1:10">
      <c r="A58" s="27">
        <v>22005</v>
      </c>
      <c r="B58" s="27">
        <v>102200</v>
      </c>
      <c r="C58" s="27" t="s">
        <v>76</v>
      </c>
      <c r="D58" s="27">
        <v>5</v>
      </c>
      <c r="E58" s="28" t="s">
        <v>66</v>
      </c>
      <c r="F58" s="2" t="str">
        <f t="shared" si="6"/>
        <v>1&amp;500000,1_9950|2_50|3_0;500000&amp;999999999,1_9950|2_50|3_0</v>
      </c>
      <c r="G58" s="29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8" s="20">
        <v>0</v>
      </c>
      <c r="I58" s="20">
        <v>2000</v>
      </c>
      <c r="J58" s="21" t="s">
        <v>29</v>
      </c>
    </row>
    <row r="59" s="8" customFormat="1" ht="16.5" spans="1:10">
      <c r="A59" s="27">
        <v>22006</v>
      </c>
      <c r="B59" s="27">
        <v>102200</v>
      </c>
      <c r="C59" s="27" t="s">
        <v>76</v>
      </c>
      <c r="D59" s="27">
        <v>6</v>
      </c>
      <c r="E59" s="28" t="s">
        <v>40</v>
      </c>
      <c r="F59" s="2" t="str">
        <f t="shared" si="6"/>
        <v>1&amp;500000,1_9990|2_10|3_0;500000&amp;999999999,1_9990|2_10|3_0</v>
      </c>
      <c r="G59" s="29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59" s="20">
        <v>-1000</v>
      </c>
      <c r="I59" s="20">
        <v>0</v>
      </c>
      <c r="J59" s="21" t="s">
        <v>31</v>
      </c>
    </row>
    <row r="60" s="8" customFormat="1" ht="16.5" spans="1:10">
      <c r="A60" s="27">
        <v>22007</v>
      </c>
      <c r="B60" s="27">
        <v>102200</v>
      </c>
      <c r="C60" s="27" t="s">
        <v>76</v>
      </c>
      <c r="D60" s="27">
        <v>7</v>
      </c>
      <c r="E60" s="28" t="s">
        <v>42</v>
      </c>
      <c r="F60" s="2" t="str">
        <f t="shared" si="6"/>
        <v>1&amp;500000,1_10000|2_0|3_0;500000&amp;999999999,1_10000|2_0|3_0</v>
      </c>
      <c r="G60" s="29" t="str">
        <f t="shared" si="9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;5,0&amp;1-0|1&amp;25-0|25&amp;50-0|50&amp;75-0|75&amp;100-0|100&amp;125-0|125&amp;150-0|150&amp;175-0|175&amp;200-0|200&amp;225-0|225&amp;250-8000|250&amp;300-8000|300&amp;350-8000|350&amp;400-4300|400&amp;450-3900|450&amp;500-3400|500&amp;600-5900|600&amp;700-4600|700&amp;800-3500|800&amp;900-2900|900&amp;1000-2200|1000&amp;1200-3300|1200&amp;1400-2300|1400&amp;1600-1500|1600&amp;1800-1200|1800&amp;2000-800|2000&amp;2400-800|2400&amp;2800-600|2800&amp;3200-400|3200&amp;3600-200|3600&amp;4000-100|4000&amp;4800-100|4800&amp;5600-50|5600&amp;6400-50|6400&amp;7200-10|7200&amp;8000-5|8000&amp;9250-1|9250&amp;10500-1|10500&amp;99999999-0</v>
      </c>
      <c r="H60" s="20">
        <v>-999999</v>
      </c>
      <c r="I60" s="20">
        <v>-1000</v>
      </c>
      <c r="J60" s="21" t="s">
        <v>33</v>
      </c>
    </row>
    <row r="61" s="9" customFormat="1" ht="16.5" spans="1:10">
      <c r="A61" s="30">
        <v>21001</v>
      </c>
      <c r="B61" s="30">
        <v>102100</v>
      </c>
      <c r="C61" s="30" t="s">
        <v>82</v>
      </c>
      <c r="D61" s="30">
        <v>1</v>
      </c>
      <c r="E61" s="31" t="s">
        <v>83</v>
      </c>
      <c r="F61" s="2" t="str">
        <f t="shared" si="6"/>
        <v>1&amp;500000,1_8990|2_500|3_500|4_10;500000&amp;999999999,1_8990|2_500|3_500|4_10</v>
      </c>
      <c r="G61" s="23" t="s">
        <v>84</v>
      </c>
      <c r="H61" s="20">
        <v>8000</v>
      </c>
      <c r="I61" s="20">
        <v>999999</v>
      </c>
      <c r="J61" s="21" t="s">
        <v>21</v>
      </c>
    </row>
    <row r="62" s="9" customFormat="1" ht="16.5" spans="1:10">
      <c r="A62" s="30">
        <v>21002</v>
      </c>
      <c r="B62" s="30">
        <v>102100</v>
      </c>
      <c r="C62" s="30" t="s">
        <v>82</v>
      </c>
      <c r="D62" s="30">
        <v>2</v>
      </c>
      <c r="E62" s="31" t="s">
        <v>85</v>
      </c>
      <c r="F62" s="2" t="str">
        <f t="shared" si="6"/>
        <v>1&amp;500000,1_9760|2_200|3_30|4_10;500000&amp;999999999,1_9760|2_200|3_30|4_10</v>
      </c>
      <c r="G62" s="23" t="str">
        <f t="shared" ref="G62:G67" si="10">G61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0">
        <v>6000</v>
      </c>
      <c r="I62" s="20">
        <v>8000</v>
      </c>
      <c r="J62" s="21" t="s">
        <v>23</v>
      </c>
    </row>
    <row r="63" s="9" customFormat="1" ht="16.5" spans="1:10">
      <c r="A63" s="30">
        <v>21003</v>
      </c>
      <c r="B63" s="30">
        <v>102100</v>
      </c>
      <c r="C63" s="30" t="s">
        <v>82</v>
      </c>
      <c r="D63" s="30">
        <v>3</v>
      </c>
      <c r="E63" s="31" t="s">
        <v>86</v>
      </c>
      <c r="F63" s="2" t="str">
        <f t="shared" si="6"/>
        <v>1&amp;500000,1_9820|2_150|3_20|4_10;500000&amp;999999999,1_9820|2_150|3_20|4_10</v>
      </c>
      <c r="G63" s="23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0">
        <v>4000</v>
      </c>
      <c r="I63" s="20">
        <v>6000</v>
      </c>
      <c r="J63" s="21" t="s">
        <v>25</v>
      </c>
    </row>
    <row r="64" s="9" customFormat="1" ht="16.5" spans="1:10">
      <c r="A64" s="30">
        <v>21004</v>
      </c>
      <c r="B64" s="30">
        <v>102100</v>
      </c>
      <c r="C64" s="30" t="s">
        <v>82</v>
      </c>
      <c r="D64" s="30">
        <v>4</v>
      </c>
      <c r="E64" s="31" t="s">
        <v>87</v>
      </c>
      <c r="F64" s="2" t="str">
        <f t="shared" si="6"/>
        <v>1&amp;500000,1_9950|2_50|3_0|4_0;500000&amp;999999999,1_9950|2_50|3_0|4_0</v>
      </c>
      <c r="G64" s="23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0">
        <v>2000</v>
      </c>
      <c r="I64" s="20">
        <v>4000</v>
      </c>
      <c r="J64" s="21" t="s">
        <v>27</v>
      </c>
    </row>
    <row r="65" s="9" customFormat="1" ht="16.5" spans="1:10">
      <c r="A65" s="30">
        <v>21005</v>
      </c>
      <c r="B65" s="30">
        <v>102100</v>
      </c>
      <c r="C65" s="30" t="s">
        <v>82</v>
      </c>
      <c r="D65" s="30">
        <v>5</v>
      </c>
      <c r="E65" s="31" t="s">
        <v>88</v>
      </c>
      <c r="F65" s="2" t="str">
        <f t="shared" si="6"/>
        <v>1&amp;500000,1_9980|2_20|3_0|4_0;500000&amp;999999999,1_9980|2_20|3_0|4_0</v>
      </c>
      <c r="G65" s="23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0">
        <v>0</v>
      </c>
      <c r="I65" s="20">
        <v>2000</v>
      </c>
      <c r="J65" s="21" t="s">
        <v>29</v>
      </c>
    </row>
    <row r="66" s="9" customFormat="1" ht="16.5" spans="1:10">
      <c r="A66" s="30">
        <v>21006</v>
      </c>
      <c r="B66" s="30">
        <v>102100</v>
      </c>
      <c r="C66" s="30" t="s">
        <v>82</v>
      </c>
      <c r="D66" s="30">
        <v>6</v>
      </c>
      <c r="E66" s="31" t="s">
        <v>89</v>
      </c>
      <c r="F66" s="2" t="str">
        <f t="shared" si="6"/>
        <v>1&amp;500000,1_9995|2_5|3_0|4_0;500000&amp;999999999,1_9995|2_5|3_0|4_0</v>
      </c>
      <c r="G66" s="23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0">
        <v>-1000</v>
      </c>
      <c r="I66" s="20">
        <v>0</v>
      </c>
      <c r="J66" s="21" t="s">
        <v>31</v>
      </c>
    </row>
    <row r="67" s="9" customFormat="1" ht="16.5" spans="1:10">
      <c r="A67" s="30">
        <v>21007</v>
      </c>
      <c r="B67" s="30">
        <v>102100</v>
      </c>
      <c r="C67" s="30" t="s">
        <v>82</v>
      </c>
      <c r="D67" s="30">
        <v>7</v>
      </c>
      <c r="E67" s="31" t="s">
        <v>90</v>
      </c>
      <c r="F67" s="2" t="str">
        <f t="shared" si="6"/>
        <v>1&amp;500000,1_10000|2_0|3_0|4_0;500000&amp;999999999,1_10000|2_0|3_0|4_0</v>
      </c>
      <c r="G67" s="23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-9000|200&amp;240-8000|240&amp;280-8000|280&amp;320-8000|320&amp;360-8000|360&amp;400-6000|400&amp;480-6000|480&amp;560-4000|560&amp;640-4000|640&amp;720-3000|720&amp;800-3000|800&amp;960-2000|960&amp;1120-1000|1120&amp;1280-1000|1280&amp;1440-1000|1440&amp;1600-800|1600&amp;1920-800|1920&amp;2240-800|2240&amp;2560-500|2560&amp;2880-400|2880&amp;3200-400|3200&amp;3840-200|3840&amp;4480-100|4480&amp;5120-50|5120&amp;5760-0|5760&amp;6400-0|6400&amp;7400-0|7400&amp;8400-0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0">
        <v>-999999</v>
      </c>
      <c r="I67" s="20">
        <v>-1000</v>
      </c>
      <c r="J67" s="21" t="s">
        <v>33</v>
      </c>
    </row>
    <row r="68" s="10" customFormat="1" ht="16.5" spans="1:10">
      <c r="A68" s="32">
        <v>18001</v>
      </c>
      <c r="B68" s="32">
        <v>101800</v>
      </c>
      <c r="C68" s="32" t="s">
        <v>91</v>
      </c>
      <c r="D68" s="32">
        <v>1</v>
      </c>
      <c r="E68" s="33" t="s">
        <v>92</v>
      </c>
      <c r="F68" s="2" t="str">
        <f t="shared" si="6"/>
        <v>1&amp;500000,1_9510|2_480|3_10;500000&amp;999999999,1_9510|2_480|3_10</v>
      </c>
      <c r="G68" s="34" t="s">
        <v>93</v>
      </c>
      <c r="H68" s="20">
        <v>8000</v>
      </c>
      <c r="I68" s="20">
        <v>999999</v>
      </c>
      <c r="J68" s="21" t="s">
        <v>21</v>
      </c>
    </row>
    <row r="69" s="10" customFormat="1" ht="16.5" spans="1:10">
      <c r="A69" s="32">
        <v>18002</v>
      </c>
      <c r="B69" s="32">
        <v>101800</v>
      </c>
      <c r="C69" s="32" t="s">
        <v>91</v>
      </c>
      <c r="D69" s="32">
        <v>2</v>
      </c>
      <c r="E69" s="33" t="s">
        <v>72</v>
      </c>
      <c r="F69" s="2" t="str">
        <f t="shared" si="6"/>
        <v>1&amp;500000,1_9940|2_50|3_10;500000&amp;999999999,1_9940|2_50|3_10</v>
      </c>
      <c r="G69" s="34" t="str">
        <f t="shared" ref="G69:G74" si="11">G68</f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9" s="20">
        <v>6000</v>
      </c>
      <c r="I69" s="20">
        <v>8000</v>
      </c>
      <c r="J69" s="21" t="s">
        <v>23</v>
      </c>
    </row>
    <row r="70" s="10" customFormat="1" ht="16.5" spans="1:10">
      <c r="A70" s="32">
        <v>18003</v>
      </c>
      <c r="B70" s="32">
        <v>101800</v>
      </c>
      <c r="C70" s="32" t="s">
        <v>91</v>
      </c>
      <c r="D70" s="32">
        <v>3</v>
      </c>
      <c r="E70" s="33" t="s">
        <v>94</v>
      </c>
      <c r="F70" s="2" t="str">
        <f t="shared" si="6"/>
        <v>1&amp;500000,1_9950|2_40|3_10;500000&amp;999999999,1_9950|2_40|3_10</v>
      </c>
      <c r="G70" s="34" t="str">
        <f t="shared" si="11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0" s="20">
        <v>4000</v>
      </c>
      <c r="I70" s="20">
        <v>6000</v>
      </c>
      <c r="J70" s="21" t="s">
        <v>25</v>
      </c>
    </row>
    <row r="71" s="10" customFormat="1" ht="16.5" spans="1:10">
      <c r="A71" s="32">
        <v>18004</v>
      </c>
      <c r="B71" s="32">
        <v>101800</v>
      </c>
      <c r="C71" s="32" t="s">
        <v>91</v>
      </c>
      <c r="D71" s="32">
        <v>4</v>
      </c>
      <c r="E71" s="33" t="s">
        <v>95</v>
      </c>
      <c r="F71" s="2" t="str">
        <f t="shared" ref="F71:F109" si="12">"1&amp;500000,"&amp;E71&amp;";500000&amp;999999999,"&amp;E71</f>
        <v>1&amp;500000,1_9970|2_30|3_0;500000&amp;999999999,1_9970|2_30|3_0</v>
      </c>
      <c r="G71" s="34" t="str">
        <f t="shared" si="11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1" s="20">
        <v>2000</v>
      </c>
      <c r="I71" s="20">
        <v>4000</v>
      </c>
      <c r="J71" s="21" t="s">
        <v>27</v>
      </c>
    </row>
    <row r="72" s="10" customFormat="1" ht="16.5" spans="1:10">
      <c r="A72" s="32">
        <v>18005</v>
      </c>
      <c r="B72" s="32">
        <v>101800</v>
      </c>
      <c r="C72" s="32" t="s">
        <v>91</v>
      </c>
      <c r="D72" s="32">
        <v>5</v>
      </c>
      <c r="E72" s="33" t="s">
        <v>74</v>
      </c>
      <c r="F72" s="2" t="str">
        <f t="shared" si="12"/>
        <v>1&amp;500000,1_9980|2_20|3_0;500000&amp;999999999,1_9980|2_20|3_0</v>
      </c>
      <c r="G72" s="34" t="str">
        <f t="shared" si="11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2" s="20">
        <v>0</v>
      </c>
      <c r="I72" s="20">
        <v>2000</v>
      </c>
      <c r="J72" s="21" t="s">
        <v>29</v>
      </c>
    </row>
    <row r="73" s="10" customFormat="1" ht="16.5" spans="1:10">
      <c r="A73" s="32">
        <v>18006</v>
      </c>
      <c r="B73" s="32">
        <v>101800</v>
      </c>
      <c r="C73" s="32" t="s">
        <v>91</v>
      </c>
      <c r="D73" s="32">
        <v>6</v>
      </c>
      <c r="E73" s="33" t="s">
        <v>40</v>
      </c>
      <c r="F73" s="2" t="str">
        <f t="shared" si="12"/>
        <v>1&amp;500000,1_9990|2_10|3_0;500000&amp;999999999,1_9990|2_10|3_0</v>
      </c>
      <c r="G73" s="34" t="str">
        <f t="shared" si="11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3" s="20">
        <v>-1000</v>
      </c>
      <c r="I73" s="20">
        <v>0</v>
      </c>
      <c r="J73" s="21" t="s">
        <v>31</v>
      </c>
    </row>
    <row r="74" s="10" customFormat="1" ht="16.5" spans="1:10">
      <c r="A74" s="32">
        <v>18007</v>
      </c>
      <c r="B74" s="32">
        <v>101800</v>
      </c>
      <c r="C74" s="32" t="s">
        <v>91</v>
      </c>
      <c r="D74" s="32">
        <v>7</v>
      </c>
      <c r="E74" s="33" t="s">
        <v>42</v>
      </c>
      <c r="F74" s="2" t="str">
        <f t="shared" si="12"/>
        <v>1&amp;500000,1_10000|2_0|3_0;500000&amp;999999999,1_10000|2_0|3_0</v>
      </c>
      <c r="G74" s="34" t="str">
        <f t="shared" si="11"/>
        <v>1,0&amp;1-67000|1&amp;20-15000|20&amp;40-5000|40&amp;60-4900|60&amp;80-3000|80&amp;100-1500|100&amp;120-1200|120&amp;140-1000|140&amp;160-500|160&amp;180-500|180&amp;200-400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-4520|240&amp;280-4330|280&amp;320-3975|320&amp;360-3695|360&amp;400-3467|400&amp;480-6006|480&amp;560-5237|560&amp;640-4573|640&amp;720-3802|720&amp;800-3439|800&amp;960-5696|960&amp;1120-4428|1120&amp;1280-3584|1280&amp;1440-2804|1440&amp;1600-2442|1600&amp;1920-3597|1920&amp;2240-2684|2240&amp;2560-1951|2560&amp;2880-1461|2880&amp;3200-1206|3200&amp;3840-1657|3840&amp;4480-1080|4480&amp;5120-748|5120&amp;5760-512|5760&amp;6400-384|6400&amp;7400-402|7400&amp;8400-270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4" s="20">
        <v>-999999</v>
      </c>
      <c r="I74" s="20">
        <v>-1000</v>
      </c>
      <c r="J74" s="21" t="s">
        <v>33</v>
      </c>
    </row>
    <row r="75" s="11" customFormat="1" ht="16.5" spans="1:10">
      <c r="A75" s="35">
        <v>25001</v>
      </c>
      <c r="B75" s="35">
        <v>102500</v>
      </c>
      <c r="C75" s="35" t="s">
        <v>96</v>
      </c>
      <c r="D75" s="35">
        <v>1</v>
      </c>
      <c r="E75" s="36" t="s">
        <v>97</v>
      </c>
      <c r="F75" s="2" t="str">
        <f t="shared" si="12"/>
        <v>1&amp;500000,1_9640|2_350|3_10;500000&amp;999999999,1_9640|2_350|3_10</v>
      </c>
      <c r="G75" s="37" t="s">
        <v>98</v>
      </c>
      <c r="H75" s="20">
        <v>8000</v>
      </c>
      <c r="I75" s="20">
        <v>999999</v>
      </c>
      <c r="J75" s="21" t="s">
        <v>21</v>
      </c>
    </row>
    <row r="76" s="11" customFormat="1" ht="16.5" spans="1:10">
      <c r="A76" s="35">
        <v>25002</v>
      </c>
      <c r="B76" s="35">
        <v>102500</v>
      </c>
      <c r="C76" s="35" t="s">
        <v>96</v>
      </c>
      <c r="D76" s="35">
        <v>2</v>
      </c>
      <c r="E76" s="36" t="s">
        <v>99</v>
      </c>
      <c r="F76" s="2" t="str">
        <f t="shared" si="12"/>
        <v>1&amp;500000,1_9955|2_35|3_10;500000&amp;999999999,1_9955|2_35|3_10</v>
      </c>
      <c r="G76" s="37" t="str">
        <f t="shared" ref="G76:G81" si="13">G75</f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6" s="20">
        <v>6000</v>
      </c>
      <c r="I76" s="20">
        <v>8000</v>
      </c>
      <c r="J76" s="21" t="s">
        <v>23</v>
      </c>
    </row>
    <row r="77" s="11" customFormat="1" ht="16.5" spans="1:10">
      <c r="A77" s="35">
        <v>25003</v>
      </c>
      <c r="B77" s="35">
        <v>102500</v>
      </c>
      <c r="C77" s="35" t="s">
        <v>96</v>
      </c>
      <c r="D77" s="35">
        <v>3</v>
      </c>
      <c r="E77" s="36" t="s">
        <v>100</v>
      </c>
      <c r="F77" s="2" t="str">
        <f t="shared" si="12"/>
        <v>1&amp;500000,1_9966|2_24|3_10;500000&amp;999999999,1_9966|2_24|3_10</v>
      </c>
      <c r="G77" s="37" t="str">
        <f t="shared" si="13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7" s="20">
        <v>4000</v>
      </c>
      <c r="I77" s="20">
        <v>6000</v>
      </c>
      <c r="J77" s="21" t="s">
        <v>25</v>
      </c>
    </row>
    <row r="78" s="11" customFormat="1" ht="16.5" spans="1:10">
      <c r="A78" s="35">
        <v>25004</v>
      </c>
      <c r="B78" s="35">
        <v>102500</v>
      </c>
      <c r="C78" s="35" t="s">
        <v>96</v>
      </c>
      <c r="D78" s="35">
        <v>4</v>
      </c>
      <c r="E78" s="36" t="s">
        <v>101</v>
      </c>
      <c r="F78" s="2" t="str">
        <f t="shared" si="12"/>
        <v>1&amp;500000,1_9982|2_18|3_0;500000&amp;999999999,1_9982|2_18|3_0</v>
      </c>
      <c r="G78" s="37" t="str">
        <f t="shared" si="13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8" s="20">
        <v>2000</v>
      </c>
      <c r="I78" s="20">
        <v>4000</v>
      </c>
      <c r="J78" s="21" t="s">
        <v>27</v>
      </c>
    </row>
    <row r="79" s="11" customFormat="1" ht="16.5" spans="1:10">
      <c r="A79" s="35">
        <v>25005</v>
      </c>
      <c r="B79" s="35">
        <v>102500</v>
      </c>
      <c r="C79" s="35" t="s">
        <v>96</v>
      </c>
      <c r="D79" s="35">
        <v>5</v>
      </c>
      <c r="E79" s="36" t="s">
        <v>102</v>
      </c>
      <c r="F79" s="2" t="str">
        <f t="shared" si="12"/>
        <v>1&amp;500000,1_9988|2_12|3_0;500000&amp;999999999,1_9988|2_12|3_0</v>
      </c>
      <c r="G79" s="37" t="str">
        <f t="shared" si="13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79" s="20">
        <v>0</v>
      </c>
      <c r="I79" s="20">
        <v>2000</v>
      </c>
      <c r="J79" s="21" t="s">
        <v>29</v>
      </c>
    </row>
    <row r="80" s="11" customFormat="1" ht="16.5" spans="1:10">
      <c r="A80" s="35">
        <v>25006</v>
      </c>
      <c r="B80" s="35">
        <v>102500</v>
      </c>
      <c r="C80" s="35" t="s">
        <v>96</v>
      </c>
      <c r="D80" s="35">
        <v>6</v>
      </c>
      <c r="E80" s="36" t="s">
        <v>103</v>
      </c>
      <c r="F80" s="2" t="str">
        <f t="shared" si="12"/>
        <v>1&amp;500000,1_9994|2_6|3_0;500000&amp;999999999,1_9994|2_6|3_0</v>
      </c>
      <c r="G80" s="37" t="str">
        <f t="shared" si="13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0" s="20">
        <v>-1000</v>
      </c>
      <c r="I80" s="20">
        <v>0</v>
      </c>
      <c r="J80" s="21" t="s">
        <v>31</v>
      </c>
    </row>
    <row r="81" s="11" customFormat="1" ht="16.5" spans="1:10">
      <c r="A81" s="35">
        <v>25007</v>
      </c>
      <c r="B81" s="35">
        <v>102500</v>
      </c>
      <c r="C81" s="35" t="s">
        <v>96</v>
      </c>
      <c r="D81" s="35">
        <v>7</v>
      </c>
      <c r="E81" s="36" t="s">
        <v>42</v>
      </c>
      <c r="F81" s="2" t="str">
        <f t="shared" si="12"/>
        <v>1&amp;500000,1_10000|2_0|3_0;500000&amp;999999999,1_10000|2_0|3_0</v>
      </c>
      <c r="G81" s="37" t="str">
        <f t="shared" si="13"/>
        <v>1,0&amp;1-65000|1&amp;50-12000|50&amp;100-9500|100&amp;150-6000|150&amp;200-3000|200&amp;250-2000|250&amp;300-1500|300&amp;350-700|350&amp;400-200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-4339|1200&amp;1400-4310|1400&amp;1600-4259|1600&amp;1800-4049|1800&amp;2000-3772|2000&amp;2400-7053|2400&amp;2800-6331|2800&amp;3200-5569|3200&amp;3600-4855|3600&amp;4000-4124|4000&amp;4800-6545|4800&amp;5600-5007|5600&amp;6400-3975|6400&amp;7200-3030|7200&amp;8000-2343|8000&amp;9600-3340|9600&amp;11200-2261|11200&amp;12800-1690|12800&amp;14400-1204|14400&amp;16000-938|16000&amp;18500-993|18500&amp;21000-762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81" s="20">
        <v>-999999</v>
      </c>
      <c r="I81" s="20">
        <v>-1000</v>
      </c>
      <c r="J81" s="21" t="s">
        <v>33</v>
      </c>
    </row>
    <row r="82" s="12" customFormat="1" ht="16.5" spans="1:10">
      <c r="A82" s="38">
        <v>23001</v>
      </c>
      <c r="B82" s="38">
        <v>102300</v>
      </c>
      <c r="C82" s="38" t="s">
        <v>104</v>
      </c>
      <c r="D82" s="38">
        <v>1</v>
      </c>
      <c r="E82" s="39" t="s">
        <v>105</v>
      </c>
      <c r="F82" s="2" t="str">
        <f t="shared" si="12"/>
        <v>1&amp;500000,1_9590|2_400|3_10;500000&amp;999999999,1_9590|2_400|3_10</v>
      </c>
      <c r="G82" s="40" t="s">
        <v>106</v>
      </c>
      <c r="H82" s="20">
        <v>8000</v>
      </c>
      <c r="I82" s="20">
        <v>999999</v>
      </c>
      <c r="J82" s="21" t="s">
        <v>21</v>
      </c>
    </row>
    <row r="83" s="12" customFormat="1" ht="16.5" spans="1:10">
      <c r="A83" s="38">
        <v>23002</v>
      </c>
      <c r="B83" s="38">
        <v>102300</v>
      </c>
      <c r="C83" s="38" t="s">
        <v>104</v>
      </c>
      <c r="D83" s="38">
        <v>2</v>
      </c>
      <c r="E83" s="39" t="s">
        <v>107</v>
      </c>
      <c r="F83" s="2" t="str">
        <f t="shared" si="12"/>
        <v>1&amp;500000,1_9960|2_30|3_10;500000&amp;999999999,1_9960|2_30|3_10</v>
      </c>
      <c r="G83" s="40" t="str">
        <f t="shared" ref="G83:G88" si="14">G82</f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3" s="20">
        <v>6000</v>
      </c>
      <c r="I83" s="20">
        <v>8000</v>
      </c>
      <c r="J83" s="21" t="s">
        <v>23</v>
      </c>
    </row>
    <row r="84" s="12" customFormat="1" ht="16.5" spans="1:10">
      <c r="A84" s="38">
        <v>23003</v>
      </c>
      <c r="B84" s="38">
        <v>102300</v>
      </c>
      <c r="C84" s="38" t="s">
        <v>104</v>
      </c>
      <c r="D84" s="38">
        <v>3</v>
      </c>
      <c r="E84" s="39" t="s">
        <v>39</v>
      </c>
      <c r="F84" s="2" t="str">
        <f t="shared" si="12"/>
        <v>1&amp;500000,1_9970|2_20|3_10;500000&amp;999999999,1_9970|2_20|3_10</v>
      </c>
      <c r="G84" s="40" t="str">
        <f t="shared" si="14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4" s="20">
        <v>4000</v>
      </c>
      <c r="I84" s="20">
        <v>6000</v>
      </c>
      <c r="J84" s="21" t="s">
        <v>25</v>
      </c>
    </row>
    <row r="85" s="12" customFormat="1" ht="16.5" spans="1:10">
      <c r="A85" s="38">
        <v>23004</v>
      </c>
      <c r="B85" s="38">
        <v>102300</v>
      </c>
      <c r="C85" s="38" t="s">
        <v>104</v>
      </c>
      <c r="D85" s="38">
        <v>4</v>
      </c>
      <c r="E85" s="39" t="s">
        <v>108</v>
      </c>
      <c r="F85" s="2" t="str">
        <f t="shared" si="12"/>
        <v>1&amp;500000,1_9985|2_15|3_0;500000&amp;999999999,1_9985|2_15|3_0</v>
      </c>
      <c r="G85" s="40" t="str">
        <f t="shared" si="14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5" s="20">
        <v>2000</v>
      </c>
      <c r="I85" s="20">
        <v>4000</v>
      </c>
      <c r="J85" s="21" t="s">
        <v>27</v>
      </c>
    </row>
    <row r="86" s="12" customFormat="1" ht="16.5" spans="1:10">
      <c r="A86" s="38">
        <v>23005</v>
      </c>
      <c r="B86" s="38">
        <v>102300</v>
      </c>
      <c r="C86" s="38" t="s">
        <v>104</v>
      </c>
      <c r="D86" s="38">
        <v>5</v>
      </c>
      <c r="E86" s="39" t="s">
        <v>40</v>
      </c>
      <c r="F86" s="2" t="str">
        <f t="shared" si="12"/>
        <v>1&amp;500000,1_9990|2_10|3_0;500000&amp;999999999,1_9990|2_10|3_0</v>
      </c>
      <c r="G86" s="40" t="str">
        <f t="shared" si="14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6" s="20">
        <v>0</v>
      </c>
      <c r="I86" s="20">
        <v>2000</v>
      </c>
      <c r="J86" s="21" t="s">
        <v>29</v>
      </c>
    </row>
    <row r="87" s="12" customFormat="1" ht="16.5" spans="1:10">
      <c r="A87" s="38">
        <v>23006</v>
      </c>
      <c r="B87" s="38">
        <v>102300</v>
      </c>
      <c r="C87" s="38" t="s">
        <v>104</v>
      </c>
      <c r="D87" s="38">
        <v>6</v>
      </c>
      <c r="E87" s="39" t="s">
        <v>75</v>
      </c>
      <c r="F87" s="2" t="str">
        <f t="shared" si="12"/>
        <v>1&amp;500000,1_9995|2_5|3_0;500000&amp;999999999,1_9995|2_5|3_0</v>
      </c>
      <c r="G87" s="40" t="str">
        <f t="shared" si="14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7" s="20">
        <v>-1000</v>
      </c>
      <c r="I87" s="20">
        <v>0</v>
      </c>
      <c r="J87" s="21" t="s">
        <v>31</v>
      </c>
    </row>
    <row r="88" s="12" customFormat="1" ht="16.5" spans="1:10">
      <c r="A88" s="38">
        <v>23007</v>
      </c>
      <c r="B88" s="38">
        <v>102300</v>
      </c>
      <c r="C88" s="38" t="s">
        <v>104</v>
      </c>
      <c r="D88" s="38">
        <v>7</v>
      </c>
      <c r="E88" s="39" t="s">
        <v>42</v>
      </c>
      <c r="F88" s="2" t="str">
        <f t="shared" si="12"/>
        <v>1&amp;500000,1_10000|2_0|3_0;500000&amp;999999999,1_10000|2_0|3_0</v>
      </c>
      <c r="G88" s="40" t="str">
        <f t="shared" si="14"/>
        <v>1,0&amp;1-60000|1&amp;20-30000|20&amp;40-4000|40&amp;80-3000|80&amp;120-2000|120&amp;160-1500|160&amp;200-1200|200&amp;280-1000|280&amp;360-500|360&amp;440-0|440&amp;520-0|520&amp;600-0|600&amp;800-0|800&amp;1000-0|1000&amp;1200-0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-5000|520&amp;600-5000|600&amp;800-5000|800&amp;1000-5000|1000&amp;1200-5000|1200&amp;1400-5000|1400&amp;1600-5000|1600&amp;1800-4000|1800&amp;2000-4000|2000&amp;2600-2000|2600&amp;3200-2000|3200&amp;3800-1000|3800&amp;4400-1000|4400&amp;5000-500|5000&amp;5600-500|5600&amp;6800-200|6800&amp;8000-150|8000&amp;9200-120|9200&amp;10400-100|10400&amp;11600-50|11600&amp;12800-30|12800&amp;14000-20|14000&amp;15200-10|15200&amp;16400-5|16400&amp;17600-2|17600&amp;18800-1|18800&amp;20000-0|20000&amp;21200-0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88" s="20">
        <v>-999999</v>
      </c>
      <c r="I88" s="20">
        <v>-1000</v>
      </c>
      <c r="J88" s="21" t="s">
        <v>33</v>
      </c>
    </row>
    <row r="89" s="13" customFormat="1" ht="16.5" spans="1:10">
      <c r="A89" s="41">
        <v>34001</v>
      </c>
      <c r="B89" s="41">
        <v>103400</v>
      </c>
      <c r="C89" s="41" t="s">
        <v>109</v>
      </c>
      <c r="D89" s="41">
        <v>1</v>
      </c>
      <c r="E89" s="42" t="s">
        <v>110</v>
      </c>
      <c r="F89" s="2" t="str">
        <f t="shared" si="12"/>
        <v>1&amp;500000,1_6990|2_3000|3_10;500000&amp;999999999,1_6990|2_3000|3_10</v>
      </c>
      <c r="G89" s="43" t="s">
        <v>111</v>
      </c>
      <c r="H89" s="20">
        <v>8000</v>
      </c>
      <c r="I89" s="20">
        <v>999999</v>
      </c>
      <c r="J89" s="21" t="s">
        <v>21</v>
      </c>
    </row>
    <row r="90" s="13" customFormat="1" ht="16.5" spans="1:10">
      <c r="A90" s="41">
        <v>34002</v>
      </c>
      <c r="B90" s="41">
        <v>103400</v>
      </c>
      <c r="C90" s="41" t="s">
        <v>109</v>
      </c>
      <c r="D90" s="41">
        <v>2</v>
      </c>
      <c r="E90" s="42" t="s">
        <v>112</v>
      </c>
      <c r="F90" s="2" t="str">
        <f t="shared" si="12"/>
        <v>1&amp;500000,1_8490|2_1500|3_10;500000&amp;999999999,1_8490|2_1500|3_10</v>
      </c>
      <c r="G90" s="43" t="str">
        <f t="shared" ref="G90:G95" si="15">G89</f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0" s="20">
        <v>6000</v>
      </c>
      <c r="I90" s="20">
        <v>8000</v>
      </c>
      <c r="J90" s="21" t="s">
        <v>23</v>
      </c>
    </row>
    <row r="91" s="13" customFormat="1" ht="16.5" spans="1:10">
      <c r="A91" s="41">
        <v>34003</v>
      </c>
      <c r="B91" s="41">
        <v>103400</v>
      </c>
      <c r="C91" s="41" t="s">
        <v>109</v>
      </c>
      <c r="D91" s="41">
        <v>3</v>
      </c>
      <c r="E91" s="42" t="s">
        <v>113</v>
      </c>
      <c r="F91" s="2" t="str">
        <f t="shared" si="12"/>
        <v>1&amp;500000,1_9540|2_450|3_10;500000&amp;999999999,1_9540|2_450|3_10</v>
      </c>
      <c r="G91" s="43" t="str">
        <f t="shared" si="15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1" s="20">
        <v>4000</v>
      </c>
      <c r="I91" s="20">
        <v>6000</v>
      </c>
      <c r="J91" s="21" t="s">
        <v>25</v>
      </c>
    </row>
    <row r="92" s="13" customFormat="1" ht="16.5" spans="1:10">
      <c r="A92" s="41">
        <v>34004</v>
      </c>
      <c r="B92" s="41">
        <v>103400</v>
      </c>
      <c r="C92" s="41" t="s">
        <v>109</v>
      </c>
      <c r="D92" s="41">
        <v>4</v>
      </c>
      <c r="E92" s="42" t="s">
        <v>114</v>
      </c>
      <c r="F92" s="2" t="str">
        <f t="shared" si="12"/>
        <v>1&amp;500000,1_9700|2_300|3_0;500000&amp;999999999,1_9700|2_300|3_0</v>
      </c>
      <c r="G92" s="43" t="str">
        <f t="shared" si="15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2" s="20">
        <v>2000</v>
      </c>
      <c r="I92" s="20">
        <v>4000</v>
      </c>
      <c r="J92" s="21" t="s">
        <v>27</v>
      </c>
    </row>
    <row r="93" s="13" customFormat="1" ht="16.5" spans="1:10">
      <c r="A93" s="41">
        <v>34005</v>
      </c>
      <c r="B93" s="41">
        <v>103400</v>
      </c>
      <c r="C93" s="41" t="s">
        <v>109</v>
      </c>
      <c r="D93" s="41">
        <v>5</v>
      </c>
      <c r="E93" s="42" t="s">
        <v>115</v>
      </c>
      <c r="F93" s="2" t="str">
        <f t="shared" si="12"/>
        <v>1&amp;500000,1_9850|2_150|3_0;500000&amp;999999999,1_9850|2_150|3_0</v>
      </c>
      <c r="G93" s="43" t="str">
        <f t="shared" si="15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3" s="20">
        <v>0</v>
      </c>
      <c r="I93" s="20">
        <v>2000</v>
      </c>
      <c r="J93" s="21" t="s">
        <v>29</v>
      </c>
    </row>
    <row r="94" s="13" customFormat="1" ht="16.5" spans="1:10">
      <c r="A94" s="41">
        <v>34006</v>
      </c>
      <c r="B94" s="41">
        <v>103400</v>
      </c>
      <c r="C94" s="41" t="s">
        <v>109</v>
      </c>
      <c r="D94" s="41">
        <v>6</v>
      </c>
      <c r="E94" s="42" t="s">
        <v>66</v>
      </c>
      <c r="F94" s="2" t="str">
        <f t="shared" si="12"/>
        <v>1&amp;500000,1_9950|2_50|3_0;500000&amp;999999999,1_9950|2_50|3_0</v>
      </c>
      <c r="G94" s="43" t="str">
        <f t="shared" si="15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4" s="20">
        <v>-1000</v>
      </c>
      <c r="I94" s="20">
        <v>0</v>
      </c>
      <c r="J94" s="21" t="s">
        <v>31</v>
      </c>
    </row>
    <row r="95" s="13" customFormat="1" ht="16.5" spans="1:10">
      <c r="A95" s="41">
        <v>34007</v>
      </c>
      <c r="B95" s="41">
        <v>103400</v>
      </c>
      <c r="C95" s="41" t="s">
        <v>109</v>
      </c>
      <c r="D95" s="41">
        <v>7</v>
      </c>
      <c r="E95" s="42" t="s">
        <v>42</v>
      </c>
      <c r="F95" s="2" t="str">
        <f t="shared" si="12"/>
        <v>1&amp;500000,1_10000|2_0|3_0;500000&amp;999999999,1_10000|2_0|3_0</v>
      </c>
      <c r="G95" s="43" t="str">
        <f t="shared" si="15"/>
        <v>1,0&amp;1-65000|1&amp;5-7900|5&amp;10-10000|10&amp;15-7900|15&amp;20-3400|20&amp;25-1600|25&amp;30-2200|30&amp;35-1000|35&amp;40-100|40&amp;45-50|45&amp;50-20|50&amp;60-20|60&amp;70-20|70&amp;80-10|80&amp;90-1|90&amp;100-0|100&amp;120-10|120&amp;140-1|140&amp;160-0|160&amp;180-0|180&amp;200-0|200&amp;240-1|240&amp;280-10|280&amp;320-1|320&amp;360-1|360&amp;400-1|400&amp;480-0|480&amp;560-1|560&amp;640-0|640&amp;720-0|720&amp;800-0|800&amp;960-0|960&amp;1120-0|1120&amp;1280-0|1280&amp;1440-0|1440&amp;1600-0|1600&amp;1850-0|1850&amp;2100-0|2100&amp;99999999-0;2,0&amp;1-0|1&amp;5-0|5&amp;10-0|10&amp;15-0|15&amp;20-437|20&amp;25-133|25&amp;30-350|30&amp;35-19|35&amp;40-2|40&amp;45-2|45&amp;50-0|50&amp;60-10|60&amp;70-0|70&amp;80-0|80&amp;90-0|90&amp;100-0|100&amp;120-59|120&amp;140-0|140&amp;160-0|160&amp;180-0|180&amp;200-0|200&amp;240-3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95" s="20">
        <v>-999999</v>
      </c>
      <c r="I95" s="20">
        <v>-1000</v>
      </c>
      <c r="J95" s="21" t="s">
        <v>33</v>
      </c>
    </row>
    <row r="96" s="14" customFormat="1" ht="16.5" spans="1:10">
      <c r="A96" s="44">
        <v>35001</v>
      </c>
      <c r="B96" s="44">
        <v>103500</v>
      </c>
      <c r="C96" s="44" t="s">
        <v>116</v>
      </c>
      <c r="D96" s="44">
        <v>1</v>
      </c>
      <c r="E96" s="45" t="s">
        <v>117</v>
      </c>
      <c r="F96" s="2" t="str">
        <f t="shared" si="12"/>
        <v>1&amp;500000,1_9490|2_500|3_10;500000&amp;999999999,1_9490|2_500|3_10</v>
      </c>
      <c r="G96" s="46" t="s">
        <v>118</v>
      </c>
      <c r="H96" s="20">
        <v>8000</v>
      </c>
      <c r="I96" s="20">
        <v>999999</v>
      </c>
      <c r="J96" s="21" t="s">
        <v>21</v>
      </c>
    </row>
    <row r="97" s="14" customFormat="1" ht="16.5" spans="1:10">
      <c r="A97" s="44">
        <v>35002</v>
      </c>
      <c r="B97" s="44">
        <v>103500</v>
      </c>
      <c r="C97" s="44" t="s">
        <v>116</v>
      </c>
      <c r="D97" s="44">
        <v>2</v>
      </c>
      <c r="E97" s="45" t="s">
        <v>119</v>
      </c>
      <c r="F97" s="2" t="str">
        <f t="shared" si="12"/>
        <v>1&amp;500000,1_9840|2_150|3_10;500000&amp;999999999,1_9840|2_150|3_10</v>
      </c>
      <c r="G97" s="46" t="str">
        <f t="shared" ref="G97:G102" si="16">G96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7" s="20">
        <v>6000</v>
      </c>
      <c r="I97" s="20">
        <v>8000</v>
      </c>
      <c r="J97" s="21" t="s">
        <v>23</v>
      </c>
    </row>
    <row r="98" s="14" customFormat="1" ht="16.5" spans="1:10">
      <c r="A98" s="44">
        <v>35003</v>
      </c>
      <c r="B98" s="44">
        <v>103500</v>
      </c>
      <c r="C98" s="44" t="s">
        <v>116</v>
      </c>
      <c r="D98" s="44">
        <v>3</v>
      </c>
      <c r="E98" s="45" t="s">
        <v>120</v>
      </c>
      <c r="F98" s="2" t="str">
        <f t="shared" si="12"/>
        <v>1&amp;500000,1_9870|2_120|3_10;500000&amp;999999999,1_9870|2_120|3_10</v>
      </c>
      <c r="G98" s="46" t="str">
        <f t="shared" si="1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8" s="20">
        <v>4000</v>
      </c>
      <c r="I98" s="20">
        <v>6000</v>
      </c>
      <c r="J98" s="21" t="s">
        <v>25</v>
      </c>
    </row>
    <row r="99" s="14" customFormat="1" ht="16.5" spans="1:10">
      <c r="A99" s="44">
        <v>35004</v>
      </c>
      <c r="B99" s="44">
        <v>103500</v>
      </c>
      <c r="C99" s="44" t="s">
        <v>116</v>
      </c>
      <c r="D99" s="44">
        <v>4</v>
      </c>
      <c r="E99" s="45" t="s">
        <v>121</v>
      </c>
      <c r="F99" s="2" t="str">
        <f t="shared" si="12"/>
        <v>1&amp;500000,1_9910|2_90|3_0;500000&amp;999999999,1_9910|2_90|3_0</v>
      </c>
      <c r="G99" s="46" t="str">
        <f t="shared" si="1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99" s="20">
        <v>2000</v>
      </c>
      <c r="I99" s="20">
        <v>4000</v>
      </c>
      <c r="J99" s="21" t="s">
        <v>27</v>
      </c>
    </row>
    <row r="100" s="14" customFormat="1" ht="16.5" spans="1:10">
      <c r="A100" s="44">
        <v>35005</v>
      </c>
      <c r="B100" s="44">
        <v>103500</v>
      </c>
      <c r="C100" s="44" t="s">
        <v>116</v>
      </c>
      <c r="D100" s="44">
        <v>5</v>
      </c>
      <c r="E100" s="45" t="s">
        <v>122</v>
      </c>
      <c r="F100" s="2" t="str">
        <f t="shared" si="12"/>
        <v>1&amp;500000,1_9940|2_60|3_0;500000&amp;999999999,1_9940|2_60|3_0</v>
      </c>
      <c r="G100" s="46" t="str">
        <f t="shared" si="1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0" s="20">
        <v>0</v>
      </c>
      <c r="I100" s="20">
        <v>2000</v>
      </c>
      <c r="J100" s="21" t="s">
        <v>29</v>
      </c>
    </row>
    <row r="101" s="14" customFormat="1" ht="16.5" spans="1:10">
      <c r="A101" s="44">
        <v>35006</v>
      </c>
      <c r="B101" s="44">
        <v>103500</v>
      </c>
      <c r="C101" s="44" t="s">
        <v>116</v>
      </c>
      <c r="D101" s="44">
        <v>6</v>
      </c>
      <c r="E101" s="45" t="s">
        <v>40</v>
      </c>
      <c r="F101" s="2" t="str">
        <f t="shared" si="12"/>
        <v>1&amp;500000,1_9990|2_10|3_0;500000&amp;999999999,1_9990|2_10|3_0</v>
      </c>
      <c r="G101" s="46" t="str">
        <f t="shared" si="1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1" s="20">
        <v>-1000</v>
      </c>
      <c r="I101" s="20">
        <v>0</v>
      </c>
      <c r="J101" s="21" t="s">
        <v>31</v>
      </c>
    </row>
    <row r="102" s="14" customFormat="1" ht="16.5" spans="1:10">
      <c r="A102" s="44">
        <v>35007</v>
      </c>
      <c r="B102" s="44">
        <v>103500</v>
      </c>
      <c r="C102" s="44" t="s">
        <v>116</v>
      </c>
      <c r="D102" s="44">
        <v>7</v>
      </c>
      <c r="E102" s="45" t="s">
        <v>42</v>
      </c>
      <c r="F102" s="2" t="str">
        <f t="shared" si="12"/>
        <v>1&amp;500000,1_10000|2_0|3_0;500000&amp;999999999,1_10000|2_0|3_0</v>
      </c>
      <c r="G102" s="46" t="str">
        <f t="shared" si="16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2" s="20">
        <v>-999999</v>
      </c>
      <c r="I102" s="20">
        <v>-1000</v>
      </c>
      <c r="J102" s="21" t="s">
        <v>33</v>
      </c>
    </row>
    <row r="103" s="15" customFormat="1" ht="16.5" spans="1:10">
      <c r="A103" s="47">
        <v>35011</v>
      </c>
      <c r="B103" s="47">
        <v>103501</v>
      </c>
      <c r="C103" s="47" t="s">
        <v>123</v>
      </c>
      <c r="D103" s="47">
        <v>1</v>
      </c>
      <c r="E103" s="48" t="s">
        <v>117</v>
      </c>
      <c r="F103" s="2" t="str">
        <f t="shared" si="12"/>
        <v>1&amp;500000,1_9490|2_500|3_10;500000&amp;999999999,1_9490|2_500|3_10</v>
      </c>
      <c r="G103" s="24" t="s">
        <v>118</v>
      </c>
      <c r="H103" s="20">
        <v>8000</v>
      </c>
      <c r="I103" s="20">
        <v>999999</v>
      </c>
      <c r="J103" s="21" t="s">
        <v>21</v>
      </c>
    </row>
    <row r="104" s="15" customFormat="1" ht="16.5" spans="1:10">
      <c r="A104" s="47">
        <v>35012</v>
      </c>
      <c r="B104" s="47">
        <v>103501</v>
      </c>
      <c r="C104" s="47" t="s">
        <v>123</v>
      </c>
      <c r="D104" s="47">
        <v>2</v>
      </c>
      <c r="E104" s="48" t="s">
        <v>119</v>
      </c>
      <c r="F104" s="2" t="str">
        <f t="shared" si="12"/>
        <v>1&amp;500000,1_9840|2_150|3_10;500000&amp;999999999,1_9840|2_150|3_10</v>
      </c>
      <c r="G104" s="24" t="str">
        <f t="shared" ref="G104:G109" si="17">G103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4" s="20">
        <v>6000</v>
      </c>
      <c r="I104" s="20">
        <v>8000</v>
      </c>
      <c r="J104" s="21" t="s">
        <v>23</v>
      </c>
    </row>
    <row r="105" s="15" customFormat="1" ht="16.5" spans="1:10">
      <c r="A105" s="47">
        <v>35013</v>
      </c>
      <c r="B105" s="47">
        <v>103501</v>
      </c>
      <c r="C105" s="47" t="s">
        <v>123</v>
      </c>
      <c r="D105" s="47">
        <v>3</v>
      </c>
      <c r="E105" s="48" t="s">
        <v>120</v>
      </c>
      <c r="F105" s="2" t="str">
        <f t="shared" si="12"/>
        <v>1&amp;500000,1_9870|2_120|3_10;500000&amp;999999999,1_9870|2_120|3_10</v>
      </c>
      <c r="G105" s="24" t="str">
        <f t="shared" si="1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5" s="20">
        <v>4000</v>
      </c>
      <c r="I105" s="20">
        <v>6000</v>
      </c>
      <c r="J105" s="21" t="s">
        <v>25</v>
      </c>
    </row>
    <row r="106" s="15" customFormat="1" ht="16.5" spans="1:10">
      <c r="A106" s="47">
        <v>35014</v>
      </c>
      <c r="B106" s="47">
        <v>103501</v>
      </c>
      <c r="C106" s="47" t="s">
        <v>123</v>
      </c>
      <c r="D106" s="47">
        <v>4</v>
      </c>
      <c r="E106" s="48" t="s">
        <v>121</v>
      </c>
      <c r="F106" s="2" t="str">
        <f t="shared" si="12"/>
        <v>1&amp;500000,1_9910|2_90|3_0;500000&amp;999999999,1_9910|2_90|3_0</v>
      </c>
      <c r="G106" s="24" t="str">
        <f t="shared" si="1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6" s="20">
        <v>2000</v>
      </c>
      <c r="I106" s="20">
        <v>4000</v>
      </c>
      <c r="J106" s="21" t="s">
        <v>27</v>
      </c>
    </row>
    <row r="107" s="15" customFormat="1" ht="16.5" spans="1:10">
      <c r="A107" s="47">
        <v>35015</v>
      </c>
      <c r="B107" s="47">
        <v>103501</v>
      </c>
      <c r="C107" s="47" t="s">
        <v>123</v>
      </c>
      <c r="D107" s="47">
        <v>5</v>
      </c>
      <c r="E107" s="48" t="s">
        <v>122</v>
      </c>
      <c r="F107" s="2" t="str">
        <f t="shared" si="12"/>
        <v>1&amp;500000,1_9940|2_60|3_0;500000&amp;999999999,1_9940|2_60|3_0</v>
      </c>
      <c r="G107" s="24" t="str">
        <f t="shared" si="1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7" s="20">
        <v>0</v>
      </c>
      <c r="I107" s="20">
        <v>2000</v>
      </c>
      <c r="J107" s="21" t="s">
        <v>29</v>
      </c>
    </row>
    <row r="108" s="15" customFormat="1" ht="16.5" spans="1:10">
      <c r="A108" s="47">
        <v>35016</v>
      </c>
      <c r="B108" s="47">
        <v>103501</v>
      </c>
      <c r="C108" s="47" t="s">
        <v>123</v>
      </c>
      <c r="D108" s="47">
        <v>6</v>
      </c>
      <c r="E108" s="48" t="s">
        <v>40</v>
      </c>
      <c r="F108" s="2" t="str">
        <f t="shared" si="12"/>
        <v>1&amp;500000,1_9990|2_10|3_0;500000&amp;999999999,1_9990|2_10|3_0</v>
      </c>
      <c r="G108" s="24" t="str">
        <f t="shared" si="1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8" s="20">
        <v>-1000</v>
      </c>
      <c r="I108" s="20">
        <v>0</v>
      </c>
      <c r="J108" s="21" t="s">
        <v>31</v>
      </c>
    </row>
    <row r="109" s="15" customFormat="1" ht="16.5" spans="1:10">
      <c r="A109" s="47">
        <v>35017</v>
      </c>
      <c r="B109" s="47">
        <v>103501</v>
      </c>
      <c r="C109" s="47" t="s">
        <v>123</v>
      </c>
      <c r="D109" s="47">
        <v>7</v>
      </c>
      <c r="E109" s="48" t="s">
        <v>42</v>
      </c>
      <c r="F109" s="2" t="str">
        <f t="shared" si="12"/>
        <v>1&amp;500000,1_10000|2_0|3_0;500000&amp;999999999,1_10000|2_0|3_0</v>
      </c>
      <c r="G109" s="24" t="str">
        <f t="shared" si="17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-0|140&amp;160-0|160&amp;180-4982|180&amp;200-5014|200&amp;240-8228|240&amp;280-8228|280&amp;320-8228|320&amp;360-8228|360&amp;400-8000|400&amp;480-10033|480&amp;560-8000|560&amp;640-8228|640&amp;720-3948|720&amp;800-2483|800&amp;960-2525|960&amp;1120-896|1120&amp;1280-267|1280&amp;1440-59|1440&amp;1600-14|1600&amp;1920-4|1920&amp;2240-1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09" s="20">
        <v>-999999</v>
      </c>
      <c r="I109" s="20">
        <v>-1000</v>
      </c>
      <c r="J109" s="21" t="s">
        <v>33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L19"/>
  <sheetViews>
    <sheetView workbookViewId="0">
      <selection activeCell="I5" sqref="I5"/>
    </sheetView>
  </sheetViews>
  <sheetFormatPr defaultColWidth="9" defaultRowHeight="14.25"/>
  <cols>
    <col min="11" max="11" width="10.375"/>
    <col min="12" max="12" width="12.625"/>
  </cols>
  <sheetData>
    <row r="4" ht="16.5" spans="1:9">
      <c r="A4" s="1" t="s">
        <v>124</v>
      </c>
    </row>
    <row r="5" ht="16.5" spans="1:9">
      <c r="A5" s="1" t="s">
        <v>125</v>
      </c>
      <c r="I5" s="2" t="s">
        <v>126</v>
      </c>
    </row>
    <row r="6" ht="16.5" spans="1:9">
      <c r="A6" s="1" t="s">
        <v>127</v>
      </c>
    </row>
    <row r="18" spans="7:12">
      <c r="G18" s="3">
        <f>H18*J18</f>
        <v>1</v>
      </c>
      <c r="H18" s="4">
        <v>0.002</v>
      </c>
      <c r="I18">
        <v>500000</v>
      </c>
      <c r="J18">
        <v>500</v>
      </c>
      <c r="K18">
        <f>J18*I18</f>
        <v>250000000</v>
      </c>
      <c r="L18">
        <f>K18/3700</f>
        <v>67567.5675675676</v>
      </c>
    </row>
    <row r="19" spans="7:12">
      <c r="G19" s="3">
        <f>H19*J19</f>
        <v>0.3</v>
      </c>
      <c r="H19" s="4">
        <v>0.002</v>
      </c>
      <c r="I19">
        <v>2000000</v>
      </c>
      <c r="J19">
        <v>150</v>
      </c>
      <c r="K19">
        <f>J19*I19</f>
        <v>300000000</v>
      </c>
      <c r="L19">
        <f>K19/3700</f>
        <v>81081.0810810811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SpecialResultLib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2026-02-25T02:15:23Z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