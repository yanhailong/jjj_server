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SSS\游戏配置表\Manage\"/>
    </mc:Choice>
  </mc:AlternateContent>
  <bookViews>
    <workbookView windowWidth="27945" windowHeight="11925"/>
  </bookViews>
  <sheets>
    <sheet name="CasinoStatsSheet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经营等级升级的前置条件：填写  建筑ID_等级|建筑ID_等级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赌场的一种属性，进行配置的数据；
该数据和游客的基础停留时长相关联，用于计算游客的交互次数；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每小时活跃曝光度的削减效率百分比</t>
        </r>
      </text>
    </comment>
    <comment ref="J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Administrator:
游客来访的频率（即游客的生成频率）
</t>
        </r>
      </text>
    </comment>
    <comment ref="L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在刷新时间点到了以后，在生成池中重随5次</t>
        </r>
      </text>
    </comment>
    <comment ref="M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空值表示不需要道具</t>
        </r>
      </text>
    </comment>
    <comment ref="N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空值表示不需要道具</t>
        </r>
      </text>
    </comment>
  </commentList>
</comments>
</file>

<file path=xl/sharedStrings.xml><?xml version="1.0" encoding="utf-8"?>
<sst xmlns="http://schemas.openxmlformats.org/spreadsheetml/2006/main" count="355" uniqueCount="115">
  <si>
    <t>ID</t>
  </si>
  <si>
    <t>名称</t>
  </si>
  <si>
    <t>场景 ID</t>
  </si>
  <si>
    <t>升级前置条件</t>
  </si>
  <si>
    <t>等级</t>
  </si>
  <si>
    <t>基础繁荣度</t>
  </si>
  <si>
    <t>曝光要求</t>
  </si>
  <si>
    <t>消耗效率（百分比）</t>
  </si>
  <si>
    <t>延长游客生成间隔的倍数上限</t>
  </si>
  <si>
    <t>游客基础来访间隔(秒)</t>
  </si>
  <si>
    <t>游客每日交互时长上限（min）</t>
  </si>
  <si>
    <t>游客生成数量</t>
  </si>
  <si>
    <t>升级消耗数量</t>
  </si>
  <si>
    <t>升级产出能量</t>
  </si>
  <si>
    <t>离线收益时长（分）</t>
  </si>
  <si>
    <t>预估建筑达成等级</t>
  </si>
  <si>
    <t>预估交互次数/人</t>
  </si>
  <si>
    <t>int</t>
  </si>
  <si>
    <t>map&lt;int{_}int&gt;{|}</t>
  </si>
  <si>
    <t>id</t>
  </si>
  <si>
    <t>RegionID</t>
  </si>
  <si>
    <t>LevelUpCondition</t>
  </si>
  <si>
    <t>level</t>
  </si>
  <si>
    <t>Prosperity</t>
  </si>
  <si>
    <t>ExposureRequirements</t>
  </si>
  <si>
    <t>DrainRate</t>
  </si>
  <si>
    <t>MaxMultiplier</t>
  </si>
  <si>
    <t>BaseVisitInterval</t>
  </si>
  <si>
    <t>VisitorDailyLimit</t>
  </si>
  <si>
    <t>VisitorSpawnCount</t>
  </si>
  <si>
    <t>UpgradeCost</t>
  </si>
  <si>
    <t>UpgradeOutput</t>
  </si>
  <si>
    <t>OfflineDuration</t>
  </si>
  <si>
    <t>ExpectedBuildingLevel</t>
  </si>
  <si>
    <t>InteractCount</t>
  </si>
  <si>
    <t>拉斯维加斯</t>
  </si>
  <si>
    <t/>
  </si>
  <si>
    <t>1101_4</t>
  </si>
  <si>
    <t>1202_1</t>
  </si>
  <si>
    <t>1303_1</t>
  </si>
  <si>
    <t>1101_8</t>
  </si>
  <si>
    <t>1304_1</t>
  </si>
  <si>
    <t>1202_3|1101_8</t>
  </si>
  <si>
    <t>1102_1</t>
  </si>
  <si>
    <t>1202_3|1101_12</t>
  </si>
  <si>
    <t>1202_3|1303_4|1101_12|1102_4</t>
  </si>
  <si>
    <t>1202_3|1303_4|1101_16|1102_4</t>
  </si>
  <si>
    <t>1202_3|1303_4|1304_5|1101_16|1102_8</t>
  </si>
  <si>
    <t>1301_7|1202_3|1303_4|1304_5|1101_16|1102_8</t>
  </si>
  <si>
    <t>1110_1</t>
  </si>
  <si>
    <t>1301_7|1202_3|1303_4|1304_5|1101_16|1102_12</t>
  </si>
  <si>
    <t>1301_7|1202_8|1303_4|1304_5|1101_16|1102_12|1110_4</t>
  </si>
  <si>
    <t>1301_7|1202_8|1303_4|1304_5|1101_16|1102_16|1110_4</t>
  </si>
  <si>
    <t>1301_7|1202_8|1303_9|1304_5|1101_16|1102_16|1110_8</t>
  </si>
  <si>
    <t>1107_1</t>
  </si>
  <si>
    <t>1301_7|1202_8|1303_9|1304_10|1101_16|1102_16|1110_12</t>
  </si>
  <si>
    <t>1301_7|1202_8|1303_9|1304_10|1101_16|1102_16|1107_4|1110_12</t>
  </si>
  <si>
    <t>1301_12|1202_8|1303_9|1304_10|1101_16|1102_16|1107_4|1110_16</t>
  </si>
  <si>
    <t>1301_12|1202_8|1303_9|1304_10|1101_16|1102_16|1107_8|1110_16</t>
  </si>
  <si>
    <t>1301_12|1202_13|1303_9|1304_10|1101_16|1102_16|1107_8|1110_16</t>
  </si>
  <si>
    <t>1106_1</t>
  </si>
  <si>
    <t>1301_12|1202_13|1303_9|1304_10|1101_16|1102_16|1107_12|1110_16</t>
  </si>
  <si>
    <t>1301_12|1202_13|1303_14|1304_10|1101_16|1102_16|1106_4|1107_12|1110_16</t>
  </si>
  <si>
    <t>1301_12|1202_13|1303_14|1304_10|1101_16|1102_16|1106_4|1107_16|1110_16</t>
  </si>
  <si>
    <t>1301_12|1202_13|1303_14|1304_15|1101_16|1102_16|1106_8|1107_16|1110_16</t>
  </si>
  <si>
    <t>1105_1</t>
  </si>
  <si>
    <t>1301_17|1202_13|1303_14|1304_15|1101_16|1102_16|1106_12|1107_16|1110_16</t>
  </si>
  <si>
    <t>1301_17|1202_13|1303_14|1304_15|1101_16|1102_16|1105_4|1106_12|1107_16|1110_16</t>
  </si>
  <si>
    <t>1301_17|1202_18|1303_14|1304_15|1101_16|1102_16|1105_4|1106_16|1107_16|1110_16</t>
  </si>
  <si>
    <t>1301_17|1202_18|1303_14|1304_15|1101_16|1102_16|1105_8|1106_16|1107_16|1110_16</t>
  </si>
  <si>
    <t>1301_17|1202_18|1303_19|1304_15|1101_16|1102_16|1105_8|1106_16|1107_16|1110_16</t>
  </si>
  <si>
    <t>1104_1</t>
  </si>
  <si>
    <t>1301_17|1202_18|1303_19|1304_15|1101_16|1102_16|1105_12|1106_16|1107_16|1110_16</t>
  </si>
  <si>
    <t>1301_17|1202_18|1303_19|1304_20|1101_16|1102_16|1104_4|1105_12|1106_16|1107_16|1110_16</t>
  </si>
  <si>
    <t>1301_22|1202_18|1303_19|1304_20|1101_16|1102_16|1104_4|1105_16|1106_16|1107_16|1110_16</t>
  </si>
  <si>
    <t>1301_22|1202_18|1303_19|1304_20|1101_16|1102_16|1104_8|1105_16|1106_16|1107_16|1110_16</t>
  </si>
  <si>
    <t>1301_22|1202_23|1303_19|1304_20|1101_16|1102_16|1104_8|1105_16|1106_16|1107_16|1110_16</t>
  </si>
  <si>
    <t>1103_1</t>
  </si>
  <si>
    <t>1301_22|1202_23|1303_19|1304_20|1101_16|1102_16|1104_12|1105_16|1106_16|1107_16|1110_16</t>
  </si>
  <si>
    <t>1301_22|1202_23|1303_24|1304_20|1101_16|1102_16|1103_4|1104_12|1105_16|1106_16|1107_16|1110_16</t>
  </si>
  <si>
    <t>1301_22|1202_23|1303_24|1304_20|1101_16|1102_16|1103_4|1104_16|1105_16|1106_16|1107_16|1110_16</t>
  </si>
  <si>
    <t>1301_22|1202_23|1303_24|1304_25|1101_16|1102_16|1103_8|1104_16|1105_16|1106_16|1107_16|1110_16</t>
  </si>
  <si>
    <t>1109_1</t>
  </si>
  <si>
    <t>1301_27|1202_23|1303_24|1304_25|1101_16|1102_16|1103_12|1104_16|1105_16|1106_16|1107_16|1110_16</t>
  </si>
  <si>
    <t>1301_27|1202_23|1303_24|1304_25|1101_16|1102_16|1103_12|1104_16|1105_16|1106_16|1107_16|1109_4|1110_16</t>
  </si>
  <si>
    <t>1301_27|1202_28|1303_24|1304_25|1101_16|1102_16|1103_16|1104_16|1105_16|1106_16|1107_16|1109_4|1110_16</t>
  </si>
  <si>
    <t>1301_27|1202_28|1303_24|1304_25|1101_16|1102_16|1103_16|1104_16|1105_16|1106_16|1107_16|1109_8|1110_16</t>
  </si>
  <si>
    <t>1301_27|1202_28|1303_29|1304_25|1101_16|1102_16|1103_16|1104_16|1105_16|1106_16|1107_16|1109_8|1110_16</t>
  </si>
  <si>
    <t>1108_1</t>
  </si>
  <si>
    <t>1301_27|1202_28|1303_29|1304_25|1101_16|1102_16|1103_16|1104_16|1105_16|1106_16|1107_16|1109_12|1110_16</t>
  </si>
  <si>
    <t>1301_27|1202_28|1303_29|1304_30|1101_16|1102_16|1103_16|1104_16|1105_16|1106_16|1107_16|1108_4|1109_12|1110_16</t>
  </si>
  <si>
    <t>1301_32|1202_28|1303_29|1304_30|1101_16|1102_16|1103_16|1104_16|1105_16|1106_16|1107_16|1108_4|1109_16|1110_16</t>
  </si>
  <si>
    <t>1301_32|1202_28|1303_29|1304_30|1101_16|1102_16|1103_16|1104_16|1105_16|1106_16|1107_16|1108_8|1109_16|1110_16</t>
  </si>
  <si>
    <t>1301_32|1202_33|1303_29|1304_30|1101_16|1102_16|1103_16|1104_16|1105_16|1106_16|1107_16|1108_8|1109_16|1110_16</t>
  </si>
  <si>
    <t>1112_1</t>
  </si>
  <si>
    <t>1301_32|1202_33|1303_29|1304_30|1101_16|1102_16|1103_16|1104_16|1105_16|1106_16|1107_16|1108_12|1109_16|1110_16</t>
  </si>
  <si>
    <t>1301_32|1202_33|1303_34|1304_30|1101_16|1102_16|1103_16|1104_16|1105_16|1106_16|1107_16|1108_12|1109_16|1110_16|1112_4</t>
  </si>
  <si>
    <t>1301_32|1202_33|1303_34|1304_30|1101_16|1102_16|1103_16|1104_16|1105_16|1106_16|1107_16|1108_16|1109_16|1110_16|1112_4</t>
  </si>
  <si>
    <t>1301_32|1202_33|1303_34|1304_35|1101_16|1102_16|1103_16|1104_16|1105_16|1106_16|1107_16|1108_16|1109_16|1110_16|1112_8</t>
  </si>
  <si>
    <t>1111_1</t>
  </si>
  <si>
    <t>1301_37|1202_33|1303_34|1304_35|1101_16|1102_16|1103_16|1104_16|1105_16|1106_16|1107_16|1108_16|1109_16|1110_16|1112_12</t>
  </si>
  <si>
    <t>1301_37|1202_33|1303_34|1304_35|1101_16|1102_16|1103_16|1104_16|1105_16|1106_16|1107_16|1108_16|1109_16|1110_16|1111_4|1112_12</t>
  </si>
  <si>
    <t>1301_37|1202_38|1303_34|1304_35|1101_16|1102_16|1103_16|1104_16|1105_16|1106_16|1107_16|1108_16|1109_16|1110_16|1111_4|1112_16</t>
  </si>
  <si>
    <t>1301_37|1202_38|1303_39|1304_35|1101_16|1102_16|1103_16|1104_16|1105_16|1106_16|1107_16|1108_16|1109_16|1110_16|1111_8|1112_16</t>
  </si>
  <si>
    <t>1101_5|1102_5|1110_5|1107_5|1103_5|1104_5|1105_5|1106_5|1111_5|1112_5|1108_5|1109_5</t>
  </si>
  <si>
    <t>1101_10|1102_10|1110_10|1107_10|1103_10|1104_10|1105_10|1106_10|1111_10|1112_10|1108_10|1109_10</t>
  </si>
  <si>
    <t>1101_15|1102_15|1110_15|1107_15|1103_15|1104_15|1105_15|1106_15|1111_15|1112_15|1108_15|1109_15</t>
  </si>
  <si>
    <t>1101_20|1102_20|1110_20|1107_20|1103_20|1104_20|1105_20|1106_20|1111_20|1112_20|1108_20|1109_20</t>
  </si>
  <si>
    <t>1101_25|1102_25|1110_25|1107_25|1103_25|1104_25|1105_25|1106_25|1111_25|1112_25|1108_25|1109_25</t>
  </si>
  <si>
    <t>1101_30|1102_30|1110_30|1107_30|1103_30|1104_30|1105_30|1106_30|1111_30|1112_30|1108_30|1109_30</t>
  </si>
  <si>
    <t>1101_35|1102_35|1110_35|1107_35|1103_35|1104_35|1105_35|1106_35|1111_35|1112_35|1108_35|1109_35</t>
  </si>
  <si>
    <t>1101_40|1102_40|1110_40|1107_40|1103_40|1104_40|1105_40|1106_40|1111_40|1112_40|1108_40|1109_40</t>
  </si>
  <si>
    <t>1101_45|1102_45|1110_45|1107_45|1103_45|1104_45|1105_45|1106_45|1111_45|1112_45|1108_45|1109_45</t>
  </si>
  <si>
    <t>1101_50|1102_50|1110_50|1107_50|1103_50|1104_50|1105_50|1106_50|1111_50|1112_50|1108_50|1109_50</t>
  </si>
  <si>
    <t>1101_55|1102_55|1110_55|1107_55|1103_55|1104_55|1105_55|1106_55|1111_55|1112_55|1108_55|1109_55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</si>
</sst>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1"/>
      <name val="微软雅黑"/>
      <charset val="134"/>
    </font>
    <font>
      <b/>
      <sz val="12"/>
      <color rgb="FF0D0D0D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2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3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4">
      <alignment vertical="center"/>
    </xf>
    <xf numFmtId="0" fontId="11" fillId="0" borderId="4">
      <alignment vertical="center"/>
    </xf>
    <xf numFmtId="0" fontId="12" fillId="0" borderId="5">
      <alignment vertical="center"/>
    </xf>
    <xf numFmtId="0" fontId="12" fillId="0" borderId="0">
      <alignment vertical="center"/>
    </xf>
    <xf numFmtId="0" fontId="13" fillId="4" borderId="6">
      <alignment vertical="center"/>
    </xf>
    <xf numFmtId="0" fontId="14" fillId="5" borderId="7">
      <alignment vertical="center"/>
    </xf>
    <xf numFmtId="0" fontId="15" fillId="5" borderId="6">
      <alignment vertical="center"/>
    </xf>
    <xf numFmtId="0" fontId="16" fillId="6" borderId="8">
      <alignment vertical="center"/>
    </xf>
    <xf numFmtId="0" fontId="17" fillId="0" borderId="9">
      <alignment vertical="center"/>
    </xf>
    <xf numFmtId="0" fontId="18" fillId="0" borderId="1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19"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3"/>
  <sheetViews>
    <sheetView tabSelected="1" zoomScale="70" zoomScaleNormal="70" topLeftCell="G1" workbookViewId="0">
      <pane ySplit="3" topLeftCell="A4" activePane="bottomLeft" state="frozen"/>
      <selection/>
      <selection pane="bottomLeft" activeCell="P1" sqref="P$1:P$1048576"/>
    </sheetView>
  </sheetViews>
  <sheetFormatPr defaultColWidth="15.625" defaultRowHeight="20" customHeight="1"/>
  <cols>
    <col min="1" max="1" width="13.25" style="4" customWidth="1"/>
    <col min="2" max="2" width="11.625" style="4" customWidth="1"/>
    <col min="3" max="3" width="11.875" style="4" customWidth="1"/>
    <col min="4" max="4" width="17.5" style="4" customWidth="1"/>
    <col min="5" max="5" width="11.875" style="4" customWidth="1"/>
    <col min="6" max="6" width="14.5" style="5" customWidth="1"/>
    <col min="7" max="9" width="29.25" style="4" customWidth="1"/>
    <col min="10" max="10" width="23.525" style="4" customWidth="1"/>
    <col min="11" max="11" width="26.9" style="4" customWidth="1"/>
    <col min="12" max="12" width="24" style="4" customWidth="1"/>
    <col min="13" max="13" width="29.75" style="4" customWidth="1"/>
    <col min="14" max="14" width="18.5" style="4" customWidth="1"/>
    <col min="15" max="15" width="18.75" style="4" customWidth="1"/>
    <col min="16" max="16" width="30" style="4" customWidth="1"/>
    <col min="17" max="16384" width="15.625" style="4" customWidth="1"/>
  </cols>
  <sheetData>
    <row r="1" s="3" customFormat="1" customHeight="1" spans="1:1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8" t="s">
        <v>6</v>
      </c>
      <c r="H1" s="8" t="s">
        <v>7</v>
      </c>
      <c r="I1" s="6" t="s">
        <v>8</v>
      </c>
      <c r="J1" s="6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3" t="s">
        <v>15</v>
      </c>
      <c r="Q1" s="3" t="s">
        <v>16</v>
      </c>
    </row>
    <row r="2" s="3" customFormat="1" customHeight="1" spans="1:17">
      <c r="A2" s="6" t="s">
        <v>17</v>
      </c>
      <c r="B2" s="6"/>
      <c r="C2" s="6" t="s">
        <v>17</v>
      </c>
      <c r="D2" s="6" t="s">
        <v>18</v>
      </c>
      <c r="E2" s="6" t="s">
        <v>17</v>
      </c>
      <c r="F2" s="7" t="s">
        <v>17</v>
      </c>
      <c r="G2" s="8" t="s">
        <v>17</v>
      </c>
      <c r="H2" s="8" t="s">
        <v>17</v>
      </c>
      <c r="I2" s="8" t="s">
        <v>17</v>
      </c>
      <c r="J2" s="6" t="s">
        <v>17</v>
      </c>
      <c r="K2" s="6" t="s">
        <v>17</v>
      </c>
      <c r="L2" s="6" t="s">
        <v>17</v>
      </c>
      <c r="M2" s="6" t="s">
        <v>17</v>
      </c>
      <c r="N2" s="6" t="s">
        <v>17</v>
      </c>
      <c r="O2" s="6" t="s">
        <v>17</v>
      </c>
      <c r="P2" s="6" t="s">
        <v>18</v>
      </c>
      <c r="Q2" s="3" t="s">
        <v>17</v>
      </c>
    </row>
    <row r="3" s="3" customFormat="1" customHeight="1" spans="1:17">
      <c r="A3" s="6" t="s">
        <v>19</v>
      </c>
      <c r="B3" s="6"/>
      <c r="C3" s="6" t="s">
        <v>20</v>
      </c>
      <c r="D3" s="6" t="s">
        <v>21</v>
      </c>
      <c r="E3" s="6" t="s">
        <v>22</v>
      </c>
      <c r="F3" s="7" t="s">
        <v>23</v>
      </c>
      <c r="G3" s="8" t="s">
        <v>24</v>
      </c>
      <c r="H3" s="8" t="s">
        <v>25</v>
      </c>
      <c r="I3" s="8" t="s">
        <v>26</v>
      </c>
      <c r="J3" s="6" t="s">
        <v>27</v>
      </c>
      <c r="K3" s="10" t="s">
        <v>28</v>
      </c>
      <c r="L3" s="6" t="s">
        <v>29</v>
      </c>
      <c r="M3" s="6" t="s">
        <v>30</v>
      </c>
      <c r="N3" s="11" t="s">
        <v>31</v>
      </c>
      <c r="O3" s="12" t="s">
        <v>32</v>
      </c>
      <c r="P3" s="3" t="s">
        <v>33</v>
      </c>
      <c r="Q3" s="3" t="s">
        <v>34</v>
      </c>
    </row>
    <row r="4" customHeight="1" spans="1:17">
      <c r="A4" s="13"/>
      <c r="B4" s="13"/>
      <c r="C4" s="13"/>
      <c r="D4" s="13"/>
      <c r="E4" s="13"/>
      <c r="F4" s="14"/>
      <c r="G4" s="13"/>
      <c r="H4" s="13"/>
      <c r="I4" s="13"/>
      <c r="J4" s="13"/>
      <c r="K4" s="13"/>
      <c r="L4" s="13"/>
      <c r="M4" s="13"/>
      <c r="N4" s="15"/>
      <c r="O4" s="15"/>
    </row>
    <row r="5" customHeight="1" spans="1:17">
      <c r="A5" s="13">
        <f t="shared" ref="A5:A64" si="0">C5*1000+E5</f>
        <v>1001</v>
      </c>
      <c r="B5" s="13" t="s">
        <v>35</v>
      </c>
      <c r="C5" s="13">
        <v>1</v>
      </c>
      <c r="E5" s="13">
        <v>1</v>
      </c>
      <c r="F5" s="14">
        <v>800</v>
      </c>
      <c r="G5" s="16">
        <v>200</v>
      </c>
      <c r="H5" s="13">
        <v>5</v>
      </c>
      <c r="I5" s="13">
        <v>5</v>
      </c>
      <c r="J5" s="13">
        <v>8</v>
      </c>
      <c r="K5" s="13">
        <v>480</v>
      </c>
      <c r="L5" s="13">
        <v>5</v>
      </c>
      <c r="M5" s="13">
        <v>100</v>
      </c>
      <c r="N5" s="17">
        <v>0</v>
      </c>
      <c r="O5" s="18">
        <v>60</v>
      </c>
      <c r="Q5" s="4">
        <v>1</v>
      </c>
    </row>
    <row r="6" customHeight="1" spans="1:17">
      <c r="A6" s="13">
        <f t="shared" si="0"/>
        <v>1002</v>
      </c>
      <c r="B6" s="13" t="s">
        <v>35</v>
      </c>
      <c r="C6" s="13">
        <v>1</v>
      </c>
      <c r="D6" s="13"/>
      <c r="E6" s="13">
        <v>2</v>
      </c>
      <c r="F6" s="14">
        <v>940</v>
      </c>
      <c r="G6" s="16">
        <v>400</v>
      </c>
      <c r="H6" s="13">
        <v>5</v>
      </c>
      <c r="I6" s="13">
        <v>5</v>
      </c>
      <c r="J6" s="13">
        <f>J5</f>
        <v>8</v>
      </c>
      <c r="K6" s="13">
        <v>480</v>
      </c>
      <c r="L6" s="13">
        <v>5</v>
      </c>
      <c r="M6" s="13">
        <v>1500</v>
      </c>
      <c r="N6" s="17">
        <v>0</v>
      </c>
      <c r="O6" s="18">
        <v>70</v>
      </c>
      <c r="P6" s="4" t="s">
        <v>36</v>
      </c>
      <c r="Q6" s="4">
        <v>1</v>
      </c>
    </row>
    <row r="7" customHeight="1" spans="1:17">
      <c r="A7" s="13">
        <f t="shared" si="0"/>
        <v>1003</v>
      </c>
      <c r="B7" s="13" t="s">
        <v>35</v>
      </c>
      <c r="C7" s="13">
        <v>1</v>
      </c>
      <c r="D7" s="13"/>
      <c r="E7" s="13">
        <v>3</v>
      </c>
      <c r="F7" s="14">
        <v>960</v>
      </c>
      <c r="G7" s="16">
        <v>600</v>
      </c>
      <c r="H7" s="13">
        <v>5</v>
      </c>
      <c r="I7" s="13">
        <v>5</v>
      </c>
      <c r="J7" s="13">
        <f t="shared" ref="J7:J38" si="1">J6</f>
        <v>8</v>
      </c>
      <c r="K7" s="13">
        <v>480</v>
      </c>
      <c r="L7" s="13">
        <v>5</v>
      </c>
      <c r="M7" s="13">
        <v>5400</v>
      </c>
      <c r="N7" s="17">
        <v>0</v>
      </c>
      <c r="O7" s="18">
        <v>80</v>
      </c>
      <c r="P7" s="4" t="s">
        <v>37</v>
      </c>
      <c r="Q7" s="4">
        <v>4</v>
      </c>
    </row>
    <row r="8" customHeight="1" spans="1:17">
      <c r="A8" s="13">
        <f t="shared" si="0"/>
        <v>1004</v>
      </c>
      <c r="B8" s="13" t="s">
        <v>35</v>
      </c>
      <c r="C8" s="13">
        <v>1</v>
      </c>
      <c r="D8" s="13" t="s">
        <v>38</v>
      </c>
      <c r="E8" s="13">
        <v>4</v>
      </c>
      <c r="F8" s="14">
        <v>490</v>
      </c>
      <c r="G8" s="16">
        <v>800</v>
      </c>
      <c r="H8" s="13">
        <v>5</v>
      </c>
      <c r="I8" s="13">
        <v>5</v>
      </c>
      <c r="J8" s="13">
        <f t="shared" si="1"/>
        <v>8</v>
      </c>
      <c r="K8" s="13">
        <v>480</v>
      </c>
      <c r="L8" s="13">
        <v>5</v>
      </c>
      <c r="M8" s="13">
        <v>10800</v>
      </c>
      <c r="N8" s="17">
        <v>0</v>
      </c>
      <c r="O8" s="18">
        <v>90</v>
      </c>
      <c r="P8" s="4" t="s">
        <v>37</v>
      </c>
      <c r="Q8" s="4">
        <v>4</v>
      </c>
    </row>
    <row r="9" customHeight="1" spans="1:17">
      <c r="A9" s="13">
        <f t="shared" si="0"/>
        <v>1005</v>
      </c>
      <c r="B9" s="13" t="s">
        <v>35</v>
      </c>
      <c r="C9" s="13">
        <v>1</v>
      </c>
      <c r="D9" s="13" t="s">
        <v>39</v>
      </c>
      <c r="E9" s="13">
        <v>5</v>
      </c>
      <c r="F9" s="14">
        <v>500</v>
      </c>
      <c r="G9" s="16">
        <v>1000</v>
      </c>
      <c r="H9" s="13">
        <v>5</v>
      </c>
      <c r="I9" s="13">
        <v>5</v>
      </c>
      <c r="J9" s="13">
        <f t="shared" si="1"/>
        <v>8</v>
      </c>
      <c r="K9" s="13">
        <v>480</v>
      </c>
      <c r="L9" s="13">
        <v>5</v>
      </c>
      <c r="M9" s="13">
        <v>10000</v>
      </c>
      <c r="N9" s="17">
        <v>0</v>
      </c>
      <c r="O9" s="18">
        <v>100</v>
      </c>
      <c r="P9" s="4" t="s">
        <v>40</v>
      </c>
      <c r="Q9" s="4">
        <v>5</v>
      </c>
    </row>
    <row r="10" customHeight="1" spans="1:17">
      <c r="A10" s="13">
        <f t="shared" si="0"/>
        <v>1006</v>
      </c>
      <c r="B10" s="13" t="s">
        <v>35</v>
      </c>
      <c r="C10" s="13">
        <v>1</v>
      </c>
      <c r="D10" s="13" t="s">
        <v>41</v>
      </c>
      <c r="E10" s="13">
        <v>6</v>
      </c>
      <c r="F10" s="14">
        <v>510</v>
      </c>
      <c r="G10" s="16">
        <v>1200</v>
      </c>
      <c r="H10" s="13">
        <v>5</v>
      </c>
      <c r="I10" s="13">
        <v>5</v>
      </c>
      <c r="J10" s="13">
        <f t="shared" si="1"/>
        <v>8</v>
      </c>
      <c r="K10" s="13">
        <v>480</v>
      </c>
      <c r="L10" s="13">
        <v>5</v>
      </c>
      <c r="M10" s="13">
        <v>31000</v>
      </c>
      <c r="N10" s="17">
        <v>0</v>
      </c>
      <c r="O10" s="18">
        <v>110</v>
      </c>
      <c r="P10" s="4" t="s">
        <v>42</v>
      </c>
      <c r="Q10" s="4">
        <v>5</v>
      </c>
    </row>
    <row r="11" customHeight="1" spans="1:17">
      <c r="A11" s="13">
        <f t="shared" si="0"/>
        <v>1007</v>
      </c>
      <c r="B11" s="13" t="s">
        <v>35</v>
      </c>
      <c r="C11" s="13">
        <v>1</v>
      </c>
      <c r="D11" s="13" t="s">
        <v>43</v>
      </c>
      <c r="E11" s="13">
        <v>7</v>
      </c>
      <c r="F11" s="14">
        <v>350</v>
      </c>
      <c r="G11" s="16">
        <v>1400</v>
      </c>
      <c r="H11" s="13">
        <v>5</v>
      </c>
      <c r="I11" s="13">
        <v>5</v>
      </c>
      <c r="J11" s="13">
        <f t="shared" si="1"/>
        <v>8</v>
      </c>
      <c r="K11" s="13">
        <v>480</v>
      </c>
      <c r="L11" s="13">
        <v>5</v>
      </c>
      <c r="M11" s="13">
        <v>36200</v>
      </c>
      <c r="N11" s="17">
        <v>0</v>
      </c>
      <c r="O11" s="18">
        <v>120</v>
      </c>
      <c r="P11" s="4" t="s">
        <v>44</v>
      </c>
      <c r="Q11" s="4">
        <v>6</v>
      </c>
    </row>
    <row r="12" customHeight="1" spans="1:17">
      <c r="A12" s="13">
        <f t="shared" si="0"/>
        <v>1008</v>
      </c>
      <c r="B12" s="13" t="s">
        <v>35</v>
      </c>
      <c r="C12" s="13">
        <v>1</v>
      </c>
      <c r="D12" s="13" t="s">
        <v>36</v>
      </c>
      <c r="E12" s="13">
        <v>8</v>
      </c>
      <c r="F12" s="14">
        <v>265</v>
      </c>
      <c r="G12" s="16">
        <v>1600</v>
      </c>
      <c r="H12" s="13">
        <v>5</v>
      </c>
      <c r="I12" s="13">
        <v>5</v>
      </c>
      <c r="J12" s="13">
        <f t="shared" si="1"/>
        <v>8</v>
      </c>
      <c r="K12" s="13">
        <v>480</v>
      </c>
      <c r="L12" s="13">
        <v>5</v>
      </c>
      <c r="M12" s="13">
        <v>61200</v>
      </c>
      <c r="N12" s="17">
        <v>0</v>
      </c>
      <c r="O12" s="18">
        <v>130</v>
      </c>
      <c r="P12" s="4" t="s">
        <v>45</v>
      </c>
      <c r="Q12" s="4">
        <v>6</v>
      </c>
    </row>
    <row r="13" customHeight="1" spans="1:17">
      <c r="A13" s="13">
        <f t="shared" si="0"/>
        <v>1009</v>
      </c>
      <c r="B13" s="13" t="s">
        <v>35</v>
      </c>
      <c r="C13" s="13">
        <v>1</v>
      </c>
      <c r="D13" s="13" t="s">
        <v>36</v>
      </c>
      <c r="E13" s="13">
        <v>9</v>
      </c>
      <c r="F13" s="14">
        <v>270</v>
      </c>
      <c r="G13" s="16">
        <v>1800</v>
      </c>
      <c r="H13" s="13">
        <v>5</v>
      </c>
      <c r="I13" s="13">
        <v>5</v>
      </c>
      <c r="J13" s="13">
        <f t="shared" si="1"/>
        <v>8</v>
      </c>
      <c r="K13" s="13">
        <v>480</v>
      </c>
      <c r="L13" s="13">
        <v>5</v>
      </c>
      <c r="M13" s="13">
        <v>66500</v>
      </c>
      <c r="N13" s="17">
        <v>0</v>
      </c>
      <c r="O13" s="18">
        <v>140</v>
      </c>
      <c r="P13" s="4" t="s">
        <v>46</v>
      </c>
      <c r="Q13" s="4">
        <v>6</v>
      </c>
    </row>
    <row r="14" customHeight="1" spans="1:17">
      <c r="A14" s="13">
        <f t="shared" si="0"/>
        <v>1010</v>
      </c>
      <c r="B14" s="13" t="s">
        <v>35</v>
      </c>
      <c r="C14" s="13">
        <v>1</v>
      </c>
      <c r="D14" s="13" t="s">
        <v>36</v>
      </c>
      <c r="E14" s="13">
        <v>10</v>
      </c>
      <c r="F14" s="14">
        <v>275</v>
      </c>
      <c r="G14" s="16">
        <v>2000</v>
      </c>
      <c r="H14" s="13">
        <v>5</v>
      </c>
      <c r="I14" s="13">
        <v>5</v>
      </c>
      <c r="J14" s="13">
        <f t="shared" si="1"/>
        <v>8</v>
      </c>
      <c r="K14" s="13">
        <v>480</v>
      </c>
      <c r="L14" s="13">
        <v>5</v>
      </c>
      <c r="M14" s="13">
        <v>104000</v>
      </c>
      <c r="N14" s="17">
        <v>0</v>
      </c>
      <c r="O14" s="18">
        <v>150</v>
      </c>
      <c r="P14" s="4" t="s">
        <v>47</v>
      </c>
      <c r="Q14" s="4">
        <v>6</v>
      </c>
    </row>
    <row r="15" s="4" customFormat="1" customHeight="1" spans="1:17">
      <c r="A15" s="13">
        <f t="shared" si="0"/>
        <v>1011</v>
      </c>
      <c r="B15" s="13" t="s">
        <v>35</v>
      </c>
      <c r="C15" s="13">
        <v>1</v>
      </c>
      <c r="D15" s="13" t="s">
        <v>36</v>
      </c>
      <c r="E15" s="13">
        <v>11</v>
      </c>
      <c r="F15" s="14">
        <v>280</v>
      </c>
      <c r="G15" s="16">
        <v>2200</v>
      </c>
      <c r="H15" s="13">
        <v>5</v>
      </c>
      <c r="I15" s="13">
        <v>5</v>
      </c>
      <c r="J15" s="13">
        <f t="shared" si="1"/>
        <v>8</v>
      </c>
      <c r="K15" s="13">
        <v>480</v>
      </c>
      <c r="L15" s="13">
        <v>5</v>
      </c>
      <c r="M15" s="13">
        <v>195500</v>
      </c>
      <c r="N15" s="17">
        <v>0</v>
      </c>
      <c r="O15" s="18">
        <v>160</v>
      </c>
      <c r="P15" s="4" t="s">
        <v>48</v>
      </c>
      <c r="Q15" s="4">
        <v>7</v>
      </c>
    </row>
    <row r="16" s="4" customFormat="1" customHeight="1" spans="1:17">
      <c r="A16" s="13">
        <f t="shared" si="0"/>
        <v>1012</v>
      </c>
      <c r="B16" s="13" t="s">
        <v>35</v>
      </c>
      <c r="C16" s="13">
        <v>1</v>
      </c>
      <c r="D16" s="13" t="s">
        <v>49</v>
      </c>
      <c r="E16" s="13">
        <v>12</v>
      </c>
      <c r="F16" s="14">
        <v>228</v>
      </c>
      <c r="G16" s="16">
        <v>2400</v>
      </c>
      <c r="H16" s="13">
        <v>5</v>
      </c>
      <c r="I16" s="13">
        <v>5</v>
      </c>
      <c r="J16" s="13">
        <f t="shared" si="1"/>
        <v>8</v>
      </c>
      <c r="K16" s="13">
        <v>480</v>
      </c>
      <c r="L16" s="13">
        <v>5</v>
      </c>
      <c r="M16" s="13">
        <v>240300</v>
      </c>
      <c r="N16" s="17">
        <v>0</v>
      </c>
      <c r="O16" s="18">
        <v>170</v>
      </c>
      <c r="P16" s="4" t="s">
        <v>50</v>
      </c>
      <c r="Q16" s="4">
        <v>7</v>
      </c>
    </row>
    <row r="17" s="4" customFormat="1" customHeight="1" spans="1:17">
      <c r="A17" s="13">
        <f t="shared" si="0"/>
        <v>1013</v>
      </c>
      <c r="B17" s="13" t="s">
        <v>35</v>
      </c>
      <c r="C17" s="13">
        <v>1</v>
      </c>
      <c r="D17" s="13" t="s">
        <v>36</v>
      </c>
      <c r="E17" s="13">
        <v>13</v>
      </c>
      <c r="F17" s="14">
        <v>232</v>
      </c>
      <c r="G17" s="16">
        <v>2600</v>
      </c>
      <c r="H17" s="13">
        <v>5</v>
      </c>
      <c r="I17" s="13">
        <v>5</v>
      </c>
      <c r="J17" s="13">
        <f t="shared" si="1"/>
        <v>8</v>
      </c>
      <c r="K17" s="13">
        <v>480</v>
      </c>
      <c r="L17" s="13">
        <v>5</v>
      </c>
      <c r="M17" s="13">
        <v>291400</v>
      </c>
      <c r="N17" s="17">
        <v>0</v>
      </c>
      <c r="O17" s="18">
        <v>180</v>
      </c>
      <c r="P17" s="4" t="s">
        <v>51</v>
      </c>
      <c r="Q17" s="4">
        <v>7</v>
      </c>
    </row>
    <row r="18" s="4" customFormat="1" customHeight="1" spans="1:17">
      <c r="A18" s="13">
        <f t="shared" si="0"/>
        <v>1014</v>
      </c>
      <c r="B18" s="13" t="s">
        <v>35</v>
      </c>
      <c r="C18" s="13">
        <v>1</v>
      </c>
      <c r="D18" s="13" t="s">
        <v>36</v>
      </c>
      <c r="E18" s="13">
        <v>14</v>
      </c>
      <c r="F18" s="14">
        <v>236</v>
      </c>
      <c r="G18" s="16">
        <v>2800</v>
      </c>
      <c r="H18" s="13">
        <v>5</v>
      </c>
      <c r="I18" s="13">
        <v>5</v>
      </c>
      <c r="J18" s="13">
        <f t="shared" si="1"/>
        <v>8</v>
      </c>
      <c r="K18" s="13">
        <v>480</v>
      </c>
      <c r="L18" s="13">
        <v>5</v>
      </c>
      <c r="M18" s="13">
        <v>294600</v>
      </c>
      <c r="N18" s="17">
        <v>0</v>
      </c>
      <c r="O18" s="18">
        <v>190</v>
      </c>
      <c r="P18" s="4" t="s">
        <v>52</v>
      </c>
      <c r="Q18" s="4">
        <v>7</v>
      </c>
    </row>
    <row r="19" s="4" customFormat="1" customHeight="1" spans="1:17">
      <c r="A19" s="13">
        <f t="shared" si="0"/>
        <v>1015</v>
      </c>
      <c r="B19" s="13" t="s">
        <v>35</v>
      </c>
      <c r="C19" s="13">
        <v>1</v>
      </c>
      <c r="D19" s="13" t="s">
        <v>36</v>
      </c>
      <c r="E19" s="13">
        <v>15</v>
      </c>
      <c r="F19" s="14">
        <v>240</v>
      </c>
      <c r="G19" s="16">
        <v>3000</v>
      </c>
      <c r="H19" s="13">
        <v>5</v>
      </c>
      <c r="I19" s="13">
        <v>5</v>
      </c>
      <c r="J19" s="13">
        <f t="shared" si="1"/>
        <v>8</v>
      </c>
      <c r="K19" s="13">
        <v>480</v>
      </c>
      <c r="L19" s="13">
        <v>5</v>
      </c>
      <c r="M19" s="13">
        <v>414200</v>
      </c>
      <c r="N19" s="17">
        <v>0</v>
      </c>
      <c r="O19" s="18">
        <v>200</v>
      </c>
      <c r="P19" s="4" t="s">
        <v>53</v>
      </c>
      <c r="Q19" s="4">
        <v>7</v>
      </c>
    </row>
    <row r="20" s="4" customFormat="1" customHeight="1" spans="1:17">
      <c r="A20" s="13">
        <f t="shared" si="0"/>
        <v>1016</v>
      </c>
      <c r="B20" s="13" t="s">
        <v>35</v>
      </c>
      <c r="C20" s="13">
        <v>1</v>
      </c>
      <c r="D20" s="13" t="s">
        <v>36</v>
      </c>
      <c r="E20" s="13">
        <v>16</v>
      </c>
      <c r="F20" s="14">
        <v>205</v>
      </c>
      <c r="G20" s="16">
        <v>3200</v>
      </c>
      <c r="H20" s="13">
        <v>5</v>
      </c>
      <c r="I20" s="13">
        <v>5</v>
      </c>
      <c r="J20" s="13">
        <f t="shared" si="1"/>
        <v>8</v>
      </c>
      <c r="K20" s="13">
        <v>480</v>
      </c>
      <c r="L20" s="13">
        <v>5</v>
      </c>
      <c r="M20" s="13">
        <v>559300</v>
      </c>
      <c r="N20" s="17">
        <v>0</v>
      </c>
      <c r="O20" s="18">
        <v>210</v>
      </c>
      <c r="P20" s="4" t="s">
        <v>53</v>
      </c>
      <c r="Q20" s="4">
        <v>7</v>
      </c>
    </row>
    <row r="21" s="4" customFormat="1" customHeight="1" spans="1:17">
      <c r="A21" s="13">
        <f t="shared" si="0"/>
        <v>1017</v>
      </c>
      <c r="B21" s="13" t="s">
        <v>35</v>
      </c>
      <c r="C21" s="13">
        <v>1</v>
      </c>
      <c r="D21" s="13" t="s">
        <v>54</v>
      </c>
      <c r="E21" s="13">
        <v>17</v>
      </c>
      <c r="F21" s="14">
        <v>210</v>
      </c>
      <c r="G21" s="16">
        <v>3400</v>
      </c>
      <c r="H21" s="13">
        <v>5</v>
      </c>
      <c r="I21" s="13">
        <v>5</v>
      </c>
      <c r="J21" s="13">
        <f t="shared" si="1"/>
        <v>8</v>
      </c>
      <c r="K21" s="13">
        <v>480</v>
      </c>
      <c r="L21" s="13">
        <v>5</v>
      </c>
      <c r="M21" s="13">
        <v>759900</v>
      </c>
      <c r="N21" s="17">
        <v>0</v>
      </c>
      <c r="O21" s="18">
        <v>220</v>
      </c>
      <c r="P21" s="4" t="s">
        <v>55</v>
      </c>
      <c r="Q21" s="4">
        <v>8</v>
      </c>
    </row>
    <row r="22" s="4" customFormat="1" customHeight="1" spans="1:17">
      <c r="A22" s="13">
        <f t="shared" si="0"/>
        <v>1018</v>
      </c>
      <c r="B22" s="13" t="s">
        <v>35</v>
      </c>
      <c r="C22" s="13">
        <v>1</v>
      </c>
      <c r="D22" s="13" t="s">
        <v>36</v>
      </c>
      <c r="E22" s="13">
        <v>18</v>
      </c>
      <c r="F22" s="14">
        <v>210</v>
      </c>
      <c r="G22" s="16">
        <v>3600</v>
      </c>
      <c r="H22" s="13">
        <v>5</v>
      </c>
      <c r="I22" s="13">
        <v>5</v>
      </c>
      <c r="J22" s="13">
        <f t="shared" si="1"/>
        <v>8</v>
      </c>
      <c r="K22" s="13">
        <v>480</v>
      </c>
      <c r="L22" s="13">
        <v>5</v>
      </c>
      <c r="M22" s="13">
        <v>752000</v>
      </c>
      <c r="N22" s="17">
        <v>0</v>
      </c>
      <c r="O22" s="18">
        <v>230</v>
      </c>
      <c r="P22" s="4" t="s">
        <v>56</v>
      </c>
      <c r="Q22" s="4">
        <v>8</v>
      </c>
    </row>
    <row r="23" s="4" customFormat="1" customHeight="1" spans="1:17">
      <c r="A23" s="13">
        <f t="shared" si="0"/>
        <v>1019</v>
      </c>
      <c r="B23" s="13" t="s">
        <v>35</v>
      </c>
      <c r="C23" s="13">
        <v>1</v>
      </c>
      <c r="D23" s="13" t="s">
        <v>36</v>
      </c>
      <c r="E23" s="13">
        <v>19</v>
      </c>
      <c r="F23" s="14">
        <v>215</v>
      </c>
      <c r="G23" s="16">
        <v>3800</v>
      </c>
      <c r="H23" s="13">
        <v>5</v>
      </c>
      <c r="I23" s="13">
        <v>5</v>
      </c>
      <c r="J23" s="13">
        <f t="shared" si="1"/>
        <v>8</v>
      </c>
      <c r="K23" s="13">
        <v>480</v>
      </c>
      <c r="L23" s="13">
        <v>5</v>
      </c>
      <c r="M23" s="13">
        <v>999500</v>
      </c>
      <c r="N23" s="17">
        <v>0</v>
      </c>
      <c r="O23" s="18">
        <v>240</v>
      </c>
      <c r="P23" s="4" t="s">
        <v>57</v>
      </c>
      <c r="Q23" s="4">
        <v>8</v>
      </c>
    </row>
    <row r="24" s="4" customFormat="1" customHeight="1" spans="1:17">
      <c r="A24" s="13">
        <f t="shared" si="0"/>
        <v>1020</v>
      </c>
      <c r="B24" s="13" t="s">
        <v>35</v>
      </c>
      <c r="C24" s="13">
        <v>1</v>
      </c>
      <c r="D24" s="13" t="s">
        <v>36</v>
      </c>
      <c r="E24" s="13">
        <v>20</v>
      </c>
      <c r="F24" s="14">
        <v>188</v>
      </c>
      <c r="G24" s="16">
        <v>4000</v>
      </c>
      <c r="H24" s="13">
        <v>5</v>
      </c>
      <c r="I24" s="13">
        <v>5</v>
      </c>
      <c r="J24" s="13">
        <f t="shared" si="1"/>
        <v>8</v>
      </c>
      <c r="K24" s="13">
        <v>480</v>
      </c>
      <c r="L24" s="13">
        <v>5</v>
      </c>
      <c r="M24" s="13">
        <v>983100</v>
      </c>
      <c r="N24" s="17">
        <v>0</v>
      </c>
      <c r="O24" s="18">
        <v>250</v>
      </c>
      <c r="P24" s="4" t="s">
        <v>58</v>
      </c>
      <c r="Q24" s="4">
        <v>8</v>
      </c>
    </row>
    <row r="25" s="4" customFormat="1" customHeight="1" spans="1:17">
      <c r="A25" s="13">
        <f t="shared" si="0"/>
        <v>1021</v>
      </c>
      <c r="B25" s="13" t="s">
        <v>35</v>
      </c>
      <c r="C25" s="13">
        <v>1</v>
      </c>
      <c r="D25" s="13" t="s">
        <v>36</v>
      </c>
      <c r="E25" s="13">
        <v>21</v>
      </c>
      <c r="F25" s="14">
        <v>190</v>
      </c>
      <c r="G25" s="16">
        <v>4200</v>
      </c>
      <c r="H25" s="13">
        <v>5</v>
      </c>
      <c r="I25" s="13">
        <v>5</v>
      </c>
      <c r="J25" s="13">
        <f t="shared" si="1"/>
        <v>8</v>
      </c>
      <c r="K25" s="13">
        <v>480</v>
      </c>
      <c r="L25" s="13">
        <v>5</v>
      </c>
      <c r="M25" s="13">
        <v>1637200</v>
      </c>
      <c r="N25" s="17">
        <v>0</v>
      </c>
      <c r="O25" s="18">
        <v>260</v>
      </c>
      <c r="P25" s="4" t="s">
        <v>59</v>
      </c>
      <c r="Q25" s="4">
        <v>8</v>
      </c>
    </row>
    <row r="26" s="4" customFormat="1" customHeight="1" spans="1:17">
      <c r="A26" s="13">
        <f t="shared" si="0"/>
        <v>1022</v>
      </c>
      <c r="B26" s="13" t="s">
        <v>35</v>
      </c>
      <c r="C26" s="13">
        <v>1</v>
      </c>
      <c r="D26" s="13" t="s">
        <v>60</v>
      </c>
      <c r="E26" s="13">
        <v>22</v>
      </c>
      <c r="F26" s="14">
        <v>192</v>
      </c>
      <c r="G26" s="16">
        <v>4400</v>
      </c>
      <c r="H26" s="13">
        <v>5</v>
      </c>
      <c r="I26" s="13">
        <v>5</v>
      </c>
      <c r="J26" s="13">
        <f t="shared" si="1"/>
        <v>8</v>
      </c>
      <c r="K26" s="13">
        <v>480</v>
      </c>
      <c r="L26" s="13">
        <v>5</v>
      </c>
      <c r="M26" s="13">
        <v>1607900</v>
      </c>
      <c r="N26" s="17">
        <v>0</v>
      </c>
      <c r="O26" s="18">
        <v>270</v>
      </c>
      <c r="P26" s="4" t="s">
        <v>61</v>
      </c>
      <c r="Q26" s="4">
        <v>8</v>
      </c>
    </row>
    <row r="27" s="4" customFormat="1" customHeight="1" spans="1:17">
      <c r="A27" s="13">
        <f t="shared" si="0"/>
        <v>1023</v>
      </c>
      <c r="B27" s="13" t="s">
        <v>35</v>
      </c>
      <c r="C27" s="13">
        <v>1</v>
      </c>
      <c r="D27" s="13" t="s">
        <v>36</v>
      </c>
      <c r="E27" s="13">
        <v>23</v>
      </c>
      <c r="F27" s="14">
        <v>195</v>
      </c>
      <c r="G27" s="16">
        <v>4600</v>
      </c>
      <c r="H27" s="13">
        <v>5</v>
      </c>
      <c r="I27" s="13">
        <v>5</v>
      </c>
      <c r="J27" s="13">
        <f t="shared" si="1"/>
        <v>8</v>
      </c>
      <c r="K27" s="13">
        <v>480</v>
      </c>
      <c r="L27" s="13">
        <v>5</v>
      </c>
      <c r="M27" s="13">
        <v>2057900</v>
      </c>
      <c r="N27" s="17">
        <v>0</v>
      </c>
      <c r="O27" s="18">
        <v>280</v>
      </c>
      <c r="P27" s="4" t="s">
        <v>62</v>
      </c>
      <c r="Q27" s="4">
        <v>9</v>
      </c>
    </row>
    <row r="28" s="4" customFormat="1" customHeight="1" spans="1:17">
      <c r="A28" s="13">
        <f t="shared" si="0"/>
        <v>1024</v>
      </c>
      <c r="B28" s="13" t="s">
        <v>35</v>
      </c>
      <c r="C28" s="13">
        <v>1</v>
      </c>
      <c r="D28" s="13" t="s">
        <v>36</v>
      </c>
      <c r="E28" s="13">
        <v>24</v>
      </c>
      <c r="F28" s="14">
        <v>173</v>
      </c>
      <c r="G28" s="16">
        <v>4800</v>
      </c>
      <c r="H28" s="13">
        <v>5</v>
      </c>
      <c r="I28" s="13">
        <v>5</v>
      </c>
      <c r="J28" s="13">
        <f t="shared" si="1"/>
        <v>8</v>
      </c>
      <c r="K28" s="13">
        <v>480</v>
      </c>
      <c r="L28" s="13">
        <v>5</v>
      </c>
      <c r="M28" s="13">
        <v>2018500</v>
      </c>
      <c r="N28" s="17">
        <v>0</v>
      </c>
      <c r="O28" s="18">
        <v>290</v>
      </c>
      <c r="P28" s="4" t="s">
        <v>63</v>
      </c>
      <c r="Q28" s="4">
        <v>9</v>
      </c>
    </row>
    <row r="29" s="4" customFormat="1" customHeight="1" spans="1:17">
      <c r="A29" s="13">
        <f t="shared" si="0"/>
        <v>1025</v>
      </c>
      <c r="B29" s="13" t="s">
        <v>35</v>
      </c>
      <c r="C29" s="13">
        <v>1</v>
      </c>
      <c r="D29" s="13" t="s">
        <v>36</v>
      </c>
      <c r="E29" s="13">
        <v>25</v>
      </c>
      <c r="F29" s="14">
        <v>175</v>
      </c>
      <c r="G29" s="16">
        <v>5000</v>
      </c>
      <c r="H29" s="13">
        <v>5</v>
      </c>
      <c r="I29" s="13">
        <v>5</v>
      </c>
      <c r="J29" s="13">
        <f t="shared" si="1"/>
        <v>8</v>
      </c>
      <c r="K29" s="13">
        <v>480</v>
      </c>
      <c r="L29" s="13">
        <v>5</v>
      </c>
      <c r="M29" s="13">
        <v>2549600</v>
      </c>
      <c r="N29" s="17">
        <v>0</v>
      </c>
      <c r="O29" s="18">
        <v>300</v>
      </c>
      <c r="P29" s="4" t="s">
        <v>64</v>
      </c>
      <c r="Q29" s="4">
        <v>9</v>
      </c>
    </row>
    <row r="30" s="4" customFormat="1" customHeight="1" spans="1:17">
      <c r="A30" s="13">
        <f t="shared" si="0"/>
        <v>1026</v>
      </c>
      <c r="B30" s="13" t="s">
        <v>35</v>
      </c>
      <c r="C30" s="13">
        <v>1</v>
      </c>
      <c r="D30" s="13" t="s">
        <v>36</v>
      </c>
      <c r="E30" s="13">
        <v>26</v>
      </c>
      <c r="F30" s="14">
        <v>178</v>
      </c>
      <c r="G30" s="16">
        <v>5200</v>
      </c>
      <c r="H30" s="13">
        <v>5</v>
      </c>
      <c r="I30" s="13">
        <v>5</v>
      </c>
      <c r="J30" s="13">
        <f t="shared" si="1"/>
        <v>8</v>
      </c>
      <c r="K30" s="13">
        <v>480</v>
      </c>
      <c r="L30" s="13">
        <v>5</v>
      </c>
      <c r="M30" s="13">
        <v>3090000</v>
      </c>
      <c r="N30" s="17">
        <v>0</v>
      </c>
      <c r="O30" s="18">
        <v>310</v>
      </c>
      <c r="P30" s="4" t="s">
        <v>64</v>
      </c>
      <c r="Q30" s="4">
        <v>9</v>
      </c>
    </row>
    <row r="31" s="4" customFormat="1" customHeight="1" spans="1:17">
      <c r="A31" s="13">
        <f t="shared" si="0"/>
        <v>1027</v>
      </c>
      <c r="B31" s="13" t="s">
        <v>35</v>
      </c>
      <c r="C31" s="13">
        <v>1</v>
      </c>
      <c r="D31" s="13" t="s">
        <v>65</v>
      </c>
      <c r="E31" s="13">
        <v>27</v>
      </c>
      <c r="F31" s="14">
        <v>180</v>
      </c>
      <c r="G31" s="16">
        <v>5400</v>
      </c>
      <c r="H31" s="13">
        <v>5</v>
      </c>
      <c r="I31" s="13">
        <v>5</v>
      </c>
      <c r="J31" s="13">
        <f t="shared" si="1"/>
        <v>8</v>
      </c>
      <c r="K31" s="13">
        <v>480</v>
      </c>
      <c r="L31" s="13">
        <v>5</v>
      </c>
      <c r="M31" s="13">
        <v>3834500</v>
      </c>
      <c r="N31" s="17">
        <v>0</v>
      </c>
      <c r="O31" s="18">
        <v>320</v>
      </c>
      <c r="P31" s="4" t="s">
        <v>66</v>
      </c>
      <c r="Q31" s="4">
        <v>9</v>
      </c>
    </row>
    <row r="32" s="4" customFormat="1" customHeight="1" spans="1:17">
      <c r="A32" s="13">
        <f t="shared" si="0"/>
        <v>1028</v>
      </c>
      <c r="B32" s="13" t="s">
        <v>35</v>
      </c>
      <c r="C32" s="13">
        <v>1</v>
      </c>
      <c r="D32" s="13" t="s">
        <v>36</v>
      </c>
      <c r="E32" s="13">
        <v>28</v>
      </c>
      <c r="F32" s="14">
        <v>163</v>
      </c>
      <c r="G32" s="16">
        <v>5600</v>
      </c>
      <c r="H32" s="13">
        <v>5</v>
      </c>
      <c r="I32" s="13">
        <v>5</v>
      </c>
      <c r="J32" s="13">
        <f t="shared" si="1"/>
        <v>8</v>
      </c>
      <c r="K32" s="13">
        <v>480</v>
      </c>
      <c r="L32" s="13">
        <v>5</v>
      </c>
      <c r="M32" s="13">
        <v>3758300</v>
      </c>
      <c r="N32" s="17">
        <v>0</v>
      </c>
      <c r="O32" s="18">
        <v>330</v>
      </c>
      <c r="P32" s="4" t="s">
        <v>67</v>
      </c>
      <c r="Q32" s="4">
        <v>9</v>
      </c>
    </row>
    <row r="33" s="4" customFormat="1" customHeight="1" spans="1:17">
      <c r="A33" s="13">
        <f t="shared" si="0"/>
        <v>1029</v>
      </c>
      <c r="B33" s="13" t="s">
        <v>35</v>
      </c>
      <c r="C33" s="13">
        <v>1</v>
      </c>
      <c r="D33" s="13" t="s">
        <v>36</v>
      </c>
      <c r="E33" s="13">
        <v>29</v>
      </c>
      <c r="F33" s="14">
        <v>165</v>
      </c>
      <c r="G33" s="16">
        <v>5800</v>
      </c>
      <c r="H33" s="13">
        <v>5</v>
      </c>
      <c r="I33" s="13">
        <v>5</v>
      </c>
      <c r="J33" s="13">
        <f t="shared" si="1"/>
        <v>8</v>
      </c>
      <c r="K33" s="13">
        <v>480</v>
      </c>
      <c r="L33" s="13">
        <v>5</v>
      </c>
      <c r="M33" s="13">
        <v>4613400</v>
      </c>
      <c r="N33" s="17">
        <v>0</v>
      </c>
      <c r="O33" s="18">
        <v>340</v>
      </c>
      <c r="P33" s="4" t="s">
        <v>68</v>
      </c>
      <c r="Q33" s="4">
        <v>9</v>
      </c>
    </row>
    <row r="34" s="4" customFormat="1" customHeight="1" spans="1:17">
      <c r="A34" s="13">
        <f t="shared" si="0"/>
        <v>1030</v>
      </c>
      <c r="B34" s="13" t="s">
        <v>35</v>
      </c>
      <c r="C34" s="13">
        <v>1</v>
      </c>
      <c r="D34" s="13" t="s">
        <v>36</v>
      </c>
      <c r="E34" s="13">
        <v>30</v>
      </c>
      <c r="F34" s="14">
        <v>167</v>
      </c>
      <c r="G34" s="16">
        <v>6000</v>
      </c>
      <c r="H34" s="13">
        <v>5</v>
      </c>
      <c r="I34" s="13">
        <v>5</v>
      </c>
      <c r="J34" s="13">
        <f t="shared" si="1"/>
        <v>8</v>
      </c>
      <c r="K34" s="13">
        <v>480</v>
      </c>
      <c r="L34" s="13">
        <v>5</v>
      </c>
      <c r="M34" s="13">
        <v>4516900</v>
      </c>
      <c r="N34" s="17">
        <v>0</v>
      </c>
      <c r="O34" s="18">
        <v>350</v>
      </c>
      <c r="P34" s="4" t="s">
        <v>69</v>
      </c>
      <c r="Q34" s="4">
        <v>10</v>
      </c>
    </row>
    <row r="35" s="4" customFormat="1" customHeight="1" spans="1:17">
      <c r="A35" s="13">
        <f t="shared" si="0"/>
        <v>1031</v>
      </c>
      <c r="B35" s="13" t="s">
        <v>35</v>
      </c>
      <c r="C35" s="13">
        <v>1</v>
      </c>
      <c r="D35" s="13" t="s">
        <v>36</v>
      </c>
      <c r="E35" s="13">
        <v>31</v>
      </c>
      <c r="F35" s="14">
        <v>169</v>
      </c>
      <c r="G35" s="16">
        <v>6200</v>
      </c>
      <c r="H35" s="13">
        <v>5</v>
      </c>
      <c r="I35" s="13">
        <v>5</v>
      </c>
      <c r="J35" s="13">
        <f t="shared" si="1"/>
        <v>8</v>
      </c>
      <c r="K35" s="13">
        <v>480</v>
      </c>
      <c r="L35" s="13">
        <v>5</v>
      </c>
      <c r="M35" s="13">
        <v>6611700</v>
      </c>
      <c r="N35" s="17">
        <v>0</v>
      </c>
      <c r="O35" s="18">
        <v>360</v>
      </c>
      <c r="P35" s="4" t="s">
        <v>70</v>
      </c>
      <c r="Q35" s="4">
        <v>10</v>
      </c>
    </row>
    <row r="36" s="4" customFormat="1" customHeight="1" spans="1:17">
      <c r="A36" s="13">
        <f t="shared" si="0"/>
        <v>1032</v>
      </c>
      <c r="B36" s="13" t="s">
        <v>35</v>
      </c>
      <c r="C36" s="13">
        <v>1</v>
      </c>
      <c r="D36" s="13" t="s">
        <v>71</v>
      </c>
      <c r="E36" s="13">
        <v>32</v>
      </c>
      <c r="F36" s="14">
        <v>154</v>
      </c>
      <c r="G36" s="16">
        <v>6400</v>
      </c>
      <c r="H36" s="13">
        <v>5</v>
      </c>
      <c r="I36" s="13">
        <v>5</v>
      </c>
      <c r="J36" s="13">
        <f t="shared" si="1"/>
        <v>8</v>
      </c>
      <c r="K36" s="13">
        <v>480</v>
      </c>
      <c r="L36" s="13">
        <v>5</v>
      </c>
      <c r="M36" s="13">
        <v>6489900</v>
      </c>
      <c r="N36" s="17">
        <v>0</v>
      </c>
      <c r="O36" s="18">
        <v>370</v>
      </c>
      <c r="P36" s="4" t="s">
        <v>72</v>
      </c>
      <c r="Q36" s="4">
        <v>10</v>
      </c>
    </row>
    <row r="37" s="4" customFormat="1" customHeight="1" spans="1:17">
      <c r="A37" s="13">
        <f t="shared" si="0"/>
        <v>1033</v>
      </c>
      <c r="B37" s="13" t="s">
        <v>35</v>
      </c>
      <c r="C37" s="13">
        <v>1</v>
      </c>
      <c r="D37" s="13" t="s">
        <v>36</v>
      </c>
      <c r="E37" s="13">
        <v>33</v>
      </c>
      <c r="F37" s="14">
        <v>156</v>
      </c>
      <c r="G37" s="16">
        <v>6600</v>
      </c>
      <c r="H37" s="13">
        <v>5</v>
      </c>
      <c r="I37" s="13">
        <v>5</v>
      </c>
      <c r="J37" s="13">
        <f t="shared" si="1"/>
        <v>8</v>
      </c>
      <c r="K37" s="13">
        <v>480</v>
      </c>
      <c r="L37" s="13">
        <v>5</v>
      </c>
      <c r="M37" s="13">
        <v>7792700</v>
      </c>
      <c r="N37" s="17">
        <v>0</v>
      </c>
      <c r="O37" s="18">
        <v>380</v>
      </c>
      <c r="P37" s="4" t="s">
        <v>73</v>
      </c>
      <c r="Q37" s="4">
        <v>10</v>
      </c>
    </row>
    <row r="38" s="4" customFormat="1" customHeight="1" spans="1:17">
      <c r="A38" s="13">
        <f t="shared" si="0"/>
        <v>1034</v>
      </c>
      <c r="B38" s="13" t="s">
        <v>35</v>
      </c>
      <c r="C38" s="13">
        <v>1</v>
      </c>
      <c r="D38" s="13" t="s">
        <v>36</v>
      </c>
      <c r="E38" s="13">
        <v>34</v>
      </c>
      <c r="F38" s="14">
        <v>158</v>
      </c>
      <c r="G38" s="16">
        <v>6800</v>
      </c>
      <c r="H38" s="13">
        <v>5</v>
      </c>
      <c r="I38" s="13">
        <v>5</v>
      </c>
      <c r="J38" s="13">
        <f t="shared" si="1"/>
        <v>8</v>
      </c>
      <c r="K38" s="13">
        <v>480</v>
      </c>
      <c r="L38" s="13">
        <v>5</v>
      </c>
      <c r="M38" s="13">
        <v>8436900</v>
      </c>
      <c r="N38" s="17">
        <v>0</v>
      </c>
      <c r="O38" s="18">
        <v>390</v>
      </c>
      <c r="P38" s="4" t="s">
        <v>74</v>
      </c>
      <c r="Q38" s="4">
        <v>10</v>
      </c>
    </row>
    <row r="39" s="4" customFormat="1" customHeight="1" spans="1:17">
      <c r="A39" s="13">
        <f t="shared" si="0"/>
        <v>1035</v>
      </c>
      <c r="B39" s="13" t="s">
        <v>35</v>
      </c>
      <c r="C39" s="13">
        <v>1</v>
      </c>
      <c r="D39" s="13" t="s">
        <v>36</v>
      </c>
      <c r="E39" s="13">
        <v>35</v>
      </c>
      <c r="F39" s="14">
        <v>160</v>
      </c>
      <c r="G39" s="16">
        <v>7000</v>
      </c>
      <c r="H39" s="13">
        <v>5</v>
      </c>
      <c r="I39" s="13">
        <v>5</v>
      </c>
      <c r="J39" s="13">
        <f t="shared" ref="J39:J70" si="2">J38</f>
        <v>8</v>
      </c>
      <c r="K39" s="13">
        <v>480</v>
      </c>
      <c r="L39" s="13">
        <v>5</v>
      </c>
      <c r="M39" s="13">
        <v>9117900</v>
      </c>
      <c r="N39" s="17">
        <v>0</v>
      </c>
      <c r="O39" s="18">
        <v>400</v>
      </c>
      <c r="P39" s="4" t="s">
        <v>75</v>
      </c>
      <c r="Q39" s="4">
        <v>10</v>
      </c>
    </row>
    <row r="40" s="4" customFormat="1" customHeight="1" spans="1:17">
      <c r="A40" s="13">
        <f t="shared" si="0"/>
        <v>1036</v>
      </c>
      <c r="B40" s="13" t="s">
        <v>35</v>
      </c>
      <c r="C40" s="13">
        <v>1</v>
      </c>
      <c r="D40" s="13" t="s">
        <v>36</v>
      </c>
      <c r="E40" s="13">
        <v>36</v>
      </c>
      <c r="F40" s="14">
        <v>162</v>
      </c>
      <c r="G40" s="16">
        <v>7200</v>
      </c>
      <c r="H40" s="13">
        <v>5</v>
      </c>
      <c r="I40" s="13">
        <v>5</v>
      </c>
      <c r="J40" s="13">
        <f t="shared" si="2"/>
        <v>8</v>
      </c>
      <c r="K40" s="13">
        <v>480</v>
      </c>
      <c r="L40" s="13">
        <v>5</v>
      </c>
      <c r="M40" s="13">
        <v>11631700</v>
      </c>
      <c r="N40" s="17">
        <v>0</v>
      </c>
      <c r="O40" s="18">
        <v>410</v>
      </c>
      <c r="P40" s="4" t="s">
        <v>76</v>
      </c>
      <c r="Q40" s="4">
        <v>10</v>
      </c>
    </row>
    <row r="41" s="4" customFormat="1" customHeight="1" spans="1:17">
      <c r="A41" s="13">
        <f t="shared" si="0"/>
        <v>1037</v>
      </c>
      <c r="B41" s="13" t="s">
        <v>35</v>
      </c>
      <c r="C41" s="13">
        <v>1</v>
      </c>
      <c r="D41" s="13" t="s">
        <v>77</v>
      </c>
      <c r="E41" s="13">
        <v>37</v>
      </c>
      <c r="F41" s="14">
        <v>164</v>
      </c>
      <c r="G41" s="16">
        <v>7400</v>
      </c>
      <c r="H41" s="13">
        <v>5</v>
      </c>
      <c r="I41" s="13">
        <v>5</v>
      </c>
      <c r="J41" s="13">
        <f t="shared" si="2"/>
        <v>8</v>
      </c>
      <c r="K41" s="13">
        <v>480</v>
      </c>
      <c r="L41" s="13">
        <v>5</v>
      </c>
      <c r="M41" s="13">
        <v>11449200</v>
      </c>
      <c r="N41" s="17">
        <v>0</v>
      </c>
      <c r="O41" s="18">
        <v>420</v>
      </c>
      <c r="P41" s="4" t="s">
        <v>78</v>
      </c>
      <c r="Q41" s="4">
        <v>11</v>
      </c>
    </row>
    <row r="42" s="4" customFormat="1" customHeight="1" spans="1:17">
      <c r="A42" s="13">
        <f t="shared" si="0"/>
        <v>1038</v>
      </c>
      <c r="B42" s="13" t="s">
        <v>35</v>
      </c>
      <c r="C42" s="13">
        <v>1</v>
      </c>
      <c r="D42" s="13" t="s">
        <v>36</v>
      </c>
      <c r="E42" s="13">
        <v>38</v>
      </c>
      <c r="F42" s="14">
        <v>166</v>
      </c>
      <c r="G42" s="16">
        <v>7600</v>
      </c>
      <c r="H42" s="13">
        <v>5</v>
      </c>
      <c r="I42" s="13">
        <v>5</v>
      </c>
      <c r="J42" s="13">
        <f t="shared" si="2"/>
        <v>8</v>
      </c>
      <c r="K42" s="13">
        <v>480</v>
      </c>
      <c r="L42" s="13">
        <v>5</v>
      </c>
      <c r="M42" s="13">
        <v>13442600</v>
      </c>
      <c r="N42" s="17">
        <v>0</v>
      </c>
      <c r="O42" s="18">
        <v>430</v>
      </c>
      <c r="P42" s="4" t="s">
        <v>79</v>
      </c>
      <c r="Q42" s="4">
        <v>11</v>
      </c>
    </row>
    <row r="43" s="4" customFormat="1" customHeight="1" spans="1:17">
      <c r="A43" s="13">
        <f t="shared" si="0"/>
        <v>1039</v>
      </c>
      <c r="B43" s="13" t="s">
        <v>35</v>
      </c>
      <c r="C43" s="13">
        <v>1</v>
      </c>
      <c r="D43" s="13" t="s">
        <v>36</v>
      </c>
      <c r="E43" s="13">
        <v>39</v>
      </c>
      <c r="F43" s="14">
        <v>168</v>
      </c>
      <c r="G43" s="16">
        <v>7800</v>
      </c>
      <c r="H43" s="13">
        <v>5</v>
      </c>
      <c r="I43" s="13">
        <v>5</v>
      </c>
      <c r="J43" s="13">
        <f t="shared" si="2"/>
        <v>8</v>
      </c>
      <c r="K43" s="13">
        <v>480</v>
      </c>
      <c r="L43" s="13">
        <v>5</v>
      </c>
      <c r="M43" s="13">
        <v>13229700</v>
      </c>
      <c r="N43" s="17">
        <v>0</v>
      </c>
      <c r="O43" s="18">
        <v>440</v>
      </c>
      <c r="P43" s="4" t="s">
        <v>80</v>
      </c>
      <c r="Q43" s="4">
        <v>11</v>
      </c>
    </row>
    <row r="44" s="4" customFormat="1" customHeight="1" spans="1:17">
      <c r="A44" s="13">
        <f t="shared" si="0"/>
        <v>1040</v>
      </c>
      <c r="B44" s="13" t="s">
        <v>35</v>
      </c>
      <c r="C44" s="13">
        <v>1</v>
      </c>
      <c r="D44" s="13" t="s">
        <v>36</v>
      </c>
      <c r="E44" s="13">
        <v>40</v>
      </c>
      <c r="F44" s="14">
        <v>170</v>
      </c>
      <c r="G44" s="16">
        <v>8000</v>
      </c>
      <c r="H44" s="13">
        <v>5</v>
      </c>
      <c r="I44" s="13">
        <v>5</v>
      </c>
      <c r="J44" s="13">
        <f t="shared" si="2"/>
        <v>8</v>
      </c>
      <c r="K44" s="13">
        <v>480</v>
      </c>
      <c r="L44" s="13">
        <v>5</v>
      </c>
      <c r="M44" s="13">
        <v>15434300</v>
      </c>
      <c r="N44" s="17">
        <v>0</v>
      </c>
      <c r="O44" s="18">
        <v>450</v>
      </c>
      <c r="P44" s="4" t="s">
        <v>81</v>
      </c>
      <c r="Q44" s="4">
        <v>11</v>
      </c>
    </row>
    <row r="45" s="4" customFormat="1" customHeight="1" spans="1:17">
      <c r="A45" s="13">
        <f t="shared" si="0"/>
        <v>1041</v>
      </c>
      <c r="B45" s="13" t="s">
        <v>35</v>
      </c>
      <c r="C45" s="13">
        <v>1</v>
      </c>
      <c r="D45" s="13" t="s">
        <v>36</v>
      </c>
      <c r="E45" s="13">
        <v>41</v>
      </c>
      <c r="F45" s="14">
        <v>172</v>
      </c>
      <c r="G45" s="16">
        <v>8200</v>
      </c>
      <c r="H45" s="13">
        <v>5</v>
      </c>
      <c r="I45" s="13">
        <v>5</v>
      </c>
      <c r="J45" s="13">
        <f t="shared" si="2"/>
        <v>8</v>
      </c>
      <c r="K45" s="13">
        <v>480</v>
      </c>
      <c r="L45" s="13">
        <v>5</v>
      </c>
      <c r="M45" s="13">
        <v>17769300</v>
      </c>
      <c r="N45" s="17">
        <v>0</v>
      </c>
      <c r="O45" s="18">
        <v>460</v>
      </c>
      <c r="P45" s="4" t="s">
        <v>81</v>
      </c>
      <c r="Q45" s="4">
        <v>11</v>
      </c>
    </row>
    <row r="46" s="4" customFormat="1" customHeight="1" spans="1:17">
      <c r="A46" s="13">
        <f t="shared" si="0"/>
        <v>1042</v>
      </c>
      <c r="B46" s="13" t="s">
        <v>35</v>
      </c>
      <c r="C46" s="13">
        <v>1</v>
      </c>
      <c r="D46" s="13" t="s">
        <v>82</v>
      </c>
      <c r="E46" s="13">
        <v>42</v>
      </c>
      <c r="F46" s="14">
        <v>174</v>
      </c>
      <c r="G46" s="16">
        <v>8400</v>
      </c>
      <c r="H46" s="13">
        <v>5</v>
      </c>
      <c r="I46" s="13">
        <v>5</v>
      </c>
      <c r="J46" s="13">
        <f t="shared" si="2"/>
        <v>8</v>
      </c>
      <c r="K46" s="13">
        <v>480</v>
      </c>
      <c r="L46" s="13">
        <v>5</v>
      </c>
      <c r="M46" s="13">
        <v>20542800</v>
      </c>
      <c r="N46" s="17">
        <v>0</v>
      </c>
      <c r="O46" s="18">
        <v>470</v>
      </c>
      <c r="P46" s="4" t="s">
        <v>83</v>
      </c>
      <c r="Q46" s="4">
        <v>11</v>
      </c>
    </row>
    <row r="47" s="4" customFormat="1" customHeight="1" spans="1:17">
      <c r="A47" s="13">
        <f t="shared" si="0"/>
        <v>1043</v>
      </c>
      <c r="B47" s="13" t="s">
        <v>35</v>
      </c>
      <c r="C47" s="13">
        <v>1</v>
      </c>
      <c r="D47" s="13" t="s">
        <v>36</v>
      </c>
      <c r="E47" s="13">
        <v>43</v>
      </c>
      <c r="F47" s="14">
        <v>176</v>
      </c>
      <c r="G47" s="16">
        <v>8600</v>
      </c>
      <c r="H47" s="13">
        <v>5</v>
      </c>
      <c r="I47" s="13">
        <v>5</v>
      </c>
      <c r="J47" s="13">
        <f t="shared" si="2"/>
        <v>8</v>
      </c>
      <c r="K47" s="13">
        <v>480</v>
      </c>
      <c r="L47" s="13">
        <v>5</v>
      </c>
      <c r="M47" s="13">
        <v>20277200</v>
      </c>
      <c r="N47" s="17">
        <v>0</v>
      </c>
      <c r="O47" s="18">
        <v>480</v>
      </c>
      <c r="P47" s="4" t="s">
        <v>84</v>
      </c>
      <c r="Q47" s="4">
        <v>12</v>
      </c>
    </row>
    <row r="48" s="4" customFormat="1" customHeight="1" spans="1:17">
      <c r="A48" s="13">
        <f t="shared" si="0"/>
        <v>1044</v>
      </c>
      <c r="B48" s="13" t="s">
        <v>35</v>
      </c>
      <c r="C48" s="13">
        <v>1</v>
      </c>
      <c r="D48" s="13" t="s">
        <v>36</v>
      </c>
      <c r="E48" s="13">
        <v>44</v>
      </c>
      <c r="F48" s="14">
        <v>178</v>
      </c>
      <c r="G48" s="16">
        <v>8800</v>
      </c>
      <c r="H48" s="13">
        <v>5</v>
      </c>
      <c r="I48" s="13">
        <v>5</v>
      </c>
      <c r="J48" s="13">
        <f t="shared" si="2"/>
        <v>8</v>
      </c>
      <c r="K48" s="13">
        <v>480</v>
      </c>
      <c r="L48" s="13">
        <v>5</v>
      </c>
      <c r="M48" s="13">
        <v>23326500</v>
      </c>
      <c r="N48" s="17">
        <v>0</v>
      </c>
      <c r="O48" s="18">
        <v>490</v>
      </c>
      <c r="P48" s="4" t="s">
        <v>85</v>
      </c>
      <c r="Q48" s="4">
        <v>12</v>
      </c>
    </row>
    <row r="49" s="4" customFormat="1" customHeight="1" spans="1:17">
      <c r="A49" s="13">
        <f t="shared" si="0"/>
        <v>1045</v>
      </c>
      <c r="B49" s="13" t="s">
        <v>35</v>
      </c>
      <c r="C49" s="13">
        <v>1</v>
      </c>
      <c r="D49" s="13" t="s">
        <v>36</v>
      </c>
      <c r="E49" s="13">
        <v>45</v>
      </c>
      <c r="F49" s="14">
        <v>180</v>
      </c>
      <c r="G49" s="16">
        <v>9000</v>
      </c>
      <c r="H49" s="13">
        <v>5</v>
      </c>
      <c r="I49" s="13">
        <v>5</v>
      </c>
      <c r="J49" s="13">
        <f t="shared" si="2"/>
        <v>8</v>
      </c>
      <c r="K49" s="13">
        <v>480</v>
      </c>
      <c r="L49" s="13">
        <v>5</v>
      </c>
      <c r="M49" s="13">
        <v>23032600</v>
      </c>
      <c r="N49" s="17">
        <v>0</v>
      </c>
      <c r="O49" s="18">
        <v>500</v>
      </c>
      <c r="P49" s="4" t="s">
        <v>86</v>
      </c>
      <c r="Q49" s="4">
        <v>12</v>
      </c>
    </row>
    <row r="50" s="4" customFormat="1" customHeight="1" spans="1:17">
      <c r="A50" s="13">
        <f t="shared" si="0"/>
        <v>1046</v>
      </c>
      <c r="B50" s="13" t="s">
        <v>35</v>
      </c>
      <c r="C50" s="13">
        <v>1</v>
      </c>
      <c r="D50" s="13" t="s">
        <v>36</v>
      </c>
      <c r="E50" s="13">
        <v>46</v>
      </c>
      <c r="F50" s="14">
        <v>182</v>
      </c>
      <c r="G50" s="16">
        <v>9200</v>
      </c>
      <c r="H50" s="13">
        <v>5</v>
      </c>
      <c r="I50" s="13">
        <v>5</v>
      </c>
      <c r="J50" s="13">
        <f t="shared" si="2"/>
        <v>8</v>
      </c>
      <c r="K50" s="13">
        <v>480</v>
      </c>
      <c r="L50" s="13">
        <v>5</v>
      </c>
      <c r="M50" s="13">
        <v>30396800</v>
      </c>
      <c r="N50" s="17">
        <v>0</v>
      </c>
      <c r="O50" s="18">
        <v>510</v>
      </c>
      <c r="P50" s="4" t="s">
        <v>87</v>
      </c>
      <c r="Q50" s="4">
        <v>12</v>
      </c>
    </row>
    <row r="51" s="4" customFormat="1" customHeight="1" spans="1:17">
      <c r="A51" s="13">
        <f t="shared" si="0"/>
        <v>1047</v>
      </c>
      <c r="B51" s="13" t="s">
        <v>35</v>
      </c>
      <c r="C51" s="13">
        <v>1</v>
      </c>
      <c r="D51" s="13" t="s">
        <v>88</v>
      </c>
      <c r="E51" s="13">
        <v>47</v>
      </c>
      <c r="F51" s="14">
        <v>184</v>
      </c>
      <c r="G51" s="16">
        <v>9400</v>
      </c>
      <c r="H51" s="13">
        <v>5</v>
      </c>
      <c r="I51" s="13">
        <v>5</v>
      </c>
      <c r="J51" s="13">
        <f t="shared" si="2"/>
        <v>8</v>
      </c>
      <c r="K51" s="13">
        <v>480</v>
      </c>
      <c r="L51" s="13">
        <v>5</v>
      </c>
      <c r="M51" s="13">
        <v>30084400</v>
      </c>
      <c r="N51" s="17">
        <v>0</v>
      </c>
      <c r="O51" s="18">
        <v>520</v>
      </c>
      <c r="P51" s="4" t="s">
        <v>89</v>
      </c>
      <c r="Q51" s="4">
        <v>12</v>
      </c>
    </row>
    <row r="52" s="4" customFormat="1" customHeight="1" spans="1:17">
      <c r="A52" s="13">
        <f t="shared" si="0"/>
        <v>1048</v>
      </c>
      <c r="B52" s="13" t="s">
        <v>35</v>
      </c>
      <c r="C52" s="13">
        <v>1</v>
      </c>
      <c r="D52" s="13" t="s">
        <v>36</v>
      </c>
      <c r="E52" s="13">
        <v>48</v>
      </c>
      <c r="F52" s="14">
        <v>186</v>
      </c>
      <c r="G52" s="16">
        <v>9600</v>
      </c>
      <c r="H52" s="13">
        <v>5</v>
      </c>
      <c r="I52" s="13">
        <v>5</v>
      </c>
      <c r="J52" s="13">
        <f t="shared" si="2"/>
        <v>8</v>
      </c>
      <c r="K52" s="13">
        <v>480</v>
      </c>
      <c r="L52" s="13">
        <v>5</v>
      </c>
      <c r="M52" s="13">
        <v>34172100</v>
      </c>
      <c r="N52" s="17">
        <v>0</v>
      </c>
      <c r="O52" s="18">
        <v>530</v>
      </c>
      <c r="P52" s="4" t="s">
        <v>90</v>
      </c>
      <c r="Q52" s="4">
        <v>12</v>
      </c>
    </row>
    <row r="53" s="4" customFormat="1" customHeight="1" spans="1:17">
      <c r="A53" s="13">
        <f t="shared" si="0"/>
        <v>1049</v>
      </c>
      <c r="B53" s="13" t="s">
        <v>35</v>
      </c>
      <c r="C53" s="13">
        <v>1</v>
      </c>
      <c r="D53" s="13" t="s">
        <v>36</v>
      </c>
      <c r="E53" s="13">
        <v>49</v>
      </c>
      <c r="F53" s="14">
        <v>188</v>
      </c>
      <c r="G53" s="16">
        <v>9800</v>
      </c>
      <c r="H53" s="13">
        <v>5</v>
      </c>
      <c r="I53" s="13">
        <v>5</v>
      </c>
      <c r="J53" s="13">
        <f t="shared" si="2"/>
        <v>8</v>
      </c>
      <c r="K53" s="13">
        <v>480</v>
      </c>
      <c r="L53" s="13">
        <v>5</v>
      </c>
      <c r="M53" s="13">
        <v>36173900</v>
      </c>
      <c r="N53" s="17">
        <v>0</v>
      </c>
      <c r="O53" s="18">
        <v>540</v>
      </c>
      <c r="P53" s="4" t="s">
        <v>91</v>
      </c>
      <c r="Q53" s="4">
        <v>12</v>
      </c>
    </row>
    <row r="54" s="4" customFormat="1" customHeight="1" spans="1:17">
      <c r="A54" s="13">
        <f t="shared" si="0"/>
        <v>1050</v>
      </c>
      <c r="B54" s="13" t="s">
        <v>35</v>
      </c>
      <c r="C54" s="13">
        <v>1</v>
      </c>
      <c r="D54" s="13" t="s">
        <v>36</v>
      </c>
      <c r="E54" s="13">
        <v>50</v>
      </c>
      <c r="F54" s="14">
        <v>190</v>
      </c>
      <c r="G54" s="16">
        <v>10000</v>
      </c>
      <c r="H54" s="13">
        <v>5</v>
      </c>
      <c r="I54" s="13">
        <v>5</v>
      </c>
      <c r="J54" s="13">
        <f t="shared" si="2"/>
        <v>8</v>
      </c>
      <c r="K54" s="13">
        <v>480</v>
      </c>
      <c r="L54" s="13">
        <v>5</v>
      </c>
      <c r="M54" s="13">
        <v>38253200</v>
      </c>
      <c r="N54" s="17">
        <v>0</v>
      </c>
      <c r="O54" s="18">
        <v>550</v>
      </c>
      <c r="P54" s="4" t="s">
        <v>92</v>
      </c>
      <c r="Q54" s="4">
        <v>12</v>
      </c>
    </row>
    <row r="55" s="4" customFormat="1" customHeight="1" spans="1:17">
      <c r="A55" s="13">
        <f t="shared" si="0"/>
        <v>1051</v>
      </c>
      <c r="B55" s="13" t="s">
        <v>35</v>
      </c>
      <c r="C55" s="13">
        <v>1</v>
      </c>
      <c r="D55" s="13" t="s">
        <v>36</v>
      </c>
      <c r="E55" s="13">
        <v>51</v>
      </c>
      <c r="F55" s="14">
        <v>192</v>
      </c>
      <c r="G55" s="16">
        <v>10200</v>
      </c>
      <c r="H55" s="13">
        <v>5</v>
      </c>
      <c r="I55" s="13">
        <v>5</v>
      </c>
      <c r="J55" s="13">
        <f t="shared" si="2"/>
        <v>8</v>
      </c>
      <c r="K55" s="13">
        <v>480</v>
      </c>
      <c r="L55" s="13">
        <v>5</v>
      </c>
      <c r="M55" s="13">
        <v>46145600</v>
      </c>
      <c r="N55" s="17">
        <v>0</v>
      </c>
      <c r="O55" s="18">
        <v>560</v>
      </c>
      <c r="P55" s="4" t="s">
        <v>93</v>
      </c>
      <c r="Q55" s="4">
        <v>13</v>
      </c>
    </row>
    <row r="56" s="4" customFormat="1" customHeight="1" spans="1:17">
      <c r="A56" s="13">
        <f t="shared" si="0"/>
        <v>1052</v>
      </c>
      <c r="B56" s="13" t="s">
        <v>35</v>
      </c>
      <c r="C56" s="13">
        <v>1</v>
      </c>
      <c r="D56" s="13" t="s">
        <v>94</v>
      </c>
      <c r="E56" s="13">
        <v>52</v>
      </c>
      <c r="F56" s="14">
        <v>194</v>
      </c>
      <c r="G56" s="16">
        <v>10400</v>
      </c>
      <c r="H56" s="13">
        <v>5</v>
      </c>
      <c r="I56" s="13">
        <v>5</v>
      </c>
      <c r="J56" s="13">
        <f t="shared" si="2"/>
        <v>8</v>
      </c>
      <c r="K56" s="13">
        <v>480</v>
      </c>
      <c r="L56" s="13">
        <v>5</v>
      </c>
      <c r="M56" s="13">
        <v>45780900</v>
      </c>
      <c r="N56" s="17">
        <v>0</v>
      </c>
      <c r="O56" s="18">
        <v>570</v>
      </c>
      <c r="P56" s="4" t="s">
        <v>95</v>
      </c>
      <c r="Q56" s="4">
        <v>13</v>
      </c>
    </row>
    <row r="57" s="4" customFormat="1" customHeight="1" spans="1:17">
      <c r="A57" s="13">
        <f t="shared" si="0"/>
        <v>1053</v>
      </c>
      <c r="B57" s="13" t="s">
        <v>35</v>
      </c>
      <c r="C57" s="13">
        <v>1</v>
      </c>
      <c r="D57" s="13" t="s">
        <v>36</v>
      </c>
      <c r="E57" s="13">
        <v>53</v>
      </c>
      <c r="F57" s="14">
        <v>196</v>
      </c>
      <c r="G57" s="16">
        <v>10600</v>
      </c>
      <c r="H57" s="13">
        <v>5</v>
      </c>
      <c r="I57" s="13">
        <v>5</v>
      </c>
      <c r="J57" s="13">
        <f t="shared" si="2"/>
        <v>8</v>
      </c>
      <c r="K57" s="13">
        <v>480</v>
      </c>
      <c r="L57" s="13">
        <v>5</v>
      </c>
      <c r="M57" s="13">
        <v>51352500</v>
      </c>
      <c r="N57" s="17">
        <v>0</v>
      </c>
      <c r="O57" s="18">
        <v>580</v>
      </c>
      <c r="P57" s="4" t="s">
        <v>96</v>
      </c>
      <c r="Q57" s="4">
        <v>13</v>
      </c>
    </row>
    <row r="58" s="4" customFormat="1" customHeight="1" spans="1:17">
      <c r="A58" s="13">
        <f t="shared" si="0"/>
        <v>1054</v>
      </c>
      <c r="B58" s="13" t="s">
        <v>35</v>
      </c>
      <c r="C58" s="13">
        <v>1</v>
      </c>
      <c r="D58" s="13" t="s">
        <v>36</v>
      </c>
      <c r="E58" s="13">
        <v>54</v>
      </c>
      <c r="F58" s="14">
        <v>198</v>
      </c>
      <c r="G58" s="16">
        <v>10800</v>
      </c>
      <c r="H58" s="13">
        <v>5</v>
      </c>
      <c r="I58" s="13">
        <v>5</v>
      </c>
      <c r="J58" s="13">
        <f t="shared" si="2"/>
        <v>8</v>
      </c>
      <c r="K58" s="13">
        <v>480</v>
      </c>
      <c r="L58" s="13">
        <v>5</v>
      </c>
      <c r="M58" s="13">
        <v>50960700</v>
      </c>
      <c r="N58" s="17">
        <v>0</v>
      </c>
      <c r="O58" s="18">
        <v>590</v>
      </c>
      <c r="P58" s="4" t="s">
        <v>97</v>
      </c>
      <c r="Q58" s="4">
        <v>13</v>
      </c>
    </row>
    <row r="59" s="4" customFormat="1" customHeight="1" spans="1:17">
      <c r="A59" s="13">
        <f t="shared" si="0"/>
        <v>1055</v>
      </c>
      <c r="B59" s="13" t="s">
        <v>35</v>
      </c>
      <c r="C59" s="13">
        <v>1</v>
      </c>
      <c r="D59" s="13" t="s">
        <v>36</v>
      </c>
      <c r="E59" s="13">
        <v>55</v>
      </c>
      <c r="F59" s="14">
        <v>200</v>
      </c>
      <c r="G59" s="16">
        <v>11000</v>
      </c>
      <c r="H59" s="13">
        <v>5</v>
      </c>
      <c r="I59" s="13">
        <v>5</v>
      </c>
      <c r="J59" s="13">
        <f t="shared" si="2"/>
        <v>8</v>
      </c>
      <c r="K59" s="13">
        <v>480</v>
      </c>
      <c r="L59" s="13">
        <v>5</v>
      </c>
      <c r="M59" s="13">
        <v>56969400</v>
      </c>
      <c r="N59" s="17">
        <v>0</v>
      </c>
      <c r="O59" s="18">
        <v>600</v>
      </c>
      <c r="P59" s="4" t="s">
        <v>98</v>
      </c>
      <c r="Q59" s="4">
        <v>13</v>
      </c>
    </row>
    <row r="60" s="4" customFormat="1" customHeight="1" spans="1:17">
      <c r="A60" s="13">
        <f t="shared" si="0"/>
        <v>1056</v>
      </c>
      <c r="B60" s="13" t="s">
        <v>35</v>
      </c>
      <c r="C60" s="13">
        <v>1</v>
      </c>
      <c r="D60" s="13" t="s">
        <v>36</v>
      </c>
      <c r="E60" s="13">
        <v>56</v>
      </c>
      <c r="F60" s="14">
        <v>202</v>
      </c>
      <c r="G60" s="16">
        <v>11200</v>
      </c>
      <c r="H60" s="13">
        <v>5</v>
      </c>
      <c r="I60" s="13">
        <v>5</v>
      </c>
      <c r="J60" s="13">
        <f t="shared" si="2"/>
        <v>8</v>
      </c>
      <c r="K60" s="13">
        <v>480</v>
      </c>
      <c r="L60" s="13">
        <v>5</v>
      </c>
      <c r="M60" s="13">
        <v>64165800</v>
      </c>
      <c r="N60" s="17">
        <v>0</v>
      </c>
      <c r="O60" s="18">
        <v>610</v>
      </c>
      <c r="P60" s="4" t="s">
        <v>98</v>
      </c>
      <c r="Q60" s="4">
        <v>14</v>
      </c>
    </row>
    <row r="61" s="4" customFormat="1" customHeight="1" spans="1:17">
      <c r="A61" s="13">
        <f t="shared" si="0"/>
        <v>1057</v>
      </c>
      <c r="B61" s="13" t="s">
        <v>35</v>
      </c>
      <c r="C61" s="13">
        <v>1</v>
      </c>
      <c r="D61" s="13" t="s">
        <v>99</v>
      </c>
      <c r="E61" s="13">
        <v>57</v>
      </c>
      <c r="F61" s="14">
        <v>204</v>
      </c>
      <c r="G61" s="16">
        <v>11400</v>
      </c>
      <c r="H61" s="13">
        <v>5</v>
      </c>
      <c r="I61" s="13">
        <v>5</v>
      </c>
      <c r="J61" s="13">
        <f t="shared" si="2"/>
        <v>8</v>
      </c>
      <c r="K61" s="13">
        <v>480</v>
      </c>
      <c r="L61" s="13">
        <v>5</v>
      </c>
      <c r="M61" s="13">
        <v>71313200</v>
      </c>
      <c r="N61" s="17">
        <v>0</v>
      </c>
      <c r="O61" s="18">
        <v>620</v>
      </c>
      <c r="P61" s="4" t="s">
        <v>100</v>
      </c>
      <c r="Q61" s="4">
        <v>14</v>
      </c>
    </row>
    <row r="62" s="4" customFormat="1" customHeight="1" spans="1:17">
      <c r="A62" s="13">
        <f t="shared" si="0"/>
        <v>1058</v>
      </c>
      <c r="B62" s="13" t="s">
        <v>35</v>
      </c>
      <c r="C62" s="13">
        <v>1</v>
      </c>
      <c r="D62" s="13"/>
      <c r="E62" s="13">
        <v>58</v>
      </c>
      <c r="F62" s="14">
        <v>206</v>
      </c>
      <c r="G62" s="16">
        <v>11600</v>
      </c>
      <c r="H62" s="13">
        <v>5</v>
      </c>
      <c r="I62" s="13">
        <v>5</v>
      </c>
      <c r="J62" s="13">
        <f t="shared" si="2"/>
        <v>8</v>
      </c>
      <c r="K62" s="13">
        <v>480</v>
      </c>
      <c r="L62" s="13">
        <v>5</v>
      </c>
      <c r="M62" s="13">
        <v>70915300</v>
      </c>
      <c r="N62" s="17">
        <v>0</v>
      </c>
      <c r="O62" s="18">
        <v>630</v>
      </c>
      <c r="P62" s="4" t="s">
        <v>101</v>
      </c>
      <c r="Q62" s="4">
        <v>14</v>
      </c>
    </row>
    <row r="63" s="4" customFormat="1" customHeight="1" spans="1:17">
      <c r="A63" s="13">
        <f t="shared" si="0"/>
        <v>1059</v>
      </c>
      <c r="B63" s="13" t="s">
        <v>35</v>
      </c>
      <c r="C63" s="13">
        <v>1</v>
      </c>
      <c r="D63" s="13"/>
      <c r="E63" s="13">
        <v>59</v>
      </c>
      <c r="F63" s="14">
        <v>208</v>
      </c>
      <c r="G63" s="16">
        <v>11800</v>
      </c>
      <c r="H63" s="13">
        <v>5</v>
      </c>
      <c r="I63" s="13">
        <v>5</v>
      </c>
      <c r="J63" s="13">
        <f t="shared" si="2"/>
        <v>8</v>
      </c>
      <c r="K63" s="13">
        <v>480</v>
      </c>
      <c r="L63" s="13">
        <v>5</v>
      </c>
      <c r="M63" s="13">
        <v>74465300</v>
      </c>
      <c r="N63" s="17">
        <v>0</v>
      </c>
      <c r="O63" s="18">
        <v>640</v>
      </c>
      <c r="P63" s="4" t="s">
        <v>102</v>
      </c>
      <c r="Q63" s="4">
        <v>14</v>
      </c>
    </row>
    <row r="64" s="4" customFormat="1" customHeight="1" spans="1:17">
      <c r="A64" s="13">
        <f t="shared" si="0"/>
        <v>1060</v>
      </c>
      <c r="B64" s="13" t="s">
        <v>35</v>
      </c>
      <c r="C64" s="13">
        <v>1</v>
      </c>
      <c r="D64" s="13"/>
      <c r="E64" s="13">
        <v>60</v>
      </c>
      <c r="F64" s="14">
        <v>210</v>
      </c>
      <c r="G64" s="16">
        <v>12000</v>
      </c>
      <c r="H64" s="13">
        <v>5</v>
      </c>
      <c r="I64" s="13">
        <v>5</v>
      </c>
      <c r="J64" s="13">
        <f t="shared" si="2"/>
        <v>8</v>
      </c>
      <c r="K64" s="13">
        <v>480</v>
      </c>
      <c r="L64" s="13">
        <v>5</v>
      </c>
      <c r="M64" s="13">
        <v>78133700</v>
      </c>
      <c r="N64" s="17">
        <v>0</v>
      </c>
      <c r="O64" s="18">
        <v>650</v>
      </c>
      <c r="P64" s="4" t="s">
        <v>103</v>
      </c>
      <c r="Q64" s="4">
        <v>14</v>
      </c>
    </row>
    <row r="65" customHeight="1" spans="1:17">
      <c r="A65" s="13">
        <f t="shared" ref="A65:A103" si="3">C65*1000+E65</f>
        <v>1061</v>
      </c>
      <c r="B65" s="13" t="s">
        <v>35</v>
      </c>
      <c r="C65" s="13">
        <v>1</v>
      </c>
      <c r="D65" s="13"/>
      <c r="E65" s="13">
        <v>61</v>
      </c>
      <c r="F65" s="14">
        <v>212</v>
      </c>
      <c r="G65" s="16">
        <f>G64</f>
        <v>12000</v>
      </c>
      <c r="H65" s="13">
        <v>5</v>
      </c>
      <c r="I65" s="13">
        <v>5</v>
      </c>
      <c r="J65" s="13">
        <f t="shared" si="2"/>
        <v>8</v>
      </c>
      <c r="K65" s="13">
        <v>480</v>
      </c>
      <c r="L65" s="13">
        <v>5</v>
      </c>
      <c r="M65" s="13">
        <v>73802600</v>
      </c>
      <c r="N65" s="17">
        <v>0</v>
      </c>
      <c r="O65" s="18">
        <v>660</v>
      </c>
      <c r="P65" s="4" t="s">
        <v>103</v>
      </c>
      <c r="Q65" s="4">
        <v>14</v>
      </c>
    </row>
    <row r="66" customHeight="1" spans="1:17">
      <c r="A66" s="13">
        <f t="shared" si="3"/>
        <v>1062</v>
      </c>
      <c r="B66" s="13" t="s">
        <v>35</v>
      </c>
      <c r="C66" s="13">
        <v>1</v>
      </c>
      <c r="D66" s="13"/>
      <c r="E66" s="13">
        <v>62</v>
      </c>
      <c r="F66" s="14">
        <v>214</v>
      </c>
      <c r="G66" s="16">
        <f t="shared" ref="G66:G103" si="4">G65</f>
        <v>12000</v>
      </c>
      <c r="H66" s="13">
        <v>5</v>
      </c>
      <c r="I66" s="13">
        <v>5</v>
      </c>
      <c r="J66" s="13">
        <f t="shared" si="2"/>
        <v>8</v>
      </c>
      <c r="K66" s="13">
        <v>480</v>
      </c>
      <c r="L66" s="13">
        <v>5</v>
      </c>
      <c r="M66" s="13">
        <v>77303100</v>
      </c>
      <c r="N66" s="17">
        <v>0</v>
      </c>
      <c r="O66" s="18">
        <v>670</v>
      </c>
      <c r="P66" s="4" t="s">
        <v>103</v>
      </c>
      <c r="Q66" s="4">
        <v>14</v>
      </c>
    </row>
    <row r="67" customHeight="1" spans="1:17">
      <c r="A67" s="13">
        <f t="shared" si="3"/>
        <v>1063</v>
      </c>
      <c r="B67" s="13" t="s">
        <v>35</v>
      </c>
      <c r="C67" s="13">
        <v>1</v>
      </c>
      <c r="D67" s="13"/>
      <c r="E67" s="13">
        <v>63</v>
      </c>
      <c r="F67" s="14">
        <v>216</v>
      </c>
      <c r="G67" s="16">
        <f t="shared" si="4"/>
        <v>12000</v>
      </c>
      <c r="H67" s="13">
        <v>5</v>
      </c>
      <c r="I67" s="13">
        <v>5</v>
      </c>
      <c r="J67" s="13">
        <f t="shared" si="2"/>
        <v>8</v>
      </c>
      <c r="K67" s="13">
        <v>480</v>
      </c>
      <c r="L67" s="13">
        <v>5</v>
      </c>
      <c r="M67" s="13">
        <v>80920800</v>
      </c>
      <c r="N67" s="17">
        <v>0</v>
      </c>
      <c r="O67" s="18">
        <v>680</v>
      </c>
      <c r="P67" s="4" t="s">
        <v>103</v>
      </c>
      <c r="Q67" s="4">
        <v>14</v>
      </c>
    </row>
    <row r="68" customHeight="1" spans="1:17">
      <c r="A68" s="13">
        <f t="shared" si="3"/>
        <v>1064</v>
      </c>
      <c r="B68" s="13" t="s">
        <v>35</v>
      </c>
      <c r="C68" s="13">
        <v>1</v>
      </c>
      <c r="D68" s="13"/>
      <c r="E68" s="13">
        <v>64</v>
      </c>
      <c r="F68" s="14">
        <v>218</v>
      </c>
      <c r="G68" s="16">
        <f t="shared" si="4"/>
        <v>12000</v>
      </c>
      <c r="H68" s="13">
        <v>5</v>
      </c>
      <c r="I68" s="13">
        <v>5</v>
      </c>
      <c r="J68" s="13">
        <f t="shared" si="2"/>
        <v>8</v>
      </c>
      <c r="K68" s="13">
        <v>480</v>
      </c>
      <c r="L68" s="13">
        <v>5</v>
      </c>
      <c r="M68" s="13">
        <v>84656500</v>
      </c>
      <c r="N68" s="17">
        <v>0</v>
      </c>
      <c r="O68" s="18">
        <v>690</v>
      </c>
      <c r="P68" s="4" t="s">
        <v>103</v>
      </c>
      <c r="Q68" s="4">
        <v>14</v>
      </c>
    </row>
    <row r="69" customHeight="1" spans="1:17">
      <c r="A69" s="13">
        <f t="shared" si="3"/>
        <v>1065</v>
      </c>
      <c r="B69" s="13" t="s">
        <v>35</v>
      </c>
      <c r="C69" s="13">
        <v>1</v>
      </c>
      <c r="D69" s="13"/>
      <c r="E69" s="13">
        <v>65</v>
      </c>
      <c r="F69" s="14">
        <v>220</v>
      </c>
      <c r="G69" s="16">
        <f t="shared" si="4"/>
        <v>12000</v>
      </c>
      <c r="H69" s="13">
        <v>5</v>
      </c>
      <c r="I69" s="13">
        <v>5</v>
      </c>
      <c r="J69" s="13">
        <f t="shared" si="2"/>
        <v>8</v>
      </c>
      <c r="K69" s="13">
        <v>480</v>
      </c>
      <c r="L69" s="13">
        <v>5</v>
      </c>
      <c r="M69" s="13">
        <v>88510800</v>
      </c>
      <c r="N69" s="17">
        <v>0</v>
      </c>
      <c r="O69" s="18">
        <v>700</v>
      </c>
      <c r="P69" s="4" t="s">
        <v>103</v>
      </c>
      <c r="Q69" s="4">
        <v>14</v>
      </c>
    </row>
    <row r="70" customHeight="1" spans="1:17">
      <c r="A70" s="13">
        <f t="shared" si="3"/>
        <v>1066</v>
      </c>
      <c r="B70" s="13" t="s">
        <v>35</v>
      </c>
      <c r="C70" s="13">
        <v>1</v>
      </c>
      <c r="D70" s="13"/>
      <c r="E70" s="13">
        <v>66</v>
      </c>
      <c r="F70" s="14">
        <v>222</v>
      </c>
      <c r="G70" s="16">
        <f t="shared" si="4"/>
        <v>12000</v>
      </c>
      <c r="H70" s="13">
        <v>5</v>
      </c>
      <c r="I70" s="13">
        <v>5</v>
      </c>
      <c r="J70" s="13">
        <f t="shared" si="2"/>
        <v>8</v>
      </c>
      <c r="K70" s="13">
        <v>480</v>
      </c>
      <c r="L70" s="13">
        <v>5</v>
      </c>
      <c r="M70" s="13">
        <v>92086600</v>
      </c>
      <c r="N70" s="17">
        <v>0</v>
      </c>
      <c r="O70" s="18">
        <v>710</v>
      </c>
      <c r="P70" s="4" t="s">
        <v>103</v>
      </c>
      <c r="Q70" s="4">
        <v>14</v>
      </c>
    </row>
    <row r="71" customHeight="1" spans="1:17">
      <c r="A71" s="13">
        <f t="shared" si="3"/>
        <v>1067</v>
      </c>
      <c r="B71" s="13" t="s">
        <v>35</v>
      </c>
      <c r="C71" s="13">
        <v>1</v>
      </c>
      <c r="D71" s="13"/>
      <c r="E71" s="13">
        <v>67</v>
      </c>
      <c r="F71" s="14">
        <v>224</v>
      </c>
      <c r="G71" s="16">
        <f t="shared" si="4"/>
        <v>12000</v>
      </c>
      <c r="H71" s="13">
        <v>5</v>
      </c>
      <c r="I71" s="13">
        <v>5</v>
      </c>
      <c r="J71" s="13">
        <f t="shared" ref="J71:J103" si="5">J70</f>
        <v>8</v>
      </c>
      <c r="K71" s="13">
        <v>480</v>
      </c>
      <c r="L71" s="13">
        <v>5</v>
      </c>
      <c r="M71" s="13">
        <v>95806900</v>
      </c>
      <c r="N71" s="17">
        <v>0</v>
      </c>
      <c r="O71" s="18">
        <v>720</v>
      </c>
      <c r="P71" s="4" t="s">
        <v>103</v>
      </c>
      <c r="Q71" s="4">
        <v>14</v>
      </c>
    </row>
    <row r="72" customHeight="1" spans="1:17">
      <c r="A72" s="13">
        <f t="shared" si="3"/>
        <v>1068</v>
      </c>
      <c r="B72" s="13" t="s">
        <v>35</v>
      </c>
      <c r="C72" s="13">
        <v>1</v>
      </c>
      <c r="D72" s="13"/>
      <c r="E72" s="13">
        <v>68</v>
      </c>
      <c r="F72" s="14">
        <v>226</v>
      </c>
      <c r="G72" s="16">
        <f t="shared" si="4"/>
        <v>12000</v>
      </c>
      <c r="H72" s="13">
        <v>5</v>
      </c>
      <c r="I72" s="13">
        <v>5</v>
      </c>
      <c r="J72" s="13">
        <f t="shared" si="5"/>
        <v>8</v>
      </c>
      <c r="K72" s="13">
        <v>480</v>
      </c>
      <c r="L72" s="13">
        <v>5</v>
      </c>
      <c r="M72" s="13">
        <v>99677500</v>
      </c>
      <c r="N72" s="17">
        <v>0</v>
      </c>
      <c r="O72" s="18">
        <v>730</v>
      </c>
      <c r="P72" s="4" t="s">
        <v>103</v>
      </c>
      <c r="Q72" s="4">
        <v>14</v>
      </c>
    </row>
    <row r="73" customHeight="1" spans="1:17">
      <c r="A73" s="13">
        <f t="shared" si="3"/>
        <v>1069</v>
      </c>
      <c r="B73" s="13" t="s">
        <v>35</v>
      </c>
      <c r="C73" s="13">
        <v>1</v>
      </c>
      <c r="D73" s="13"/>
      <c r="E73" s="13">
        <v>69</v>
      </c>
      <c r="F73" s="14">
        <v>228</v>
      </c>
      <c r="G73" s="16">
        <f t="shared" si="4"/>
        <v>12000</v>
      </c>
      <c r="H73" s="13">
        <v>5</v>
      </c>
      <c r="I73" s="13">
        <v>5</v>
      </c>
      <c r="J73" s="13">
        <f t="shared" si="5"/>
        <v>8</v>
      </c>
      <c r="K73" s="13">
        <v>480</v>
      </c>
      <c r="L73" s="13">
        <v>5</v>
      </c>
      <c r="M73" s="13">
        <v>103704500</v>
      </c>
      <c r="N73" s="17">
        <v>0</v>
      </c>
      <c r="O73" s="18">
        <v>740</v>
      </c>
      <c r="P73" s="4" t="s">
        <v>103</v>
      </c>
      <c r="Q73" s="4">
        <v>14</v>
      </c>
    </row>
    <row r="74" customHeight="1" spans="1:17">
      <c r="A74" s="13">
        <f t="shared" si="3"/>
        <v>1070</v>
      </c>
      <c r="B74" s="13" t="s">
        <v>35</v>
      </c>
      <c r="C74" s="13">
        <v>1</v>
      </c>
      <c r="D74" s="13"/>
      <c r="E74" s="13">
        <v>70</v>
      </c>
      <c r="F74" s="14">
        <v>230</v>
      </c>
      <c r="G74" s="16">
        <f t="shared" si="4"/>
        <v>12000</v>
      </c>
      <c r="H74" s="13">
        <v>5</v>
      </c>
      <c r="I74" s="13">
        <v>5</v>
      </c>
      <c r="J74" s="13">
        <f t="shared" si="5"/>
        <v>8</v>
      </c>
      <c r="K74" s="13">
        <v>480</v>
      </c>
      <c r="L74" s="13">
        <v>5</v>
      </c>
      <c r="M74" s="13">
        <v>107894100</v>
      </c>
      <c r="N74" s="17">
        <v>0</v>
      </c>
      <c r="O74" s="18">
        <v>750</v>
      </c>
      <c r="P74" s="4" t="s">
        <v>103</v>
      </c>
      <c r="Q74" s="4">
        <v>14</v>
      </c>
    </row>
    <row r="75" customHeight="1" spans="1:17">
      <c r="A75" s="13">
        <f t="shared" si="3"/>
        <v>1071</v>
      </c>
      <c r="B75" s="13" t="s">
        <v>35</v>
      </c>
      <c r="C75" s="13">
        <v>1</v>
      </c>
      <c r="D75" s="13"/>
      <c r="E75" s="13">
        <v>71</v>
      </c>
      <c r="F75" s="14">
        <v>232</v>
      </c>
      <c r="G75" s="16">
        <f t="shared" si="4"/>
        <v>12000</v>
      </c>
      <c r="H75" s="13">
        <v>5</v>
      </c>
      <c r="I75" s="13">
        <v>5</v>
      </c>
      <c r="J75" s="13">
        <f t="shared" si="5"/>
        <v>8</v>
      </c>
      <c r="K75" s="13">
        <v>480</v>
      </c>
      <c r="L75" s="13">
        <v>5</v>
      </c>
      <c r="M75" s="13">
        <v>112253100</v>
      </c>
      <c r="N75" s="17">
        <v>0</v>
      </c>
      <c r="O75" s="18">
        <v>760</v>
      </c>
      <c r="P75" s="4" t="s">
        <v>103</v>
      </c>
      <c r="Q75" s="4">
        <v>14</v>
      </c>
    </row>
    <row r="76" customHeight="1" spans="1:17">
      <c r="A76" s="13">
        <f t="shared" si="3"/>
        <v>1072</v>
      </c>
      <c r="B76" s="13" t="s">
        <v>35</v>
      </c>
      <c r="C76" s="13">
        <v>1</v>
      </c>
      <c r="D76" s="13"/>
      <c r="E76" s="13">
        <v>72</v>
      </c>
      <c r="F76" s="14">
        <v>234</v>
      </c>
      <c r="G76" s="16">
        <f t="shared" si="4"/>
        <v>12000</v>
      </c>
      <c r="H76" s="13">
        <v>5</v>
      </c>
      <c r="I76" s="13">
        <v>5</v>
      </c>
      <c r="J76" s="13">
        <f t="shared" si="5"/>
        <v>8</v>
      </c>
      <c r="K76" s="13">
        <v>480</v>
      </c>
      <c r="L76" s="13">
        <v>5</v>
      </c>
      <c r="M76" s="13">
        <v>116788100</v>
      </c>
      <c r="N76" s="17">
        <v>0</v>
      </c>
      <c r="O76" s="18">
        <v>770</v>
      </c>
      <c r="P76" s="4" t="s">
        <v>103</v>
      </c>
      <c r="Q76" s="4">
        <v>14</v>
      </c>
    </row>
    <row r="77" customHeight="1" spans="1:17">
      <c r="A77" s="13">
        <f t="shared" si="3"/>
        <v>1073</v>
      </c>
      <c r="B77" s="13" t="s">
        <v>35</v>
      </c>
      <c r="C77" s="13">
        <v>1</v>
      </c>
      <c r="D77" s="13"/>
      <c r="E77" s="13">
        <v>73</v>
      </c>
      <c r="F77" s="14">
        <v>236</v>
      </c>
      <c r="G77" s="16">
        <f t="shared" si="4"/>
        <v>12000</v>
      </c>
      <c r="H77" s="13">
        <v>5</v>
      </c>
      <c r="I77" s="13">
        <v>5</v>
      </c>
      <c r="J77" s="13">
        <f t="shared" si="5"/>
        <v>8</v>
      </c>
      <c r="K77" s="13">
        <v>480</v>
      </c>
      <c r="L77" s="13">
        <v>5</v>
      </c>
      <c r="M77" s="13">
        <v>121506300</v>
      </c>
      <c r="N77" s="17">
        <v>0</v>
      </c>
      <c r="O77" s="18">
        <v>780</v>
      </c>
      <c r="P77" s="4" t="s">
        <v>103</v>
      </c>
      <c r="Q77" s="4">
        <v>14</v>
      </c>
    </row>
    <row r="78" customHeight="1" spans="1:17">
      <c r="A78" s="13">
        <f t="shared" si="3"/>
        <v>1074</v>
      </c>
      <c r="B78" s="13" t="s">
        <v>35</v>
      </c>
      <c r="C78" s="13">
        <v>1</v>
      </c>
      <c r="D78" s="13"/>
      <c r="E78" s="13">
        <v>74</v>
      </c>
      <c r="F78" s="14">
        <v>238</v>
      </c>
      <c r="G78" s="16">
        <f t="shared" si="4"/>
        <v>12000</v>
      </c>
      <c r="H78" s="13">
        <v>5</v>
      </c>
      <c r="I78" s="13">
        <v>5</v>
      </c>
      <c r="J78" s="13">
        <f t="shared" si="5"/>
        <v>8</v>
      </c>
      <c r="K78" s="13">
        <v>480</v>
      </c>
      <c r="L78" s="13">
        <v>5</v>
      </c>
      <c r="M78" s="13">
        <v>126415200</v>
      </c>
      <c r="N78" s="17">
        <v>0</v>
      </c>
      <c r="O78" s="18">
        <v>790</v>
      </c>
      <c r="P78" s="4" t="s">
        <v>103</v>
      </c>
      <c r="Q78" s="4">
        <v>14</v>
      </c>
    </row>
    <row r="79" customHeight="1" spans="1:17">
      <c r="A79" s="13">
        <f t="shared" si="3"/>
        <v>1075</v>
      </c>
      <c r="B79" s="13" t="s">
        <v>35</v>
      </c>
      <c r="C79" s="13">
        <v>1</v>
      </c>
      <c r="D79" s="13"/>
      <c r="E79" s="13">
        <v>75</v>
      </c>
      <c r="F79" s="14">
        <v>240</v>
      </c>
      <c r="G79" s="16">
        <f t="shared" si="4"/>
        <v>12000</v>
      </c>
      <c r="H79" s="13">
        <v>5</v>
      </c>
      <c r="I79" s="13">
        <v>5</v>
      </c>
      <c r="J79" s="13">
        <f t="shared" si="5"/>
        <v>8</v>
      </c>
      <c r="K79" s="13">
        <v>480</v>
      </c>
      <c r="L79" s="13">
        <v>5</v>
      </c>
      <c r="M79" s="13">
        <v>131522400</v>
      </c>
      <c r="N79" s="17">
        <v>0</v>
      </c>
      <c r="O79" s="18">
        <v>800</v>
      </c>
      <c r="P79" s="4" t="s">
        <v>103</v>
      </c>
      <c r="Q79" s="4">
        <v>14</v>
      </c>
    </row>
    <row r="80" customHeight="1" spans="1:17">
      <c r="A80" s="13">
        <f t="shared" si="3"/>
        <v>1076</v>
      </c>
      <c r="B80" s="13" t="s">
        <v>35</v>
      </c>
      <c r="C80" s="13">
        <v>1</v>
      </c>
      <c r="D80" s="13"/>
      <c r="E80" s="13">
        <v>76</v>
      </c>
      <c r="F80" s="14">
        <v>242</v>
      </c>
      <c r="G80" s="16">
        <f t="shared" si="4"/>
        <v>12000</v>
      </c>
      <c r="H80" s="13">
        <v>5</v>
      </c>
      <c r="I80" s="13">
        <v>5</v>
      </c>
      <c r="J80" s="13">
        <f t="shared" si="5"/>
        <v>8</v>
      </c>
      <c r="K80" s="13">
        <v>480</v>
      </c>
      <c r="L80" s="13">
        <v>5</v>
      </c>
      <c r="M80" s="13">
        <v>136835900</v>
      </c>
      <c r="N80" s="17">
        <v>0</v>
      </c>
      <c r="O80" s="18">
        <v>810</v>
      </c>
      <c r="P80" s="4" t="s">
        <v>103</v>
      </c>
      <c r="Q80" s="4">
        <v>14</v>
      </c>
    </row>
    <row r="81" customHeight="1" spans="1:17">
      <c r="A81" s="13">
        <f t="shared" si="3"/>
        <v>1077</v>
      </c>
      <c r="B81" s="13" t="s">
        <v>35</v>
      </c>
      <c r="C81" s="13">
        <v>1</v>
      </c>
      <c r="D81" s="13"/>
      <c r="E81" s="13">
        <v>77</v>
      </c>
      <c r="F81" s="14">
        <v>244</v>
      </c>
      <c r="G81" s="16">
        <f t="shared" si="4"/>
        <v>12000</v>
      </c>
      <c r="H81" s="13">
        <v>5</v>
      </c>
      <c r="I81" s="13">
        <v>5</v>
      </c>
      <c r="J81" s="13">
        <f t="shared" si="5"/>
        <v>8</v>
      </c>
      <c r="K81" s="13">
        <v>480</v>
      </c>
      <c r="L81" s="13">
        <v>5</v>
      </c>
      <c r="M81" s="13">
        <v>142364000</v>
      </c>
      <c r="N81" s="17">
        <v>0</v>
      </c>
      <c r="O81" s="18">
        <v>820</v>
      </c>
      <c r="P81" s="4" t="s">
        <v>103</v>
      </c>
      <c r="Q81" s="4">
        <v>14</v>
      </c>
    </row>
    <row r="82" customHeight="1" spans="1:17">
      <c r="A82" s="13">
        <f t="shared" si="3"/>
        <v>1078</v>
      </c>
      <c r="B82" s="13" t="s">
        <v>35</v>
      </c>
      <c r="C82" s="13">
        <v>1</v>
      </c>
      <c r="D82" s="13"/>
      <c r="E82" s="13">
        <v>78</v>
      </c>
      <c r="F82" s="14">
        <v>246</v>
      </c>
      <c r="G82" s="16">
        <f t="shared" si="4"/>
        <v>12000</v>
      </c>
      <c r="H82" s="13">
        <v>5</v>
      </c>
      <c r="I82" s="13">
        <v>5</v>
      </c>
      <c r="J82" s="13">
        <f t="shared" si="5"/>
        <v>8</v>
      </c>
      <c r="K82" s="13">
        <v>480</v>
      </c>
      <c r="L82" s="13">
        <v>5</v>
      </c>
      <c r="M82" s="13">
        <v>148115500</v>
      </c>
      <c r="N82" s="17">
        <v>0</v>
      </c>
      <c r="O82" s="18">
        <v>830</v>
      </c>
      <c r="P82" s="4" t="s">
        <v>103</v>
      </c>
      <c r="Q82" s="4">
        <v>14</v>
      </c>
    </row>
    <row r="83" customHeight="1" spans="1:17">
      <c r="A83" s="13">
        <f t="shared" si="3"/>
        <v>1079</v>
      </c>
      <c r="B83" s="13" t="s">
        <v>35</v>
      </c>
      <c r="C83" s="13">
        <v>1</v>
      </c>
      <c r="D83" s="13"/>
      <c r="E83" s="13">
        <v>79</v>
      </c>
      <c r="F83" s="14">
        <v>248</v>
      </c>
      <c r="G83" s="16">
        <f t="shared" si="4"/>
        <v>12000</v>
      </c>
      <c r="H83" s="13">
        <v>5</v>
      </c>
      <c r="I83" s="13">
        <v>5</v>
      </c>
      <c r="J83" s="13">
        <f t="shared" si="5"/>
        <v>8</v>
      </c>
      <c r="K83" s="13">
        <v>480</v>
      </c>
      <c r="L83" s="13">
        <v>5</v>
      </c>
      <c r="M83" s="13">
        <v>154099400</v>
      </c>
      <c r="N83" s="17">
        <v>0</v>
      </c>
      <c r="O83" s="18">
        <v>840</v>
      </c>
      <c r="P83" s="4" t="s">
        <v>103</v>
      </c>
      <c r="Q83" s="4">
        <v>14</v>
      </c>
    </row>
    <row r="84" customHeight="1" spans="1:17">
      <c r="A84" s="13">
        <f t="shared" si="3"/>
        <v>1080</v>
      </c>
      <c r="B84" s="13" t="s">
        <v>35</v>
      </c>
      <c r="C84" s="13">
        <v>1</v>
      </c>
      <c r="D84" s="13"/>
      <c r="E84" s="13">
        <v>80</v>
      </c>
      <c r="F84" s="14">
        <v>250</v>
      </c>
      <c r="G84" s="16">
        <f t="shared" si="4"/>
        <v>12000</v>
      </c>
      <c r="H84" s="13">
        <v>5</v>
      </c>
      <c r="I84" s="13">
        <v>5</v>
      </c>
      <c r="J84" s="13">
        <f t="shared" si="5"/>
        <v>8</v>
      </c>
      <c r="K84" s="13">
        <v>480</v>
      </c>
      <c r="L84" s="13">
        <v>5</v>
      </c>
      <c r="M84" s="13">
        <v>160325000</v>
      </c>
      <c r="N84" s="17">
        <v>0</v>
      </c>
      <c r="O84" s="18">
        <v>850</v>
      </c>
      <c r="P84" s="4" t="s">
        <v>103</v>
      </c>
      <c r="Q84" s="4">
        <v>14</v>
      </c>
    </row>
    <row r="85" customHeight="1" spans="1:17">
      <c r="A85" s="13">
        <f t="shared" si="3"/>
        <v>1081</v>
      </c>
      <c r="B85" s="13" t="s">
        <v>35</v>
      </c>
      <c r="C85" s="13">
        <v>1</v>
      </c>
      <c r="D85" s="13"/>
      <c r="E85" s="13">
        <v>81</v>
      </c>
      <c r="F85" s="14">
        <v>252</v>
      </c>
      <c r="G85" s="16">
        <f t="shared" si="4"/>
        <v>12000</v>
      </c>
      <c r="H85" s="13">
        <v>5</v>
      </c>
      <c r="I85" s="13">
        <v>5</v>
      </c>
      <c r="J85" s="13">
        <f t="shared" si="5"/>
        <v>8</v>
      </c>
      <c r="K85" s="13">
        <v>480</v>
      </c>
      <c r="L85" s="13">
        <v>5</v>
      </c>
      <c r="M85" s="13">
        <v>166802100</v>
      </c>
      <c r="N85" s="17">
        <v>0</v>
      </c>
      <c r="O85" s="18">
        <v>860</v>
      </c>
      <c r="P85" s="4" t="s">
        <v>103</v>
      </c>
      <c r="Q85" s="4">
        <v>14</v>
      </c>
    </row>
    <row r="86" customHeight="1" spans="1:17">
      <c r="A86" s="13">
        <f t="shared" si="3"/>
        <v>1082</v>
      </c>
      <c r="B86" s="13" t="s">
        <v>35</v>
      </c>
      <c r="C86" s="13">
        <v>1</v>
      </c>
      <c r="D86" s="13"/>
      <c r="E86" s="13">
        <v>82</v>
      </c>
      <c r="F86" s="14">
        <v>254</v>
      </c>
      <c r="G86" s="16">
        <f t="shared" si="4"/>
        <v>12000</v>
      </c>
      <c r="H86" s="13">
        <v>5</v>
      </c>
      <c r="I86" s="13">
        <v>5</v>
      </c>
      <c r="J86" s="13">
        <f t="shared" si="5"/>
        <v>8</v>
      </c>
      <c r="K86" s="13">
        <v>480</v>
      </c>
      <c r="L86" s="13">
        <v>5</v>
      </c>
      <c r="M86" s="13">
        <v>173541000</v>
      </c>
      <c r="N86" s="17">
        <v>0</v>
      </c>
      <c r="O86" s="18">
        <v>870</v>
      </c>
      <c r="P86" s="4" t="s">
        <v>103</v>
      </c>
      <c r="Q86" s="4">
        <v>14</v>
      </c>
    </row>
    <row r="87" customHeight="1" spans="1:17">
      <c r="A87" s="13">
        <f t="shared" si="3"/>
        <v>1083</v>
      </c>
      <c r="B87" s="13" t="s">
        <v>35</v>
      </c>
      <c r="C87" s="13">
        <v>1</v>
      </c>
      <c r="D87" s="13"/>
      <c r="E87" s="13">
        <v>83</v>
      </c>
      <c r="F87" s="14">
        <v>256</v>
      </c>
      <c r="G87" s="16">
        <f t="shared" si="4"/>
        <v>12000</v>
      </c>
      <c r="H87" s="13">
        <v>5</v>
      </c>
      <c r="I87" s="13">
        <v>5</v>
      </c>
      <c r="J87" s="13">
        <f t="shared" si="5"/>
        <v>8</v>
      </c>
      <c r="K87" s="13">
        <v>480</v>
      </c>
      <c r="L87" s="13">
        <v>5</v>
      </c>
      <c r="M87" s="13">
        <v>180552000</v>
      </c>
      <c r="N87" s="17">
        <v>0</v>
      </c>
      <c r="O87" s="18">
        <v>880</v>
      </c>
      <c r="P87" s="4" t="s">
        <v>103</v>
      </c>
      <c r="Q87" s="4">
        <v>14</v>
      </c>
    </row>
    <row r="88" customHeight="1" spans="1:17">
      <c r="A88" s="13">
        <f t="shared" si="3"/>
        <v>1084</v>
      </c>
      <c r="B88" s="13" t="s">
        <v>35</v>
      </c>
      <c r="C88" s="13">
        <v>1</v>
      </c>
      <c r="D88" s="13"/>
      <c r="E88" s="13">
        <v>84</v>
      </c>
      <c r="F88" s="14">
        <v>258</v>
      </c>
      <c r="G88" s="16">
        <f t="shared" si="4"/>
        <v>12000</v>
      </c>
      <c r="H88" s="13">
        <v>5</v>
      </c>
      <c r="I88" s="13">
        <v>5</v>
      </c>
      <c r="J88" s="13">
        <f t="shared" si="5"/>
        <v>8</v>
      </c>
      <c r="K88" s="13">
        <v>480</v>
      </c>
      <c r="L88" s="13">
        <v>5</v>
      </c>
      <c r="M88" s="13">
        <v>187846300</v>
      </c>
      <c r="N88" s="17">
        <v>0</v>
      </c>
      <c r="O88" s="18">
        <v>890</v>
      </c>
      <c r="P88" s="4" t="s">
        <v>103</v>
      </c>
      <c r="Q88" s="4">
        <v>14</v>
      </c>
    </row>
    <row r="89" customHeight="1" spans="1:17">
      <c r="A89" s="13">
        <f t="shared" si="3"/>
        <v>1085</v>
      </c>
      <c r="B89" s="13" t="s">
        <v>35</v>
      </c>
      <c r="C89" s="13">
        <v>1</v>
      </c>
      <c r="D89" s="13"/>
      <c r="E89" s="13">
        <v>85</v>
      </c>
      <c r="F89" s="14">
        <v>260</v>
      </c>
      <c r="G89" s="16">
        <f t="shared" si="4"/>
        <v>12000</v>
      </c>
      <c r="H89" s="13">
        <v>5</v>
      </c>
      <c r="I89" s="13">
        <v>5</v>
      </c>
      <c r="J89" s="13">
        <f t="shared" si="5"/>
        <v>8</v>
      </c>
      <c r="K89" s="13">
        <v>480</v>
      </c>
      <c r="L89" s="13">
        <v>5</v>
      </c>
      <c r="M89" s="13">
        <v>195435300</v>
      </c>
      <c r="N89" s="17">
        <v>0</v>
      </c>
      <c r="O89" s="18">
        <v>900</v>
      </c>
      <c r="P89" s="4" t="s">
        <v>103</v>
      </c>
      <c r="Q89" s="4">
        <v>14</v>
      </c>
    </row>
    <row r="90" customHeight="1" spans="1:17">
      <c r="A90" s="13">
        <f t="shared" si="3"/>
        <v>1086</v>
      </c>
      <c r="B90" s="13" t="s">
        <v>35</v>
      </c>
      <c r="C90" s="13">
        <v>1</v>
      </c>
      <c r="D90" s="13"/>
      <c r="E90" s="13">
        <v>86</v>
      </c>
      <c r="F90" s="14">
        <v>262</v>
      </c>
      <c r="G90" s="16">
        <f t="shared" si="4"/>
        <v>12000</v>
      </c>
      <c r="H90" s="13">
        <v>5</v>
      </c>
      <c r="I90" s="13">
        <v>5</v>
      </c>
      <c r="J90" s="13">
        <f t="shared" si="5"/>
        <v>8</v>
      </c>
      <c r="K90" s="13">
        <v>480</v>
      </c>
      <c r="L90" s="13">
        <v>5</v>
      </c>
      <c r="M90" s="13">
        <v>203330900</v>
      </c>
      <c r="N90" s="17">
        <v>0</v>
      </c>
      <c r="O90" s="18">
        <v>910</v>
      </c>
      <c r="P90" s="4" t="s">
        <v>103</v>
      </c>
      <c r="Q90" s="4">
        <v>14</v>
      </c>
    </row>
    <row r="91" customHeight="1" spans="1:17">
      <c r="A91" s="13">
        <f t="shared" si="3"/>
        <v>1087</v>
      </c>
      <c r="B91" s="13" t="s">
        <v>35</v>
      </c>
      <c r="C91" s="13">
        <v>1</v>
      </c>
      <c r="D91" s="13"/>
      <c r="E91" s="13">
        <v>87</v>
      </c>
      <c r="F91" s="14">
        <v>264</v>
      </c>
      <c r="G91" s="16">
        <f t="shared" si="4"/>
        <v>12000</v>
      </c>
      <c r="H91" s="13">
        <v>5</v>
      </c>
      <c r="I91" s="13">
        <v>5</v>
      </c>
      <c r="J91" s="13">
        <f t="shared" si="5"/>
        <v>8</v>
      </c>
      <c r="K91" s="13">
        <v>480</v>
      </c>
      <c r="L91" s="13">
        <v>5</v>
      </c>
      <c r="M91" s="13">
        <v>211545500</v>
      </c>
      <c r="N91" s="17">
        <v>0</v>
      </c>
      <c r="O91" s="18">
        <v>920</v>
      </c>
      <c r="P91" s="4" t="s">
        <v>103</v>
      </c>
      <c r="Q91" s="4">
        <v>14</v>
      </c>
    </row>
    <row r="92" customHeight="1" spans="1:17">
      <c r="A92" s="13">
        <f t="shared" si="3"/>
        <v>1088</v>
      </c>
      <c r="B92" s="13" t="s">
        <v>35</v>
      </c>
      <c r="C92" s="13">
        <v>1</v>
      </c>
      <c r="D92" s="13"/>
      <c r="E92" s="13">
        <v>88</v>
      </c>
      <c r="F92" s="14">
        <v>266</v>
      </c>
      <c r="G92" s="16">
        <f t="shared" si="4"/>
        <v>12000</v>
      </c>
      <c r="H92" s="13">
        <v>5</v>
      </c>
      <c r="I92" s="13">
        <v>5</v>
      </c>
      <c r="J92" s="13">
        <f t="shared" si="5"/>
        <v>8</v>
      </c>
      <c r="K92" s="13">
        <v>480</v>
      </c>
      <c r="L92" s="13">
        <v>5</v>
      </c>
      <c r="M92" s="13">
        <v>220091900</v>
      </c>
      <c r="N92" s="17">
        <v>0</v>
      </c>
      <c r="O92" s="18">
        <v>930</v>
      </c>
      <c r="P92" s="4" t="s">
        <v>103</v>
      </c>
      <c r="Q92" s="4">
        <v>14</v>
      </c>
    </row>
    <row r="93" customHeight="1" spans="1:17">
      <c r="A93" s="13">
        <f t="shared" si="3"/>
        <v>1089</v>
      </c>
      <c r="B93" s="13" t="s">
        <v>35</v>
      </c>
      <c r="C93" s="13">
        <v>1</v>
      </c>
      <c r="D93" s="13"/>
      <c r="E93" s="13">
        <v>89</v>
      </c>
      <c r="F93" s="14">
        <v>268</v>
      </c>
      <c r="G93" s="16">
        <f t="shared" si="4"/>
        <v>12000</v>
      </c>
      <c r="H93" s="13">
        <v>5</v>
      </c>
      <c r="I93" s="13">
        <v>5</v>
      </c>
      <c r="J93" s="13">
        <f t="shared" si="5"/>
        <v>8</v>
      </c>
      <c r="K93" s="13">
        <v>480</v>
      </c>
      <c r="L93" s="13">
        <v>5</v>
      </c>
      <c r="M93" s="13">
        <v>228983600</v>
      </c>
      <c r="N93" s="17">
        <v>0</v>
      </c>
      <c r="O93" s="18">
        <v>940</v>
      </c>
      <c r="P93" s="4" t="s">
        <v>103</v>
      </c>
      <c r="Q93" s="4">
        <v>14</v>
      </c>
    </row>
    <row r="94" customHeight="1" spans="1:17">
      <c r="A94" s="13">
        <f t="shared" si="3"/>
        <v>1090</v>
      </c>
      <c r="B94" s="13" t="s">
        <v>35</v>
      </c>
      <c r="C94" s="13">
        <v>1</v>
      </c>
      <c r="D94" s="13"/>
      <c r="E94" s="13">
        <v>90</v>
      </c>
      <c r="F94" s="14">
        <v>270</v>
      </c>
      <c r="G94" s="16">
        <f t="shared" si="4"/>
        <v>12000</v>
      </c>
      <c r="H94" s="13">
        <v>5</v>
      </c>
      <c r="I94" s="13">
        <v>5</v>
      </c>
      <c r="J94" s="13">
        <f t="shared" si="5"/>
        <v>8</v>
      </c>
      <c r="K94" s="13">
        <v>480</v>
      </c>
      <c r="L94" s="13">
        <v>5</v>
      </c>
      <c r="M94" s="13">
        <v>238234500</v>
      </c>
      <c r="N94" s="17">
        <v>0</v>
      </c>
      <c r="O94" s="18">
        <v>950</v>
      </c>
      <c r="P94" s="4" t="s">
        <v>103</v>
      </c>
      <c r="Q94" s="4">
        <v>14</v>
      </c>
    </row>
    <row r="95" customHeight="1" spans="1:17">
      <c r="A95" s="13">
        <f t="shared" si="3"/>
        <v>1091</v>
      </c>
      <c r="B95" s="13" t="s">
        <v>35</v>
      </c>
      <c r="C95" s="13">
        <v>1</v>
      </c>
      <c r="D95" s="13"/>
      <c r="E95" s="13">
        <v>91</v>
      </c>
      <c r="F95" s="14">
        <v>272</v>
      </c>
      <c r="G95" s="16">
        <f t="shared" si="4"/>
        <v>12000</v>
      </c>
      <c r="H95" s="13">
        <v>5</v>
      </c>
      <c r="I95" s="13">
        <v>5</v>
      </c>
      <c r="J95" s="13">
        <f t="shared" si="5"/>
        <v>8</v>
      </c>
      <c r="K95" s="13">
        <v>480</v>
      </c>
      <c r="L95" s="13">
        <v>5</v>
      </c>
      <c r="M95" s="13">
        <v>247859200</v>
      </c>
      <c r="N95" s="17">
        <v>0</v>
      </c>
      <c r="O95" s="18">
        <v>960</v>
      </c>
      <c r="P95" s="4" t="s">
        <v>103</v>
      </c>
      <c r="Q95" s="4">
        <v>14</v>
      </c>
    </row>
    <row r="96" customHeight="1" spans="1:17">
      <c r="A96" s="13">
        <f t="shared" si="3"/>
        <v>1092</v>
      </c>
      <c r="B96" s="13" t="s">
        <v>35</v>
      </c>
      <c r="C96" s="13">
        <v>1</v>
      </c>
      <c r="D96" s="13"/>
      <c r="E96" s="13">
        <v>92</v>
      </c>
      <c r="F96" s="14">
        <v>274</v>
      </c>
      <c r="G96" s="16">
        <f t="shared" si="4"/>
        <v>12000</v>
      </c>
      <c r="H96" s="13">
        <v>5</v>
      </c>
      <c r="I96" s="13">
        <v>5</v>
      </c>
      <c r="J96" s="13">
        <f t="shared" si="5"/>
        <v>8</v>
      </c>
      <c r="K96" s="13">
        <v>480</v>
      </c>
      <c r="L96" s="13">
        <v>5</v>
      </c>
      <c r="M96" s="13">
        <v>257872700</v>
      </c>
      <c r="N96" s="17">
        <v>0</v>
      </c>
      <c r="O96" s="18">
        <v>970</v>
      </c>
      <c r="P96" s="4" t="s">
        <v>103</v>
      </c>
      <c r="Q96" s="4">
        <v>14</v>
      </c>
    </row>
    <row r="97" customHeight="1" spans="1:17">
      <c r="A97" s="13">
        <f t="shared" si="3"/>
        <v>1093</v>
      </c>
      <c r="B97" s="13" t="s">
        <v>35</v>
      </c>
      <c r="C97" s="13">
        <v>1</v>
      </c>
      <c r="D97" s="13"/>
      <c r="E97" s="13">
        <v>93</v>
      </c>
      <c r="F97" s="14">
        <v>276</v>
      </c>
      <c r="G97" s="16">
        <f t="shared" si="4"/>
        <v>12000</v>
      </c>
      <c r="H97" s="13">
        <v>5</v>
      </c>
      <c r="I97" s="13">
        <v>5</v>
      </c>
      <c r="J97" s="13">
        <f t="shared" si="5"/>
        <v>8</v>
      </c>
      <c r="K97" s="13">
        <v>480</v>
      </c>
      <c r="L97" s="13">
        <v>5</v>
      </c>
      <c r="M97" s="13">
        <v>268290800</v>
      </c>
      <c r="N97" s="17">
        <v>0</v>
      </c>
      <c r="O97" s="18">
        <v>980</v>
      </c>
      <c r="P97" s="4" t="s">
        <v>103</v>
      </c>
      <c r="Q97" s="4">
        <v>14</v>
      </c>
    </row>
    <row r="98" customHeight="1" spans="1:17">
      <c r="A98" s="13">
        <f t="shared" si="3"/>
        <v>1094</v>
      </c>
      <c r="B98" s="13" t="s">
        <v>35</v>
      </c>
      <c r="C98" s="13">
        <v>1</v>
      </c>
      <c r="D98" s="13"/>
      <c r="E98" s="13">
        <v>94</v>
      </c>
      <c r="F98" s="14">
        <v>278</v>
      </c>
      <c r="G98" s="16">
        <f t="shared" si="4"/>
        <v>12000</v>
      </c>
      <c r="H98" s="13">
        <v>5</v>
      </c>
      <c r="I98" s="13">
        <v>5</v>
      </c>
      <c r="J98" s="13">
        <f t="shared" si="5"/>
        <v>8</v>
      </c>
      <c r="K98" s="13">
        <v>480</v>
      </c>
      <c r="L98" s="13">
        <v>5</v>
      </c>
      <c r="M98" s="13">
        <v>279129700</v>
      </c>
      <c r="N98" s="17">
        <v>0</v>
      </c>
      <c r="O98" s="18">
        <v>990</v>
      </c>
      <c r="P98" s="4" t="s">
        <v>103</v>
      </c>
      <c r="Q98" s="4">
        <v>14</v>
      </c>
    </row>
    <row r="99" customHeight="1" spans="1:17">
      <c r="A99" s="13">
        <f t="shared" si="3"/>
        <v>1095</v>
      </c>
      <c r="B99" s="13" t="s">
        <v>35</v>
      </c>
      <c r="C99" s="13">
        <v>1</v>
      </c>
      <c r="D99" s="13"/>
      <c r="E99" s="13">
        <v>95</v>
      </c>
      <c r="F99" s="14">
        <v>280</v>
      </c>
      <c r="G99" s="16">
        <f t="shared" si="4"/>
        <v>12000</v>
      </c>
      <c r="H99" s="13">
        <v>5</v>
      </c>
      <c r="I99" s="13">
        <v>5</v>
      </c>
      <c r="J99" s="13">
        <f t="shared" si="5"/>
        <v>8</v>
      </c>
      <c r="K99" s="13">
        <v>480</v>
      </c>
      <c r="L99" s="13">
        <v>5</v>
      </c>
      <c r="M99" s="13">
        <v>290406600</v>
      </c>
      <c r="N99" s="17">
        <v>0</v>
      </c>
      <c r="O99" s="18">
        <v>1000</v>
      </c>
      <c r="P99" s="4" t="s">
        <v>103</v>
      </c>
      <c r="Q99" s="4">
        <v>14</v>
      </c>
    </row>
    <row r="100" customHeight="1" spans="1:17">
      <c r="A100" s="13">
        <f t="shared" si="3"/>
        <v>1096</v>
      </c>
      <c r="B100" s="13" t="s">
        <v>35</v>
      </c>
      <c r="C100" s="13">
        <v>1</v>
      </c>
      <c r="D100" s="13"/>
      <c r="E100" s="13">
        <v>96</v>
      </c>
      <c r="F100" s="14">
        <v>282</v>
      </c>
      <c r="G100" s="16">
        <f t="shared" si="4"/>
        <v>12000</v>
      </c>
      <c r="H100" s="13">
        <v>5</v>
      </c>
      <c r="I100" s="13">
        <v>5</v>
      </c>
      <c r="J100" s="13">
        <f t="shared" si="5"/>
        <v>8</v>
      </c>
      <c r="K100" s="13">
        <v>480</v>
      </c>
      <c r="L100" s="13">
        <v>5</v>
      </c>
      <c r="M100" s="13">
        <v>302139000</v>
      </c>
      <c r="N100" s="17">
        <v>0</v>
      </c>
      <c r="O100" s="18">
        <v>1010</v>
      </c>
      <c r="P100" s="4" t="s">
        <v>103</v>
      </c>
      <c r="Q100" s="4">
        <v>14</v>
      </c>
    </row>
    <row r="101" customHeight="1" spans="1:17">
      <c r="A101" s="13">
        <f t="shared" si="3"/>
        <v>1097</v>
      </c>
      <c r="B101" s="13" t="s">
        <v>35</v>
      </c>
      <c r="C101" s="13">
        <v>1</v>
      </c>
      <c r="D101" s="13"/>
      <c r="E101" s="13">
        <v>97</v>
      </c>
      <c r="F101" s="14">
        <v>284</v>
      </c>
      <c r="G101" s="16">
        <f t="shared" si="4"/>
        <v>12000</v>
      </c>
      <c r="H101" s="13">
        <v>5</v>
      </c>
      <c r="I101" s="13">
        <v>5</v>
      </c>
      <c r="J101" s="13">
        <f t="shared" si="5"/>
        <v>8</v>
      </c>
      <c r="K101" s="13">
        <v>480</v>
      </c>
      <c r="L101" s="13">
        <v>5</v>
      </c>
      <c r="M101" s="13">
        <v>314345400</v>
      </c>
      <c r="N101" s="17">
        <v>0</v>
      </c>
      <c r="O101" s="18">
        <v>1020</v>
      </c>
      <c r="P101" s="4" t="s">
        <v>103</v>
      </c>
      <c r="Q101" s="4">
        <v>14</v>
      </c>
    </row>
    <row r="102" customHeight="1" spans="1:17">
      <c r="A102" s="13">
        <f t="shared" si="3"/>
        <v>1098</v>
      </c>
      <c r="B102" s="13" t="s">
        <v>35</v>
      </c>
      <c r="C102" s="13">
        <v>1</v>
      </c>
      <c r="D102" s="13"/>
      <c r="E102" s="13">
        <v>98</v>
      </c>
      <c r="F102" s="14">
        <v>286</v>
      </c>
      <c r="G102" s="16">
        <f t="shared" si="4"/>
        <v>12000</v>
      </c>
      <c r="H102" s="13">
        <v>5</v>
      </c>
      <c r="I102" s="13">
        <v>5</v>
      </c>
      <c r="J102" s="13">
        <f t="shared" si="5"/>
        <v>8</v>
      </c>
      <c r="K102" s="13">
        <v>480</v>
      </c>
      <c r="L102" s="13">
        <v>5</v>
      </c>
      <c r="M102" s="13">
        <v>327045000</v>
      </c>
      <c r="N102" s="17">
        <v>0</v>
      </c>
      <c r="O102" s="18">
        <v>1030</v>
      </c>
      <c r="P102" s="4" t="s">
        <v>103</v>
      </c>
      <c r="Q102" s="4">
        <v>14</v>
      </c>
    </row>
    <row r="103" customHeight="1" spans="1:17">
      <c r="A103" s="13">
        <f t="shared" si="3"/>
        <v>1099</v>
      </c>
      <c r="B103" s="13" t="s">
        <v>35</v>
      </c>
      <c r="C103" s="13">
        <v>1</v>
      </c>
      <c r="D103" s="13"/>
      <c r="E103" s="13">
        <v>99</v>
      </c>
      <c r="F103" s="14">
        <v>288</v>
      </c>
      <c r="G103" s="16">
        <f t="shared" si="4"/>
        <v>12000</v>
      </c>
      <c r="H103" s="13">
        <v>5</v>
      </c>
      <c r="I103" s="13">
        <v>5</v>
      </c>
      <c r="J103" s="13">
        <f t="shared" si="5"/>
        <v>8</v>
      </c>
      <c r="K103" s="13">
        <v>480</v>
      </c>
      <c r="L103" s="13">
        <v>5</v>
      </c>
      <c r="M103" s="13">
        <v>340257600</v>
      </c>
      <c r="N103" s="17">
        <v>0</v>
      </c>
      <c r="O103" s="18">
        <v>1040</v>
      </c>
      <c r="P103" s="4" t="s">
        <v>103</v>
      </c>
      <c r="Q103" s="4">
        <v>14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1"/>
  <sheetViews>
    <sheetView zoomScale="85" zoomScaleNormal="85" workbookViewId="0">
      <selection activeCell="F67" sqref="F67"/>
    </sheetView>
  </sheetViews>
  <sheetFormatPr defaultColWidth="9" defaultRowHeight="13.5"/>
  <cols>
    <col min="1" max="1" width="88.675" customWidth="1"/>
  </cols>
  <sheetData>
    <row r="1" spans="1:17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>
      <c r="A7" s="2" t="s">
        <v>104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>
      <c r="A8" s="2" t="s">
        <v>104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>
      <c r="A9" s="2" t="s">
        <v>104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>
      <c r="A10" s="2" t="s">
        <v>104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>
      <c r="A11" s="2" t="s">
        <v>104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>
      <c r="A12" s="2" t="s">
        <v>105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>
      <c r="A13" s="2" t="s">
        <v>105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>
      <c r="A14" s="2" t="s">
        <v>105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>
      <c r="A15" s="2" t="s">
        <v>105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>
      <c r="A16" s="2" t="s">
        <v>105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2" t="s">
        <v>106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2" t="s">
        <v>106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2" t="s">
        <v>106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t="s">
        <v>106</v>
      </c>
      <c r="B20" s="2"/>
    </row>
    <row r="21" spans="1:17">
      <c r="A21" t="s">
        <v>106</v>
      </c>
      <c r="B21" s="2"/>
    </row>
    <row r="22" spans="1:17">
      <c r="A22" t="s">
        <v>107</v>
      </c>
      <c r="B22" s="2"/>
    </row>
    <row r="23" spans="1:17">
      <c r="A23" t="s">
        <v>107</v>
      </c>
      <c r="B23" s="2"/>
    </row>
    <row r="24" spans="1:17">
      <c r="A24" t="s">
        <v>107</v>
      </c>
      <c r="B24" s="2"/>
    </row>
    <row r="25" spans="1:17">
      <c r="A25" t="s">
        <v>107</v>
      </c>
      <c r="B25" s="2"/>
    </row>
    <row r="26" spans="1:17">
      <c r="A26" t="s">
        <v>107</v>
      </c>
      <c r="B26" s="2"/>
    </row>
    <row r="27" spans="1:17">
      <c r="A27" t="s">
        <v>108</v>
      </c>
      <c r="B27" s="2"/>
    </row>
    <row r="28" spans="1:17">
      <c r="A28" t="s">
        <v>108</v>
      </c>
      <c r="B28" s="2"/>
    </row>
    <row r="29" spans="1:17">
      <c r="A29" t="s">
        <v>108</v>
      </c>
      <c r="B29" s="2"/>
    </row>
    <row r="30" spans="1:17">
      <c r="A30" t="s">
        <v>108</v>
      </c>
      <c r="B30" s="2"/>
    </row>
    <row r="31" spans="1:17">
      <c r="A31" t="s">
        <v>108</v>
      </c>
      <c r="B31" s="2"/>
    </row>
    <row r="32" spans="1:17">
      <c r="A32" t="s">
        <v>109</v>
      </c>
      <c r="B32" s="2"/>
    </row>
    <row r="33" spans="1:2">
      <c r="A33" t="s">
        <v>109</v>
      </c>
      <c r="B33" s="2"/>
    </row>
    <row r="34" spans="1:2">
      <c r="A34" t="s">
        <v>109</v>
      </c>
      <c r="B34" s="2"/>
    </row>
    <row r="35" spans="1:2">
      <c r="A35" t="s">
        <v>109</v>
      </c>
      <c r="B35" s="2"/>
    </row>
    <row r="36" spans="1:2">
      <c r="A36" t="s">
        <v>109</v>
      </c>
      <c r="B36" s="2"/>
    </row>
    <row r="37" spans="1:2">
      <c r="A37" t="s">
        <v>110</v>
      </c>
      <c r="B37" s="2"/>
    </row>
    <row r="38" spans="1:2">
      <c r="A38" t="s">
        <v>110</v>
      </c>
      <c r="B38" s="2"/>
    </row>
    <row r="39" spans="1:2">
      <c r="A39" t="s">
        <v>110</v>
      </c>
      <c r="B39" s="2"/>
    </row>
    <row r="40" spans="1:2">
      <c r="A40" t="s">
        <v>110</v>
      </c>
      <c r="B40" s="2"/>
    </row>
    <row r="41" spans="1:2">
      <c r="A41" t="s">
        <v>110</v>
      </c>
      <c r="B41" s="2"/>
    </row>
    <row r="42" spans="1:2">
      <c r="A42" t="s">
        <v>111</v>
      </c>
      <c r="B42" s="2"/>
    </row>
    <row r="43" spans="1:2">
      <c r="A43" t="s">
        <v>111</v>
      </c>
      <c r="B43" s="2"/>
    </row>
    <row r="44" spans="1:2">
      <c r="A44" t="s">
        <v>111</v>
      </c>
      <c r="B44" s="2"/>
    </row>
    <row r="45" spans="1:2">
      <c r="A45" t="s">
        <v>111</v>
      </c>
      <c r="B45" s="2"/>
    </row>
    <row r="46" spans="1:2">
      <c r="A46" t="s">
        <v>111</v>
      </c>
      <c r="B46" s="2"/>
    </row>
    <row r="47" spans="1:2">
      <c r="A47" t="s">
        <v>112</v>
      </c>
      <c r="B47" s="2"/>
    </row>
    <row r="48" spans="1:2">
      <c r="A48" t="s">
        <v>112</v>
      </c>
      <c r="B48" s="2"/>
    </row>
    <row r="49" spans="1:2">
      <c r="A49" t="s">
        <v>112</v>
      </c>
      <c r="B49" s="2"/>
    </row>
    <row r="50" spans="1:2">
      <c r="A50" t="s">
        <v>112</v>
      </c>
      <c r="B50" s="2"/>
    </row>
    <row r="51" spans="1:2">
      <c r="A51" t="s">
        <v>112</v>
      </c>
      <c r="B51" s="2"/>
    </row>
    <row r="52" spans="1:2">
      <c r="A52" t="s">
        <v>113</v>
      </c>
      <c r="B52" s="2"/>
    </row>
    <row r="53" spans="1:2">
      <c r="A53" t="s">
        <v>113</v>
      </c>
      <c r="B53" s="2"/>
    </row>
    <row r="54" spans="1:2">
      <c r="A54" t="s">
        <v>113</v>
      </c>
      <c r="B54" s="2"/>
    </row>
    <row r="55" spans="1:2">
      <c r="A55" t="s">
        <v>113</v>
      </c>
      <c r="B55" s="2"/>
    </row>
    <row r="56" spans="1:2">
      <c r="A56" t="s">
        <v>113</v>
      </c>
      <c r="B56" s="2"/>
    </row>
    <row r="57" spans="1:2">
      <c r="A57" t="s">
        <v>114</v>
      </c>
      <c r="B57" s="2"/>
    </row>
    <row r="58" spans="1:2">
      <c r="A58" t="s">
        <v>114</v>
      </c>
      <c r="B58" s="2"/>
    </row>
    <row r="59" spans="1:2">
      <c r="A59" t="s">
        <v>114</v>
      </c>
    </row>
    <row r="60" spans="1:2">
      <c r="A60" t="s">
        <v>114</v>
      </c>
    </row>
    <row r="61" spans="1:2">
      <c r="A61" t="s">
        <v>114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8:I105"/>
  <sheetViews>
    <sheetView topLeftCell="A65" workbookViewId="0">
      <selection activeCell="H8" sqref="H8:H105"/>
    </sheetView>
  </sheetViews>
  <sheetFormatPr defaultColWidth="9" defaultRowHeight="13.5"/>
  <sheetData>
    <row r="8" spans="7:9">
      <c r="G8">
        <v>4</v>
      </c>
      <c r="H8">
        <f>G8*$I$8</f>
        <v>400</v>
      </c>
      <c r="I8">
        <v>100</v>
      </c>
    </row>
    <row r="9" spans="7:9">
      <c r="G9">
        <v>16</v>
      </c>
      <c r="H9">
        <f t="shared" ref="H9:H40" si="0">G9*$I$8</f>
        <v>1600</v>
      </c>
    </row>
    <row r="10" spans="7:9">
      <c r="G10">
        <v>36</v>
      </c>
      <c r="H10">
        <f t="shared" si="0"/>
        <v>3600</v>
      </c>
    </row>
    <row r="11" spans="7:9">
      <c r="G11">
        <v>64</v>
      </c>
      <c r="H11">
        <f t="shared" si="0"/>
        <v>6400</v>
      </c>
    </row>
    <row r="12" spans="7:9">
      <c r="G12">
        <v>101</v>
      </c>
      <c r="H12">
        <f t="shared" si="0"/>
        <v>10100</v>
      </c>
    </row>
    <row r="13" spans="7:9">
      <c r="G13">
        <v>145</v>
      </c>
      <c r="H13">
        <f t="shared" si="0"/>
        <v>14500</v>
      </c>
    </row>
    <row r="14" spans="7:9">
      <c r="G14">
        <v>197</v>
      </c>
      <c r="H14">
        <f t="shared" si="0"/>
        <v>19700</v>
      </c>
    </row>
    <row r="15" spans="7:9">
      <c r="G15">
        <v>257</v>
      </c>
      <c r="H15">
        <f t="shared" si="0"/>
        <v>25700</v>
      </c>
    </row>
    <row r="16" spans="7:9">
      <c r="G16">
        <v>326</v>
      </c>
      <c r="H16">
        <f t="shared" si="0"/>
        <v>32600</v>
      </c>
    </row>
    <row r="17" spans="7:8">
      <c r="G17">
        <v>402</v>
      </c>
      <c r="H17">
        <f t="shared" si="0"/>
        <v>40200</v>
      </c>
    </row>
    <row r="18" spans="7:8">
      <c r="G18">
        <v>487</v>
      </c>
      <c r="H18">
        <f t="shared" si="0"/>
        <v>48700</v>
      </c>
    </row>
    <row r="19" spans="7:8">
      <c r="G19">
        <v>579</v>
      </c>
      <c r="H19">
        <f t="shared" si="0"/>
        <v>57900</v>
      </c>
    </row>
    <row r="20" spans="7:8">
      <c r="G20">
        <v>680</v>
      </c>
      <c r="H20">
        <f t="shared" si="0"/>
        <v>68000</v>
      </c>
    </row>
    <row r="21" spans="7:8">
      <c r="G21">
        <v>788</v>
      </c>
      <c r="H21">
        <f t="shared" si="0"/>
        <v>78800</v>
      </c>
    </row>
    <row r="22" spans="7:8">
      <c r="G22">
        <v>905</v>
      </c>
      <c r="H22">
        <f t="shared" si="0"/>
        <v>90500</v>
      </c>
    </row>
    <row r="23" spans="7:8">
      <c r="G23" s="1">
        <v>1030</v>
      </c>
      <c r="H23">
        <f t="shared" si="0"/>
        <v>103000</v>
      </c>
    </row>
    <row r="24" spans="7:8">
      <c r="G24" s="1">
        <v>1163</v>
      </c>
      <c r="H24">
        <f t="shared" si="0"/>
        <v>116300</v>
      </c>
    </row>
    <row r="25" spans="7:8">
      <c r="G25" s="1">
        <v>1303</v>
      </c>
      <c r="H25">
        <f t="shared" si="0"/>
        <v>130300</v>
      </c>
    </row>
    <row r="26" spans="7:8">
      <c r="G26" s="1">
        <v>1452</v>
      </c>
      <c r="H26">
        <f t="shared" si="0"/>
        <v>145200</v>
      </c>
    </row>
    <row r="27" spans="7:8">
      <c r="G27" s="1">
        <v>1609</v>
      </c>
      <c r="H27">
        <f t="shared" si="0"/>
        <v>160900</v>
      </c>
    </row>
    <row r="28" spans="7:8">
      <c r="G28" s="1">
        <v>1774</v>
      </c>
      <c r="H28">
        <f t="shared" si="0"/>
        <v>177400</v>
      </c>
    </row>
    <row r="29" spans="7:8">
      <c r="G29" s="1">
        <v>1947</v>
      </c>
      <c r="H29">
        <f t="shared" si="0"/>
        <v>194700</v>
      </c>
    </row>
    <row r="30" spans="7:8">
      <c r="G30" s="1">
        <v>2128</v>
      </c>
      <c r="H30">
        <f t="shared" si="0"/>
        <v>212800</v>
      </c>
    </row>
    <row r="31" spans="7:8">
      <c r="G31" s="1">
        <v>2317</v>
      </c>
      <c r="H31">
        <f t="shared" si="0"/>
        <v>231700</v>
      </c>
    </row>
    <row r="32" spans="7:8">
      <c r="G32" s="1">
        <v>2514</v>
      </c>
      <c r="H32">
        <f t="shared" si="0"/>
        <v>251400</v>
      </c>
    </row>
    <row r="33" spans="7:8">
      <c r="G33" s="1">
        <v>2719</v>
      </c>
      <c r="H33">
        <f t="shared" si="0"/>
        <v>271900</v>
      </c>
    </row>
    <row r="34" spans="7:8">
      <c r="G34" s="1">
        <v>2933</v>
      </c>
      <c r="H34">
        <f t="shared" si="0"/>
        <v>293300</v>
      </c>
    </row>
    <row r="35" spans="7:8">
      <c r="G35" s="1">
        <v>3154</v>
      </c>
      <c r="H35">
        <f t="shared" si="0"/>
        <v>315400</v>
      </c>
    </row>
    <row r="36" spans="7:8">
      <c r="G36" s="1">
        <v>3383</v>
      </c>
      <c r="H36">
        <f t="shared" si="0"/>
        <v>338300</v>
      </c>
    </row>
    <row r="37" spans="7:8">
      <c r="G37" s="1">
        <v>3621</v>
      </c>
      <c r="H37">
        <f t="shared" si="0"/>
        <v>362100</v>
      </c>
    </row>
    <row r="38" spans="7:8">
      <c r="G38" s="1">
        <v>3866</v>
      </c>
      <c r="H38">
        <f t="shared" si="0"/>
        <v>386600</v>
      </c>
    </row>
    <row r="39" spans="7:8">
      <c r="G39" s="1">
        <v>4119</v>
      </c>
      <c r="H39">
        <f t="shared" si="0"/>
        <v>411900</v>
      </c>
    </row>
    <row r="40" spans="7:8">
      <c r="G40" s="1">
        <v>4381</v>
      </c>
      <c r="H40">
        <f t="shared" si="0"/>
        <v>438100</v>
      </c>
    </row>
    <row r="41" spans="7:8">
      <c r="G41" s="1">
        <v>4650</v>
      </c>
      <c r="H41">
        <f t="shared" ref="H41:H72" si="1">G41*$I$8</f>
        <v>465000</v>
      </c>
    </row>
    <row r="42" spans="7:8">
      <c r="G42" s="1">
        <v>4928</v>
      </c>
      <c r="H42">
        <f t="shared" si="1"/>
        <v>492800</v>
      </c>
    </row>
    <row r="43" spans="7:8">
      <c r="G43" s="1">
        <v>5214</v>
      </c>
      <c r="H43">
        <f t="shared" si="1"/>
        <v>521400</v>
      </c>
    </row>
    <row r="44" spans="7:8">
      <c r="G44" s="1">
        <v>5507</v>
      </c>
      <c r="H44">
        <f t="shared" si="1"/>
        <v>550700</v>
      </c>
    </row>
    <row r="45" spans="7:8">
      <c r="G45" s="1">
        <v>5809</v>
      </c>
      <c r="H45">
        <f t="shared" si="1"/>
        <v>580900</v>
      </c>
    </row>
    <row r="46" spans="7:8">
      <c r="G46" s="1">
        <v>6119</v>
      </c>
      <c r="H46">
        <f t="shared" si="1"/>
        <v>611900</v>
      </c>
    </row>
    <row r="47" spans="7:8">
      <c r="G47" s="1">
        <v>6437</v>
      </c>
      <c r="H47">
        <f t="shared" si="1"/>
        <v>643700</v>
      </c>
    </row>
    <row r="48" spans="7:8">
      <c r="G48" s="1">
        <v>6762</v>
      </c>
      <c r="H48">
        <f t="shared" si="1"/>
        <v>676200</v>
      </c>
    </row>
    <row r="49" spans="7:8">
      <c r="G49" s="1">
        <v>7096</v>
      </c>
      <c r="H49">
        <f t="shared" si="1"/>
        <v>709600</v>
      </c>
    </row>
    <row r="50" spans="7:8">
      <c r="G50" s="1">
        <v>7438</v>
      </c>
      <c r="H50">
        <f t="shared" si="1"/>
        <v>743800</v>
      </c>
    </row>
    <row r="51" spans="7:8">
      <c r="G51" s="1">
        <v>7788</v>
      </c>
      <c r="H51">
        <f t="shared" si="1"/>
        <v>778800</v>
      </c>
    </row>
    <row r="52" spans="7:8">
      <c r="G52" s="1">
        <v>8146</v>
      </c>
      <c r="H52">
        <f t="shared" si="1"/>
        <v>814600</v>
      </c>
    </row>
    <row r="53" spans="7:8">
      <c r="G53" s="1">
        <v>8512</v>
      </c>
      <c r="H53">
        <f t="shared" si="1"/>
        <v>851200</v>
      </c>
    </row>
    <row r="54" spans="7:8">
      <c r="G54" s="1">
        <v>8887</v>
      </c>
      <c r="H54">
        <f t="shared" si="1"/>
        <v>888700</v>
      </c>
    </row>
    <row r="55" spans="7:8">
      <c r="G55" s="1">
        <v>9269</v>
      </c>
      <c r="H55">
        <f t="shared" si="1"/>
        <v>926900</v>
      </c>
    </row>
    <row r="56" spans="7:8">
      <c r="G56" s="1">
        <v>9659</v>
      </c>
      <c r="H56">
        <f t="shared" si="1"/>
        <v>965900</v>
      </c>
    </row>
    <row r="57" spans="7:8">
      <c r="G57" s="1">
        <v>10057</v>
      </c>
      <c r="H57">
        <f t="shared" si="1"/>
        <v>1005700</v>
      </c>
    </row>
    <row r="58" spans="7:8">
      <c r="G58" s="1">
        <v>10464</v>
      </c>
      <c r="H58">
        <f t="shared" si="1"/>
        <v>1046400</v>
      </c>
    </row>
    <row r="59" spans="7:8">
      <c r="G59" s="1">
        <v>10878</v>
      </c>
      <c r="H59">
        <f t="shared" si="1"/>
        <v>1087800</v>
      </c>
    </row>
    <row r="60" spans="7:8">
      <c r="G60" s="1">
        <v>11300</v>
      </c>
      <c r="H60">
        <f t="shared" si="1"/>
        <v>1130000</v>
      </c>
    </row>
    <row r="61" spans="7:8">
      <c r="G61" s="1">
        <v>11731</v>
      </c>
      <c r="H61">
        <f t="shared" si="1"/>
        <v>1173100</v>
      </c>
    </row>
    <row r="62" spans="7:8">
      <c r="G62" s="1">
        <v>12169</v>
      </c>
      <c r="H62">
        <f t="shared" si="1"/>
        <v>1216900</v>
      </c>
    </row>
    <row r="63" spans="7:8">
      <c r="G63" s="1">
        <v>12616</v>
      </c>
      <c r="H63">
        <f t="shared" si="1"/>
        <v>1261600</v>
      </c>
    </row>
    <row r="64" spans="7:8">
      <c r="G64" s="1">
        <v>13070</v>
      </c>
      <c r="H64">
        <f t="shared" si="1"/>
        <v>1307000</v>
      </c>
    </row>
    <row r="65" spans="7:8">
      <c r="G65" s="1">
        <v>13533</v>
      </c>
      <c r="H65">
        <f t="shared" si="1"/>
        <v>1353300</v>
      </c>
    </row>
    <row r="66" spans="7:8">
      <c r="G66" s="1">
        <v>14004</v>
      </c>
      <c r="H66">
        <f t="shared" si="1"/>
        <v>1400400</v>
      </c>
    </row>
    <row r="67" spans="7:8">
      <c r="G67" s="1">
        <v>14482</v>
      </c>
      <c r="H67">
        <f t="shared" si="1"/>
        <v>1448200</v>
      </c>
    </row>
    <row r="68" spans="7:8">
      <c r="G68" s="1">
        <v>14969</v>
      </c>
      <c r="H68">
        <f t="shared" si="1"/>
        <v>1496900</v>
      </c>
    </row>
    <row r="69" spans="7:8">
      <c r="G69" s="1">
        <v>15464</v>
      </c>
      <c r="H69">
        <f t="shared" si="1"/>
        <v>1546400</v>
      </c>
    </row>
    <row r="70" spans="7:8">
      <c r="G70" s="1">
        <v>15967</v>
      </c>
      <c r="H70">
        <f t="shared" si="1"/>
        <v>1596700</v>
      </c>
    </row>
    <row r="71" spans="7:8">
      <c r="G71" s="1">
        <v>16478</v>
      </c>
      <c r="H71">
        <f t="shared" si="1"/>
        <v>1647800</v>
      </c>
    </row>
    <row r="72" spans="7:8">
      <c r="G72" s="1">
        <v>16997</v>
      </c>
      <c r="H72">
        <f t="shared" si="1"/>
        <v>1699700</v>
      </c>
    </row>
    <row r="73" spans="7:8">
      <c r="G73" s="1">
        <v>17524</v>
      </c>
      <c r="H73">
        <f t="shared" ref="H73:H96" si="2">G73*$I$8</f>
        <v>1752400</v>
      </c>
    </row>
    <row r="74" spans="7:8">
      <c r="G74" s="1">
        <v>18059</v>
      </c>
      <c r="H74">
        <f t="shared" si="2"/>
        <v>1805900</v>
      </c>
    </row>
    <row r="75" spans="7:8">
      <c r="G75" s="1">
        <v>18602</v>
      </c>
      <c r="H75">
        <f t="shared" si="2"/>
        <v>1860200</v>
      </c>
    </row>
    <row r="76" spans="7:8">
      <c r="G76" s="1">
        <v>19153</v>
      </c>
      <c r="H76">
        <f t="shared" si="2"/>
        <v>1915300</v>
      </c>
    </row>
    <row r="77" spans="7:8">
      <c r="G77" s="1">
        <v>19712</v>
      </c>
      <c r="H77">
        <f t="shared" si="2"/>
        <v>1971200</v>
      </c>
    </row>
    <row r="78" spans="7:8">
      <c r="G78" s="1">
        <v>20279</v>
      </c>
      <c r="H78">
        <f t="shared" si="2"/>
        <v>2027900</v>
      </c>
    </row>
    <row r="79" spans="7:8">
      <c r="G79" s="1">
        <v>20855</v>
      </c>
      <c r="H79">
        <f t="shared" si="2"/>
        <v>2085500</v>
      </c>
    </row>
    <row r="80" spans="7:8">
      <c r="G80" s="1">
        <v>21438</v>
      </c>
      <c r="H80">
        <f t="shared" si="2"/>
        <v>2143800</v>
      </c>
    </row>
    <row r="81" spans="7:8">
      <c r="G81" s="1">
        <v>22029</v>
      </c>
      <c r="H81">
        <f t="shared" si="2"/>
        <v>2202900</v>
      </c>
    </row>
    <row r="82" spans="7:8">
      <c r="G82" s="1">
        <v>22629</v>
      </c>
      <c r="H82">
        <f t="shared" si="2"/>
        <v>2262900</v>
      </c>
    </row>
    <row r="83" spans="7:8">
      <c r="G83" s="1">
        <v>23236</v>
      </c>
      <c r="H83">
        <f t="shared" si="2"/>
        <v>2323600</v>
      </c>
    </row>
    <row r="84" spans="7:8">
      <c r="G84" s="1">
        <v>23852</v>
      </c>
      <c r="H84">
        <f t="shared" si="2"/>
        <v>2385200</v>
      </c>
    </row>
    <row r="85" spans="7:8">
      <c r="G85" s="1">
        <v>24475</v>
      </c>
      <c r="H85">
        <f t="shared" si="2"/>
        <v>2447500</v>
      </c>
    </row>
    <row r="86" spans="7:8">
      <c r="G86" s="1">
        <v>25107</v>
      </c>
      <c r="H86">
        <f t="shared" si="2"/>
        <v>2510700</v>
      </c>
    </row>
    <row r="87" spans="7:8">
      <c r="G87" s="1">
        <v>25746</v>
      </c>
      <c r="H87">
        <f t="shared" si="2"/>
        <v>2574600</v>
      </c>
    </row>
    <row r="88" spans="7:8">
      <c r="G88" s="1">
        <v>26394</v>
      </c>
      <c r="H88">
        <f t="shared" si="2"/>
        <v>2639400</v>
      </c>
    </row>
    <row r="89" spans="7:8">
      <c r="G89" s="1">
        <v>27050</v>
      </c>
      <c r="H89">
        <f t="shared" si="2"/>
        <v>2705000</v>
      </c>
    </row>
    <row r="90" spans="7:8">
      <c r="G90" s="1">
        <v>27714</v>
      </c>
      <c r="H90">
        <f t="shared" si="2"/>
        <v>2771400</v>
      </c>
    </row>
    <row r="91" spans="7:8">
      <c r="G91" s="1">
        <v>28385</v>
      </c>
      <c r="H91">
        <f t="shared" si="2"/>
        <v>2838500</v>
      </c>
    </row>
    <row r="92" spans="7:8">
      <c r="G92" s="1">
        <v>29065</v>
      </c>
      <c r="H92">
        <f t="shared" si="2"/>
        <v>2906500</v>
      </c>
    </row>
    <row r="93" spans="7:8">
      <c r="G93" s="1">
        <v>29753</v>
      </c>
      <c r="H93">
        <f t="shared" si="2"/>
        <v>2975300</v>
      </c>
    </row>
    <row r="94" spans="7:8">
      <c r="G94" s="1">
        <v>30449</v>
      </c>
      <c r="H94">
        <f t="shared" si="2"/>
        <v>3044900</v>
      </c>
    </row>
    <row r="95" spans="7:8">
      <c r="G95" s="1">
        <v>31153</v>
      </c>
      <c r="H95">
        <f t="shared" si="2"/>
        <v>3115300</v>
      </c>
    </row>
    <row r="96" spans="7:8">
      <c r="G96" s="1">
        <v>31865</v>
      </c>
      <c r="H96">
        <f t="shared" si="2"/>
        <v>3186500</v>
      </c>
    </row>
    <row r="97" spans="7:8">
      <c r="G97" s="1">
        <v>32585</v>
      </c>
      <c r="H97">
        <f t="shared" ref="H97:H105" si="3">G97*$I$8</f>
        <v>3258500</v>
      </c>
    </row>
    <row r="98" spans="7:8">
      <c r="G98" s="1">
        <v>33313</v>
      </c>
      <c r="H98">
        <f t="shared" si="3"/>
        <v>3331300</v>
      </c>
    </row>
    <row r="99" spans="7:8">
      <c r="G99" s="1">
        <v>34050</v>
      </c>
      <c r="H99">
        <f t="shared" si="3"/>
        <v>3405000</v>
      </c>
    </row>
    <row r="100" spans="7:8">
      <c r="G100" s="1">
        <v>34794</v>
      </c>
      <c r="H100">
        <f t="shared" si="3"/>
        <v>3479400</v>
      </c>
    </row>
    <row r="101" spans="7:8">
      <c r="G101" s="1">
        <v>35546</v>
      </c>
      <c r="H101">
        <f t="shared" si="3"/>
        <v>3554600</v>
      </c>
    </row>
    <row r="102" spans="7:8">
      <c r="G102" s="1">
        <v>36307</v>
      </c>
      <c r="H102">
        <f t="shared" si="3"/>
        <v>3630700</v>
      </c>
    </row>
    <row r="103" spans="7:8">
      <c r="G103" s="1">
        <v>37075</v>
      </c>
      <c r="H103">
        <f t="shared" si="3"/>
        <v>3707500</v>
      </c>
    </row>
    <row r="104" spans="7:8">
      <c r="G104" s="1">
        <v>37851</v>
      </c>
      <c r="H104">
        <f t="shared" si="3"/>
        <v>3785100</v>
      </c>
    </row>
    <row r="105" spans="7:8">
      <c r="G105" s="1">
        <v>38636</v>
      </c>
      <c r="H105">
        <f t="shared" si="3"/>
        <v>3863600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CasinoStatsSheet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不懂中文</cp:lastModifiedBy>
  <dcterms:created xsi:type="dcterms:W3CDTF">2023-05-12T11:15:00Z</dcterms:created>
  <dcterms:modified xsi:type="dcterms:W3CDTF">2026-09-16T02:42:24Z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02ADA5568A824118B21C85A1C92EF45F_12</vt:lpwstr>
  </property>
  <property fmtid="{D5CDD505-2E9C-101B-9397-08002B2CF9AE}" pid="4" name="CalculationRule">
    <vt:i4>0</vt:i4>
  </property>
</Properties>
</file>