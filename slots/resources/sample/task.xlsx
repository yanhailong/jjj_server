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task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2. [主线]任务
3. [成就]任务
4. [多人]任务
5. [联盟]任务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
充值类型的单位是分，比如要求充值9.99美元，需要填 999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1.当值为空或者0时，表示该任务没有品质
2.当值为1时，表示任务品质为-简单
3.当值为2时，表示任务品质为-中等
4.当值为3时，表示任务品质为-困难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当值为空时，表示没有时间上限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1.当值为false或空时，表示不能放弃；
2.当值为true时，表示可以放弃
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1.当值为空或0时，表示任务不能放弃，则没有放弃冷却时间；
2.当值为具体数值时，表示冷却时间，单位为妙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任务参与最低人数_任务参与最高人数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E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</t>
        </r>
      </text>
    </comment>
    <comment ref="G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H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I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K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E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</commentList>
</comments>
</file>

<file path=xl/sharedStrings.xml><?xml version="1.0" encoding="utf-8"?>
<sst xmlns="http://schemas.openxmlformats.org/spreadsheetml/2006/main" count="2980" uniqueCount="1337">
  <si>
    <t>任务ID</t>
  </si>
  <si>
    <t>任务类型</t>
  </si>
  <si>
    <t>#备注</t>
  </si>
  <si>
    <t>任务组</t>
  </si>
  <si>
    <t>后置任务ID</t>
  </si>
  <si>
    <t>任务条件</t>
  </si>
  <si>
    <t>解锁功能ID</t>
  </si>
  <si>
    <t>道具奖励</t>
  </si>
  <si>
    <t>积分奖励</t>
  </si>
  <si>
    <t>积分ICON</t>
  </si>
  <si>
    <t>按钮跳转类型</t>
  </si>
  <si>
    <t>任务图标</t>
  </si>
  <si>
    <t>开启时间</t>
  </si>
  <si>
    <t>任务品质</t>
  </si>
  <si>
    <t>持续时间（分）</t>
  </si>
  <si>
    <t>是否允许放弃</t>
  </si>
  <si>
    <t>放弃的冷却时间（秒）</t>
  </si>
  <si>
    <t>任务描述</t>
  </si>
  <si>
    <t>任务人数上下限</t>
  </si>
  <si>
    <t>#任务描述</t>
  </si>
  <si>
    <t>价值</t>
  </si>
  <si>
    <t>int</t>
  </si>
  <si>
    <t>list&lt;long&gt;{_}</t>
  </si>
  <si>
    <t>map&lt;int{_}long&gt;{|}</t>
  </si>
  <si>
    <t>string</t>
  </si>
  <si>
    <t>boolean</t>
  </si>
  <si>
    <t>List&lt;int&gt;{_}</t>
  </si>
  <si>
    <t>id</t>
  </si>
  <si>
    <t>taskType</t>
  </si>
  <si>
    <t>group</t>
  </si>
  <si>
    <t>taskConditionId</t>
  </si>
  <si>
    <t>FunctionId</t>
  </si>
  <si>
    <t>getItem</t>
  </si>
  <si>
    <t>integralNum</t>
  </si>
  <si>
    <t>integralIcon</t>
  </si>
  <si>
    <t>jumpType</t>
  </si>
  <si>
    <t>taskIcon</t>
  </si>
  <si>
    <t>time</t>
  </si>
  <si>
    <t>Quality</t>
  </si>
  <si>
    <t>Duration</t>
  </si>
  <si>
    <t>AllowAbandon</t>
  </si>
  <si>
    <t>AbandonCooldown</t>
  </si>
  <si>
    <t>language</t>
  </si>
  <si>
    <t>MinandMax</t>
  </si>
  <si>
    <t>积分大奖</t>
  </si>
  <si>
    <t>11002_300_0</t>
  </si>
  <si>
    <t>itemicon_1022504.png</t>
  </si>
  <si>
    <t>task_500001.png</t>
  </si>
  <si>
    <t>累積充值達到 3 $</t>
  </si>
  <si>
    <t>累计充值</t>
  </si>
  <si>
    <t xml:space="preserve">300 </t>
  </si>
  <si>
    <t>Cumulative top-up reaches 3 $</t>
  </si>
  <si>
    <t>Tích lũy nạp tiền đạt 3 $</t>
  </si>
  <si>
    <t>Recarga acumulada atinge 3 $</t>
  </si>
  <si>
    <t>11002_1400_0</t>
  </si>
  <si>
    <t>累積充值達到 14 $</t>
  </si>
  <si>
    <t xml:space="preserve">1,400 </t>
  </si>
  <si>
    <t>Cumulative top-up reaches 14 $</t>
  </si>
  <si>
    <t>Tích lũy nạp tiền đạt 14 $</t>
  </si>
  <si>
    <t>Recarga acumulada atinge 14 $</t>
  </si>
  <si>
    <t>11002_2800_0</t>
  </si>
  <si>
    <t>累積充值達到 28 $</t>
  </si>
  <si>
    <t xml:space="preserve">2,800 </t>
  </si>
  <si>
    <t>Cumulative top-up reaches 28 $</t>
  </si>
  <si>
    <t>Tích lũy nạp tiền đạt 28 $</t>
  </si>
  <si>
    <t>Recarga acumulada atinge 28 $</t>
  </si>
  <si>
    <t>11002_8500_0</t>
  </si>
  <si>
    <t>累積充值達到 85 $</t>
  </si>
  <si>
    <t xml:space="preserve">8,500 </t>
  </si>
  <si>
    <t>Cumulative top-up reaches 85 $</t>
  </si>
  <si>
    <t>Tích lũy nạp tiền đạt 85 $</t>
  </si>
  <si>
    <t>Recarga acumulada atinge 85 $</t>
  </si>
  <si>
    <t>11002_18700_0</t>
  </si>
  <si>
    <t>累積充值達到 187 $</t>
  </si>
  <si>
    <t xml:space="preserve">18,700 </t>
  </si>
  <si>
    <t>Cumulative top-up reaches 187 $</t>
  </si>
  <si>
    <t>Tích lũy nạp tiền đạt 187 $</t>
  </si>
  <si>
    <t>Recarga acumulada atinge 187 $</t>
  </si>
  <si>
    <t>11002_28300_0</t>
  </si>
  <si>
    <t>累積充值達到 283 $</t>
  </si>
  <si>
    <t xml:space="preserve">28,300 </t>
  </si>
  <si>
    <t>Cumulative top-up reaches 283 $</t>
  </si>
  <si>
    <t>Tích lũy nạp tiền đạt 283 $</t>
  </si>
  <si>
    <t>Recarga acumulada atinge 283 $</t>
  </si>
  <si>
    <t>12001_100700_144000</t>
  </si>
  <si>
    <t>task_100700.png</t>
  </si>
  <si>
    <t xml:space="preserve">在[麻将胡了]電子遊戲中，金币有效下注累積達到 144,000 </t>
  </si>
  <si>
    <t>游戏有效下注</t>
  </si>
  <si>
    <t>麻将胡了</t>
  </si>
  <si>
    <t xml:space="preserve">144,000 </t>
  </si>
  <si>
    <t>Mahjong Hu</t>
  </si>
  <si>
    <t xml:space="preserve">In the [Mahjong Hu] electronic game, the cumulative valid coin bets reach 144,000 </t>
  </si>
  <si>
    <t>Mạt chược</t>
  </si>
  <si>
    <t xml:space="preserve">Trong trò chơi [Mạt chược], tích lũy đặt cược hợp lệ tiền vàng đạt 144,000 </t>
  </si>
  <si>
    <t>Mahjong H</t>
  </si>
  <si>
    <t xml:space="preserve">No videogame [Mahjong H], as apostas válidas acumuladas em Moedas de Ouro atingem 144,000 </t>
  </si>
  <si>
    <t>12001_100300_144000</t>
  </si>
  <si>
    <t>task_100300.png</t>
  </si>
  <si>
    <t xml:space="preserve">在[超级明星]電子遊戲中，金币有效下注累積達到 144,000 </t>
  </si>
  <si>
    <t>超级明星</t>
  </si>
  <si>
    <t>Super Star</t>
  </si>
  <si>
    <t xml:space="preserve">In the [Super Star] electronic game, the cumulative valid coin bets reach 144,000 </t>
  </si>
  <si>
    <t>Siêu Sao</t>
  </si>
  <si>
    <t xml:space="preserve">Trong trò chơi [Siêu Sao], tích lũy đặt cược hợp lệ tiền vàng đạt 144,000 </t>
  </si>
  <si>
    <t xml:space="preserve">No videogame [Super Star], as apostas válidas acumuladas em Moedas de Ouro atingem 144,000 </t>
  </si>
  <si>
    <t>12001_101200_144000</t>
  </si>
  <si>
    <t>task_101200.png</t>
  </si>
  <si>
    <t xml:space="preserve">在[财神]電子遊戲中，金币有效下注累積達到 144,000 </t>
  </si>
  <si>
    <t>财神</t>
  </si>
  <si>
    <t>God of Wealth</t>
  </si>
  <si>
    <t xml:space="preserve">In the [God of Wealth] electronic game, the cumulative valid coin bets reach 144,000 </t>
  </si>
  <si>
    <t>Thần Tài</t>
  </si>
  <si>
    <t xml:space="preserve">Trong trò chơi [Thần Tài], tích lũy đặt cược hợp lệ tiền vàng đạt 144,000 </t>
  </si>
  <si>
    <t xml:space="preserve">No videogame [God of Wealth], as apostas válidas acumuladas em Moedas de Ouro atingem 144,000 </t>
  </si>
  <si>
    <t>12001_101400_144000</t>
  </si>
  <si>
    <t>task_101400.png</t>
  </si>
  <si>
    <t xml:space="preserve">在[埃及艳后]電子遊戲中，金币有效下注累積達到 144,000 </t>
  </si>
  <si>
    <t>埃及艳后</t>
  </si>
  <si>
    <t>Cleopatra</t>
  </si>
  <si>
    <t xml:space="preserve">In the [Cleopatra] electronic game, the cumulative valid coin bets reach 144,000 </t>
  </si>
  <si>
    <t>Nữ hoàng Ai Cập</t>
  </si>
  <si>
    <t xml:space="preserve">Trong trò chơi [Nữ hoàng Ai Cập], tích lũy đặt cược hợp lệ tiền vàng đạt 144,000 </t>
  </si>
  <si>
    <t>Cleópatra</t>
  </si>
  <si>
    <t xml:space="preserve">No videogame [Cleópatra], as apostas válidas acumuladas em Moedas de Ouro atingem 144,000 </t>
  </si>
  <si>
    <t>12001_0_144000</t>
  </si>
  <si>
    <t>task_500007.png</t>
  </si>
  <si>
    <t xml:space="preserve">在任意遊戲中，金币有效下注累積達到 144,000 </t>
  </si>
  <si>
    <t>任意有效下注</t>
  </si>
  <si>
    <t>通用</t>
  </si>
  <si>
    <t>any game</t>
  </si>
  <si>
    <t xml:space="preserve">In any game, the cumulative valid coin bets reach 144,000 </t>
  </si>
  <si>
    <t>bất kỳ</t>
  </si>
  <si>
    <t xml:space="preserve">Trong trò chơi [bất kỳ], tích lũy đặt cược hợp lệ tiền vàng đạt 144,000 </t>
  </si>
  <si>
    <t>qualquer jogo</t>
  </si>
  <si>
    <t xml:space="preserve">No videogame [qualquer jogo], as apostas válidas acumuladas em Moedas de Ouro atingem 144,000 </t>
  </si>
  <si>
    <t>12001_101700_144000</t>
  </si>
  <si>
    <t>task_101700.png</t>
  </si>
  <si>
    <t xml:space="preserve">在[圣诞狂欢夜]電子遊戲中，金币有效下注累積達到 144,000 </t>
  </si>
  <si>
    <t>圣诞狂欢夜</t>
  </si>
  <si>
    <t xml:space="preserve">Christmas Eve Party </t>
  </si>
  <si>
    <t xml:space="preserve">In the [Christmas Eve Party ] electronic game, the cumulative valid coin bets reach 144,000 </t>
  </si>
  <si>
    <t>Đại tiệc Giáng Sinh</t>
  </si>
  <si>
    <t xml:space="preserve">Trong trò chơi [Đại tiệc Giáng Sinh], tích lũy đặt cược hợp lệ tiền vàng đạt 144,000 </t>
  </si>
  <si>
    <t>Noite de festa de Natal</t>
  </si>
  <si>
    <t xml:space="preserve">No videogame [Noite de festa de Natal], as apostas válidas acumuladas em Moedas de Ouro atingem 144,000 </t>
  </si>
  <si>
    <t>12001_102100_144000</t>
  </si>
  <si>
    <t>task_102100.png</t>
  </si>
  <si>
    <t xml:space="preserve">在[杰克船长]電子遊戲中，金币有效下注累積達到 144,000 </t>
  </si>
  <si>
    <t>杰克船长</t>
  </si>
  <si>
    <t>Captain Jack</t>
  </si>
  <si>
    <t xml:space="preserve">In the [Captain Jack] electronic game, the cumulative valid coin bets reach 144,000 </t>
  </si>
  <si>
    <t>Thuyền trưởng Jack</t>
  </si>
  <si>
    <t xml:space="preserve">Trong trò chơi [Thuyền trưởng Jack], tích lũy đặt cược hợp lệ tiền vàng đạt 144,000 </t>
  </si>
  <si>
    <t>Capitão Jack</t>
  </si>
  <si>
    <t xml:space="preserve">No videogame [Capitão Jack], as apostas válidas acumuladas em Moedas de Ouro atingem 144,000 </t>
  </si>
  <si>
    <t>12001_102200_144000</t>
  </si>
  <si>
    <t>task_102200.png</t>
  </si>
  <si>
    <t xml:space="preserve">在[雷神]電子遊戲中，金币有效下注累積達到 144,000 </t>
  </si>
  <si>
    <t>雷神</t>
  </si>
  <si>
    <t>Thor</t>
  </si>
  <si>
    <t xml:space="preserve">In the [Thor] electronic game, the cumulative valid coin bets reach 144,000 </t>
  </si>
  <si>
    <t>Thần Sấm</t>
  </si>
  <si>
    <t xml:space="preserve">Trong trò chơi [Thần Sấm], tích lũy đặt cược hợp lệ tiền vàng đạt 144,000 </t>
  </si>
  <si>
    <t xml:space="preserve">No videogame [Thor], as apostas válidas acumuladas em Moedas de Ouro atingem 144,000 </t>
  </si>
  <si>
    <t>12001_102300_144000</t>
  </si>
  <si>
    <t>task_102300.png</t>
  </si>
  <si>
    <t xml:space="preserve">在[蒸汽时代]電子遊戲中，金币有效下注累積達到 144,000 </t>
  </si>
  <si>
    <t>蒸汽时代</t>
  </si>
  <si>
    <t>Steam Era</t>
  </si>
  <si>
    <t xml:space="preserve">In the [Steam Era] electronic game, the cumulative valid coin bets reach 144,000 </t>
  </si>
  <si>
    <t>Kỷ nguyên hơi nước</t>
  </si>
  <si>
    <t xml:space="preserve">Trong trò chơi [Kỷ nguyên hơi nước], tích lũy đặt cược hợp lệ tiền vàng đạt 144,000 </t>
  </si>
  <si>
    <t>Era do Vapor</t>
  </si>
  <si>
    <t xml:space="preserve">No videogame [Era do Vapor], as apostas válidas acumuladas em Moedas de Ouro atingem 144,000 </t>
  </si>
  <si>
    <t>12001_102400_144000</t>
  </si>
  <si>
    <t>task_102400.png</t>
  </si>
  <si>
    <t xml:space="preserve">在[财富银行]電子遊戲中，金币有效下注累積達到 144,000 </t>
  </si>
  <si>
    <t>财富银行</t>
  </si>
  <si>
    <t>Wealth Bank</t>
  </si>
  <si>
    <t xml:space="preserve">In the [Wealth Bank] electronic game, the cumulative valid coin bets reach 144,000 </t>
  </si>
  <si>
    <t>Ngân Hàng</t>
  </si>
  <si>
    <t xml:space="preserve">Trong trò chơi [Ngân Hàng], tích lũy đặt cược hợp lệ tiền vàng đạt 144,000 </t>
  </si>
  <si>
    <t>Banco da Riqueza</t>
  </si>
  <si>
    <t xml:space="preserve">No videogame [Banco da Riqueza], as apostas válidas acumuladas em Moedas de Ouro atingem 144,000 </t>
  </si>
  <si>
    <t>12001_100700_713000</t>
  </si>
  <si>
    <t xml:space="preserve">在[麻将胡了]電子遊戲中，金币有效下注累積達到 713,000 </t>
  </si>
  <si>
    <t xml:space="preserve">713,000 </t>
  </si>
  <si>
    <t xml:space="preserve">In the [Mahjong Hu] electronic game, the cumulative valid coin bets reach 713,000 </t>
  </si>
  <si>
    <t xml:space="preserve">Trong trò chơi [Mạt chược], tích lũy đặt cược hợp lệ tiền vàng đạt 713,000 </t>
  </si>
  <si>
    <t xml:space="preserve">No videogame [Mahjong H], as apostas válidas acumuladas em Moedas de Ouro atingem 713,000 </t>
  </si>
  <si>
    <t>12001_100300_713000</t>
  </si>
  <si>
    <t xml:space="preserve">在[超级明星]電子遊戲中，金币有效下注累積達到 713,000 </t>
  </si>
  <si>
    <t xml:space="preserve">In the [Super Star] electronic game, the cumulative valid coin bets reach 713,000 </t>
  </si>
  <si>
    <t xml:space="preserve">Trong trò chơi [Siêu Sao], tích lũy đặt cược hợp lệ tiền vàng đạt 713,000 </t>
  </si>
  <si>
    <t xml:space="preserve">No videogame [Super Star], as apostas válidas acumuladas em Moedas de Ouro atingem 713,000 </t>
  </si>
  <si>
    <t>12001_101200_713000</t>
  </si>
  <si>
    <t xml:space="preserve">在[财神]電子遊戲中，金币有效下注累積達到 713,000 </t>
  </si>
  <si>
    <t xml:space="preserve">In the [God of Wealth] electronic game, the cumulative valid coin bets reach 713,000 </t>
  </si>
  <si>
    <t xml:space="preserve">Trong trò chơi [Thần Tài], tích lũy đặt cược hợp lệ tiền vàng đạt 713,000 </t>
  </si>
  <si>
    <t xml:space="preserve">No videogame [God of Wealth], as apostas válidas acumuladas em Moedas de Ouro atingem 713,000 </t>
  </si>
  <si>
    <t>12001_101400_713000</t>
  </si>
  <si>
    <t xml:space="preserve">在[埃及艳后]電子遊戲中，金币有效下注累積達到 713,000 </t>
  </si>
  <si>
    <t xml:space="preserve">In the [Cleopatra] electronic game, the cumulative valid coin bets reach 713,000 </t>
  </si>
  <si>
    <t xml:space="preserve">Trong trò chơi [Nữ hoàng Ai Cập], tích lũy đặt cược hợp lệ tiền vàng đạt 713,000 </t>
  </si>
  <si>
    <t xml:space="preserve">No videogame [Cleópatra], as apostas válidas acumuladas em Moedas de Ouro atingem 713,000 </t>
  </si>
  <si>
    <t>12001_0_713000</t>
  </si>
  <si>
    <t xml:space="preserve">在任意遊戲中，金币有效下注累積達到 713,000 </t>
  </si>
  <si>
    <t xml:space="preserve">In any game, the cumulative valid coin bets reach 713,000 </t>
  </si>
  <si>
    <t xml:space="preserve">Trong trò chơi [bất kỳ], tích lũy đặt cược hợp lệ tiền vàng đạt 713,000 </t>
  </si>
  <si>
    <t xml:space="preserve">No videogame [qualquer jogo], as apostas válidas acumuladas em Moedas de Ouro atingem 713,000 </t>
  </si>
  <si>
    <t>12001_101700_713000</t>
  </si>
  <si>
    <t xml:space="preserve">在[圣诞狂欢夜]電子遊戲中，金币有效下注累積達到 713,000 </t>
  </si>
  <si>
    <t xml:space="preserve">In the [Christmas Eve Party ] electronic game, the cumulative valid coin bets reach 713,000 </t>
  </si>
  <si>
    <t xml:space="preserve">Trong trò chơi [Đại tiệc Giáng Sinh], tích lũy đặt cược hợp lệ tiền vàng đạt 713,000 </t>
  </si>
  <si>
    <t xml:space="preserve">No videogame [Noite de festa de Natal], as apostas válidas acumuladas em Moedas de Ouro atingem 713,000 </t>
  </si>
  <si>
    <t>12001_102100_713000</t>
  </si>
  <si>
    <t xml:space="preserve">在[杰克船长]電子遊戲中，金币有效下注累積達到 713,000 </t>
  </si>
  <si>
    <t xml:space="preserve">In the [Captain Jack] electronic game, the cumulative valid coin bets reach 713,000 </t>
  </si>
  <si>
    <t xml:space="preserve">Trong trò chơi [Thuyền trưởng Jack], tích lũy đặt cược hợp lệ tiền vàng đạt 713,000 </t>
  </si>
  <si>
    <t xml:space="preserve">No videogame [Capitão Jack], as apostas válidas acumuladas em Moedas de Ouro atingem 713,000 </t>
  </si>
  <si>
    <t>12001_102200_713000</t>
  </si>
  <si>
    <t xml:space="preserve">在[雷神]電子遊戲中，金币有效下注累積達到 713,000 </t>
  </si>
  <si>
    <t xml:space="preserve">In the [Thor] electronic game, the cumulative valid coin bets reach 713,000 </t>
  </si>
  <si>
    <t xml:space="preserve">Trong trò chơi [Thần Sấm], tích lũy đặt cược hợp lệ tiền vàng đạt 713,000 </t>
  </si>
  <si>
    <t xml:space="preserve">No videogame [Thor], as apostas válidas acumuladas em Moedas de Ouro atingem 713,000 </t>
  </si>
  <si>
    <t>12001_102300_713000</t>
  </si>
  <si>
    <t xml:space="preserve">在[蒸汽时代]電子遊戲中，金币有效下注累積達到 713,000 </t>
  </si>
  <si>
    <t xml:space="preserve">In the [Steam Era] electronic game, the cumulative valid coin bets reach 713,000 </t>
  </si>
  <si>
    <t xml:space="preserve">Trong trò chơi [Kỷ nguyên hơi nước], tích lũy đặt cược hợp lệ tiền vàng đạt 713,000 </t>
  </si>
  <si>
    <t xml:space="preserve">No videogame [Era do Vapor], as apostas válidas acumuladas em Moedas de Ouro atingem 713,000 </t>
  </si>
  <si>
    <t>12001_102400_713000</t>
  </si>
  <si>
    <t xml:space="preserve">在[财富银行]電子遊戲中，金币有效下注累積達到 713,000 </t>
  </si>
  <si>
    <t xml:space="preserve">In the [Wealth Bank] electronic game, the cumulative valid coin bets reach 713,000 </t>
  </si>
  <si>
    <t xml:space="preserve">Trong trò chơi [Ngân Hàng], tích lũy đặt cược hợp lệ tiền vàng đạt 713,000 </t>
  </si>
  <si>
    <t xml:space="preserve">No videogame [Banco da Riqueza], as apostas válidas acumuladas em Moedas de Ouro atingem 713,000 </t>
  </si>
  <si>
    <t>12001_100700_2138000</t>
  </si>
  <si>
    <t xml:space="preserve">在[麻将胡了]電子遊戲中，金币有效下注累積達到 2,138,000 </t>
  </si>
  <si>
    <t xml:space="preserve">2,138,000 </t>
  </si>
  <si>
    <t xml:space="preserve">In the [Mahjong Hu] electronic game, the cumulative valid coin bets reach 2,138,000 </t>
  </si>
  <si>
    <t xml:space="preserve">Trong trò chơi [Mạt chược], tích lũy đặt cược hợp lệ tiền vàng đạt 2,138,000 </t>
  </si>
  <si>
    <t xml:space="preserve">No videogame [Mahjong H], as apostas válidas acumuladas em Moedas de Ouro atingem 2,138,000 </t>
  </si>
  <si>
    <t>12001_100300_2138000</t>
  </si>
  <si>
    <t xml:space="preserve">在[超级明星]電子遊戲中，金币有效下注累積達到 2,138,000 </t>
  </si>
  <si>
    <t xml:space="preserve">In the [Super Star] electronic game, the cumulative valid coin bets reach 2,138,000 </t>
  </si>
  <si>
    <t xml:space="preserve">Trong trò chơi [Siêu Sao], tích lũy đặt cược hợp lệ tiền vàng đạt 2,138,000 </t>
  </si>
  <si>
    <t xml:space="preserve">No videogame [Super Star], as apostas válidas acumuladas em Moedas de Ouro atingem 2,138,000 </t>
  </si>
  <si>
    <t>12001_101200_2138000</t>
  </si>
  <si>
    <t xml:space="preserve">在[财神]電子遊戲中，金币有效下注累積達到 2,138,000 </t>
  </si>
  <si>
    <t xml:space="preserve">In the [God of Wealth] electronic game, the cumulative valid coin bets reach 2,138,000 </t>
  </si>
  <si>
    <t xml:space="preserve">Trong trò chơi [Thần Tài], tích lũy đặt cược hợp lệ tiền vàng đạt 2,138,000 </t>
  </si>
  <si>
    <t xml:space="preserve">No videogame [God of Wealth], as apostas válidas acumuladas em Moedas de Ouro atingem 2,138,000 </t>
  </si>
  <si>
    <t>12001_101400_2138000</t>
  </si>
  <si>
    <t xml:space="preserve">在[埃及艳后]電子遊戲中，金币有效下注累積達到 2,138,000 </t>
  </si>
  <si>
    <t xml:space="preserve">In the [Cleopatra] electronic game, the cumulative valid coin bets reach 2,138,000 </t>
  </si>
  <si>
    <t xml:space="preserve">Trong trò chơi [Nữ hoàng Ai Cập], tích lũy đặt cược hợp lệ tiền vàng đạt 2,138,000 </t>
  </si>
  <si>
    <t xml:space="preserve">No videogame [Cleópatra], as apostas válidas acumuladas em Moedas de Ouro atingem 2,138,000 </t>
  </si>
  <si>
    <t>12001_0_2138000</t>
  </si>
  <si>
    <t xml:space="preserve">在任意遊戲中，金币有效下注累積達到 2,138,000 </t>
  </si>
  <si>
    <t xml:space="preserve">In any game, the cumulative valid coin bets reach 2,138,000 </t>
  </si>
  <si>
    <t xml:space="preserve">Trong trò chơi [bất kỳ], tích lũy đặt cược hợp lệ tiền vàng đạt 2,138,000 </t>
  </si>
  <si>
    <t xml:space="preserve">No videogame [qualquer jogo], as apostas válidas acumuladas em Moedas de Ouro atingem 2,138,000 </t>
  </si>
  <si>
    <t>12001_101700_2138000</t>
  </si>
  <si>
    <t xml:space="preserve">在[圣诞狂欢夜]電子遊戲中，金币有效下注累積達到 2,138,000 </t>
  </si>
  <si>
    <t xml:space="preserve">In the [Christmas Eve Party ] electronic game, the cumulative valid coin bets reach 2,138,000 </t>
  </si>
  <si>
    <t xml:space="preserve">Trong trò chơi [Đại tiệc Giáng Sinh], tích lũy đặt cược hợp lệ tiền vàng đạt 2,138,000 </t>
  </si>
  <si>
    <t xml:space="preserve">No videogame [Noite de festa de Natal], as apostas válidas acumuladas em Moedas de Ouro atingem 2,138,000 </t>
  </si>
  <si>
    <t>12001_102100_2138000</t>
  </si>
  <si>
    <t xml:space="preserve">在[杰克船长]電子遊戲中，金币有效下注累積達到 2,138,000 </t>
  </si>
  <si>
    <t xml:space="preserve">In the [Captain Jack] electronic game, the cumulative valid coin bets reach 2,138,000 </t>
  </si>
  <si>
    <t xml:space="preserve">Trong trò chơi [Thuyền trưởng Jack], tích lũy đặt cược hợp lệ tiền vàng đạt 2,138,000 </t>
  </si>
  <si>
    <t xml:space="preserve">No videogame [Capitão Jack], as apostas válidas acumuladas em Moedas de Ouro atingem 2,138,000 </t>
  </si>
  <si>
    <t>12001_102200_2138000</t>
  </si>
  <si>
    <t xml:space="preserve">在[雷神]電子遊戲中，金币有效下注累積達到 2,138,000 </t>
  </si>
  <si>
    <t xml:space="preserve">In the [Thor] electronic game, the cumulative valid coin bets reach 2,138,000 </t>
  </si>
  <si>
    <t xml:space="preserve">Trong trò chơi [Thần Sấm], tích lũy đặt cược hợp lệ tiền vàng đạt 2,138,000 </t>
  </si>
  <si>
    <t xml:space="preserve">No videogame [Thor], as apostas válidas acumuladas em Moedas de Ouro atingem 2,138,000 </t>
  </si>
  <si>
    <t>12001_102300_2138000</t>
  </si>
  <si>
    <t xml:space="preserve">在[蒸汽时代]電子遊戲中，金币有效下注累積達到 2,138,000 </t>
  </si>
  <si>
    <t xml:space="preserve">In the [Steam Era] electronic game, the cumulative valid coin bets reach 2,138,000 </t>
  </si>
  <si>
    <t xml:space="preserve">Trong trò chơi [Kỷ nguyên hơi nước], tích lũy đặt cược hợp lệ tiền vàng đạt 2,138,000 </t>
  </si>
  <si>
    <t xml:space="preserve">No videogame [Era do Vapor], as apostas válidas acumuladas em Moedas de Ouro atingem 2,138,000 </t>
  </si>
  <si>
    <t>12001_102400_2138000</t>
  </si>
  <si>
    <t xml:space="preserve">在[财富银行]電子遊戲中，金币有效下注累積達到 2,138,000 </t>
  </si>
  <si>
    <t xml:space="preserve">In the [Wealth Bank] electronic game, the cumulative valid coin bets reach 2,138,000 </t>
  </si>
  <si>
    <t xml:space="preserve">Trong trò chơi [Ngân Hàng], tích lũy đặt cược hợp lệ tiền vàng đạt 2,138,000 </t>
  </si>
  <si>
    <t xml:space="preserve">No videogame [Banco da Riqueza], as apostas válidas acumuladas em Moedas de Ouro atingem 2,138,000 </t>
  </si>
  <si>
    <t>12001_100700_4277000</t>
  </si>
  <si>
    <t xml:space="preserve">在[麻将胡了]電子遊戲中，金币有效下注累積達到 4,277,000 </t>
  </si>
  <si>
    <t xml:space="preserve">4,277,000 </t>
  </si>
  <si>
    <t xml:space="preserve">In the [Mahjong Hu] electronic game, the cumulative valid coin bets reach 4,277,000 </t>
  </si>
  <si>
    <t xml:space="preserve">Trong trò chơi [Mạt chược], tích lũy đặt cược hợp lệ tiền vàng đạt 4,277,000 </t>
  </si>
  <si>
    <t xml:space="preserve">No videogame [Mahjong H], as apostas válidas acumuladas em Moedas de Ouro atingem 4,277,000 </t>
  </si>
  <si>
    <t>12001_100300_4277000</t>
  </si>
  <si>
    <t xml:space="preserve">在[超级明星]電子遊戲中，金币有效下注累積達到 4,277,000 </t>
  </si>
  <si>
    <t xml:space="preserve">In the [Super Star] electronic game, the cumulative valid coin bets reach 4,277,000 </t>
  </si>
  <si>
    <t xml:space="preserve">Trong trò chơi [Siêu Sao], tích lũy đặt cược hợp lệ tiền vàng đạt 4,277,000 </t>
  </si>
  <si>
    <t xml:space="preserve">No videogame [Super Star], as apostas válidas acumuladas em Moedas de Ouro atingem 4,277,000 </t>
  </si>
  <si>
    <t>12001_101200_4277000</t>
  </si>
  <si>
    <t xml:space="preserve">在[财神]電子遊戲中，金币有效下注累積達到 4,277,000 </t>
  </si>
  <si>
    <t xml:space="preserve">In the [God of Wealth] electronic game, the cumulative valid coin bets reach 4,277,000 </t>
  </si>
  <si>
    <t xml:space="preserve">Trong trò chơi [Thần Tài], tích lũy đặt cược hợp lệ tiền vàng đạt 4,277,000 </t>
  </si>
  <si>
    <t xml:space="preserve">No videogame [God of Wealth], as apostas válidas acumuladas em Moedas de Ouro atingem 4,277,000 </t>
  </si>
  <si>
    <t>12001_101400_4277000</t>
  </si>
  <si>
    <t xml:space="preserve">在[埃及艳后]電子遊戲中，金币有效下注累積達到 4,277,000 </t>
  </si>
  <si>
    <t xml:space="preserve">In the [Cleopatra] electronic game, the cumulative valid coin bets reach 4,277,000 </t>
  </si>
  <si>
    <t xml:space="preserve">Trong trò chơi [Nữ hoàng Ai Cập], tích lũy đặt cược hợp lệ tiền vàng đạt 4,277,000 </t>
  </si>
  <si>
    <t xml:space="preserve">No videogame [Cleópatra], as apostas válidas acumuladas em Moedas de Ouro atingem 4,277,000 </t>
  </si>
  <si>
    <t>12001_0_4277000</t>
  </si>
  <si>
    <t xml:space="preserve">在任意遊戲中，金币有效下注累積達到 4,277,000 </t>
  </si>
  <si>
    <t xml:space="preserve">In any game, the cumulative valid coin bets reach 4,277,000 </t>
  </si>
  <si>
    <t xml:space="preserve">Trong trò chơi [bất kỳ], tích lũy đặt cược hợp lệ tiền vàng đạt 4,277,000 </t>
  </si>
  <si>
    <t xml:space="preserve">No videogame [qualquer jogo], as apostas válidas acumuladas em Moedas de Ouro atingem 4,277,000 </t>
  </si>
  <si>
    <t>12001_101700_4277000</t>
  </si>
  <si>
    <t xml:space="preserve">在[圣诞狂欢夜]電子遊戲中，金币有效下注累積達到 4,277,000 </t>
  </si>
  <si>
    <t xml:space="preserve">In the [Christmas Eve Party ] electronic game, the cumulative valid coin bets reach 4,277,000 </t>
  </si>
  <si>
    <t xml:space="preserve">Trong trò chơi [Đại tiệc Giáng Sinh], tích lũy đặt cược hợp lệ tiền vàng đạt 4,277,000 </t>
  </si>
  <si>
    <t xml:space="preserve">No videogame [Noite de festa de Natal], as apostas válidas acumuladas em Moedas de Ouro atingem 4,277,000 </t>
  </si>
  <si>
    <t>12001_102100_4277000</t>
  </si>
  <si>
    <t xml:space="preserve">在[杰克船长]電子遊戲中，金币有效下注累積達到 4,277,000 </t>
  </si>
  <si>
    <t xml:space="preserve">In the [Captain Jack] electronic game, the cumulative valid coin bets reach 4,277,000 </t>
  </si>
  <si>
    <t xml:space="preserve">Trong trò chơi [Thuyền trưởng Jack], tích lũy đặt cược hợp lệ tiền vàng đạt 4,277,000 </t>
  </si>
  <si>
    <t xml:space="preserve">No videogame [Capitão Jack], as apostas válidas acumuladas em Moedas de Ouro atingem 4,277,000 </t>
  </si>
  <si>
    <t>12001_102200_4277000</t>
  </si>
  <si>
    <t xml:space="preserve">在[雷神]電子遊戲中，金币有效下注累積達到 4,277,000 </t>
  </si>
  <si>
    <t xml:space="preserve">In the [Thor] electronic game, the cumulative valid coin bets reach 4,277,000 </t>
  </si>
  <si>
    <t xml:space="preserve">Trong trò chơi [Thần Sấm], tích lũy đặt cược hợp lệ tiền vàng đạt 4,277,000 </t>
  </si>
  <si>
    <t xml:space="preserve">No videogame [Thor], as apostas válidas acumuladas em Moedas de Ouro atingem 4,277,000 </t>
  </si>
  <si>
    <t>12001_102300_4277000</t>
  </si>
  <si>
    <t xml:space="preserve">在[蒸汽时代]電子遊戲中，金币有效下注累積達到 4,277,000 </t>
  </si>
  <si>
    <t xml:space="preserve">In the [Steam Era] electronic game, the cumulative valid coin bets reach 4,277,000 </t>
  </si>
  <si>
    <t xml:space="preserve">Trong trò chơi [Kỷ nguyên hơi nước], tích lũy đặt cược hợp lệ tiền vàng đạt 4,277,000 </t>
  </si>
  <si>
    <t xml:space="preserve">No videogame [Era do Vapor], as apostas válidas acumuladas em Moedas de Ouro atingem 4,277,000 </t>
  </si>
  <si>
    <t>12001_102400_4277000</t>
  </si>
  <si>
    <t xml:space="preserve">在[财富银行]電子遊戲中，金币有效下注累積達到 4,277,000 </t>
  </si>
  <si>
    <t xml:space="preserve">In the [Wealth Bank] electronic game, the cumulative valid coin bets reach 4,277,000 </t>
  </si>
  <si>
    <t xml:space="preserve">Trong trò chơi [Ngân Hàng], tích lũy đặt cược hợp lệ tiền vàng đạt 4,277,000 </t>
  </si>
  <si>
    <t xml:space="preserve">No videogame [Banco da Riqueza], as apostas válidas acumuladas em Moedas de Ouro atingem 4,277,000 </t>
  </si>
  <si>
    <t>12001_100700_7128000</t>
  </si>
  <si>
    <t xml:space="preserve">在[麻将胡了]電子遊戲中，金币有效下注累積達到 7,128,000 </t>
  </si>
  <si>
    <t xml:space="preserve">7,128,000 </t>
  </si>
  <si>
    <t xml:space="preserve">In the [Mahjong Hu] electronic game, the cumulative valid coin bets reach 7,128,000 </t>
  </si>
  <si>
    <t xml:space="preserve">Trong trò chơi [Mạt chược], tích lũy đặt cược hợp lệ tiền vàng đạt 7,128,000 </t>
  </si>
  <si>
    <t xml:space="preserve">No videogame [Mahjong H], as apostas válidas acumuladas em Moedas de Ouro atingem 7,128,000 </t>
  </si>
  <si>
    <t>12001_100300_7128000</t>
  </si>
  <si>
    <t xml:space="preserve">在[超级明星]電子遊戲中，金币有效下注累積達到 7,128,000 </t>
  </si>
  <si>
    <t xml:space="preserve">In the [Super Star] electronic game, the cumulative valid coin bets reach 7,128,000 </t>
  </si>
  <si>
    <t xml:space="preserve">Trong trò chơi [Siêu Sao], tích lũy đặt cược hợp lệ tiền vàng đạt 7,128,000 </t>
  </si>
  <si>
    <t xml:space="preserve">No videogame [Super Star], as apostas válidas acumuladas em Moedas de Ouro atingem 7,128,000 </t>
  </si>
  <si>
    <t>12001_101200_7128000</t>
  </si>
  <si>
    <t xml:space="preserve">在[财神]電子遊戲中，金币有效下注累積達到 7,128,000 </t>
  </si>
  <si>
    <t xml:space="preserve">In the [God of Wealth] electronic game, the cumulative valid coin bets reach 7,128,000 </t>
  </si>
  <si>
    <t xml:space="preserve">Trong trò chơi [Thần Tài], tích lũy đặt cược hợp lệ tiền vàng đạt 7,128,000 </t>
  </si>
  <si>
    <t xml:space="preserve">No videogame [God of Wealth], as apostas válidas acumuladas em Moedas de Ouro atingem 7,128,000 </t>
  </si>
  <si>
    <t>12001_101400_7128000</t>
  </si>
  <si>
    <t xml:space="preserve">在[埃及艳后]電子遊戲中，金币有效下注累積達到 7,128,000 </t>
  </si>
  <si>
    <t xml:space="preserve">In the [Cleopatra] electronic game, the cumulative valid coin bets reach 7,128,000 </t>
  </si>
  <si>
    <t xml:space="preserve">Trong trò chơi [Nữ hoàng Ai Cập], tích lũy đặt cược hợp lệ tiền vàng đạt 7,128,000 </t>
  </si>
  <si>
    <t xml:space="preserve">No videogame [Cleópatra], as apostas válidas acumuladas em Moedas de Ouro atingem 7,128,000 </t>
  </si>
  <si>
    <t>12001_0_7128000</t>
  </si>
  <si>
    <t xml:space="preserve">在任意遊戲中，金币有效下注累積達到 7,128,000 </t>
  </si>
  <si>
    <t xml:space="preserve">In any game, the cumulative valid coin bets reach 7,128,000 </t>
  </si>
  <si>
    <t xml:space="preserve">Trong trò chơi [bất kỳ], tích lũy đặt cược hợp lệ tiền vàng đạt 7,128,000 </t>
  </si>
  <si>
    <t xml:space="preserve">No videogame [qualquer jogo], as apostas válidas acumuladas em Moedas de Ouro atingem 7,128,000 </t>
  </si>
  <si>
    <t>12001_101700_7128000</t>
  </si>
  <si>
    <t xml:space="preserve">在[圣诞狂欢夜]電子遊戲中，金币有效下注累積達到 7,128,000 </t>
  </si>
  <si>
    <t xml:space="preserve">In the [Christmas Eve Party ] electronic game, the cumulative valid coin bets reach 7,128,000 </t>
  </si>
  <si>
    <t xml:space="preserve">Trong trò chơi [Đại tiệc Giáng Sinh], tích lũy đặt cược hợp lệ tiền vàng đạt 7,128,000 </t>
  </si>
  <si>
    <t xml:space="preserve">No videogame [Noite de festa de Natal], as apostas válidas acumuladas em Moedas de Ouro atingem 7,128,000 </t>
  </si>
  <si>
    <t>12001_102100_7128000</t>
  </si>
  <si>
    <t xml:space="preserve">在[杰克船长]電子遊戲中，金币有效下注累積達到 7,128,000 </t>
  </si>
  <si>
    <t xml:space="preserve">In the [Captain Jack] electronic game, the cumulative valid coin bets reach 7,128,000 </t>
  </si>
  <si>
    <t xml:space="preserve">Trong trò chơi [Thuyền trưởng Jack], tích lũy đặt cược hợp lệ tiền vàng đạt 7,128,000 </t>
  </si>
  <si>
    <t xml:space="preserve">No videogame [Capitão Jack], as apostas válidas acumuladas em Moedas de Ouro atingem 7,128,000 </t>
  </si>
  <si>
    <t>12001_102200_7128000</t>
  </si>
  <si>
    <t xml:space="preserve">在[雷神]電子遊戲中，金币有效下注累積達到 7,128,000 </t>
  </si>
  <si>
    <t xml:space="preserve">In the [Thor] electronic game, the cumulative valid coin bets reach 7,128,000 </t>
  </si>
  <si>
    <t xml:space="preserve">Trong trò chơi [Thần Sấm], tích lũy đặt cược hợp lệ tiền vàng đạt 7,128,000 </t>
  </si>
  <si>
    <t xml:space="preserve">No videogame [Thor], as apostas válidas acumuladas em Moedas de Ouro atingem 7,128,000 </t>
  </si>
  <si>
    <t>12001_102300_7128000</t>
  </si>
  <si>
    <t xml:space="preserve">在[蒸汽时代]電子遊戲中，金币有效下注累積達到 7,128,000 </t>
  </si>
  <si>
    <t xml:space="preserve">In the [Steam Era] electronic game, the cumulative valid coin bets reach 7,128,000 </t>
  </si>
  <si>
    <t xml:space="preserve">Trong trò chơi [Kỷ nguyên hơi nước], tích lũy đặt cược hợp lệ tiền vàng đạt 7,128,000 </t>
  </si>
  <si>
    <t xml:space="preserve">No videogame [Era do Vapor], as apostas válidas acumuladas em Moedas de Ouro atingem 7,128,000 </t>
  </si>
  <si>
    <t>12001_102400_7128000</t>
  </si>
  <si>
    <t xml:space="preserve">在[财富银行]電子遊戲中，金币有效下注累積達到 7,128,000 </t>
  </si>
  <si>
    <t xml:space="preserve">In the [Wealth Bank] electronic game, the cumulative valid coin bets reach 7,128,000 </t>
  </si>
  <si>
    <t xml:space="preserve">Trong trò chơi [Ngân Hàng], tích lũy đặt cược hợp lệ tiền vàng đạt 7,128,000 </t>
  </si>
  <si>
    <t xml:space="preserve">No videogame [Banco da Riqueza], as apostas válidas acumuladas em Moedas de Ouro atingem 7,128,000 </t>
  </si>
  <si>
    <t>10003_100700_1_400000_1990000</t>
  </si>
  <si>
    <t xml:space="preserve">在[麻将胡了]電子遊戲中，金币累積贏獎達到 400,000 </t>
  </si>
  <si>
    <t>游戏累计赢奖</t>
  </si>
  <si>
    <t xml:space="preserve">400,000 </t>
  </si>
  <si>
    <t xml:space="preserve">In the [Mahjong Hu] electronic game, the accumulated coin winnings have reached 400,000 </t>
  </si>
  <si>
    <t xml:space="preserve">Trong trò chơi [Mạt chược], tổng số vàng thắng được đạt 400,000 </t>
  </si>
  <si>
    <t xml:space="preserve">No jogo [Mahjong H], o total de moedas de ouro ganhas atingiu 400,000 </t>
  </si>
  <si>
    <t>10003_100300_1_400000_1990000</t>
  </si>
  <si>
    <t xml:space="preserve">在[超级明星]電子遊戲中，金币累積贏獎達到 400,000 </t>
  </si>
  <si>
    <t xml:space="preserve">In the [Super Star] electronic game, the accumulated coin winnings have reached 400,000 </t>
  </si>
  <si>
    <t xml:space="preserve">Trong trò chơi [Siêu Sao], tổng số vàng thắng được đạt 400,000 </t>
  </si>
  <si>
    <t xml:space="preserve">No jogo [Super Star], o total de moedas de ouro ganhas atingiu 400,000 </t>
  </si>
  <si>
    <t>10003_101200_1_400000_1990000</t>
  </si>
  <si>
    <t xml:space="preserve">在[财神]電子遊戲中，金币累積贏獎達到 400,000 </t>
  </si>
  <si>
    <t xml:space="preserve">In the [God of Wealth] electronic game, the accumulated coin winnings have reached 400,000 </t>
  </si>
  <si>
    <t xml:space="preserve">Trong trò chơi [Thần Tài], tổng số vàng thắng được đạt 400,000 </t>
  </si>
  <si>
    <t xml:space="preserve">No jogo [God of Wealth], o total de moedas de ouro ganhas atingiu 400,000 </t>
  </si>
  <si>
    <t>10003_101400_1_400000_1990000</t>
  </si>
  <si>
    <t xml:space="preserve">在[埃及艳后]電子遊戲中，金币累積贏獎達到 400,000 </t>
  </si>
  <si>
    <t xml:space="preserve">In the [Cleopatra] electronic game, the accumulated coin winnings have reached 400,000 </t>
  </si>
  <si>
    <t xml:space="preserve">Trong trò chơi [Nữ hoàng Ai Cập], tổng số vàng thắng được đạt 400,000 </t>
  </si>
  <si>
    <t xml:space="preserve">No jogo [Cleópatra], o total de moedas de ouro ganhas atingiu 400,000 </t>
  </si>
  <si>
    <t>10003_0_1_400000_1990000</t>
  </si>
  <si>
    <t>task_500006.png</t>
  </si>
  <si>
    <t xml:space="preserve">在任意遊戲中，金币累積贏獎達到 400,000 </t>
  </si>
  <si>
    <t>金币赢奖</t>
  </si>
  <si>
    <t xml:space="preserve">In any game, the accumulated coin winnings have reached 400,000 </t>
  </si>
  <si>
    <t xml:space="preserve">Trong trò chơi [bất kỳ], tổng số vàng thắng được đạt 400,000 </t>
  </si>
  <si>
    <t xml:space="preserve">No jogo [qualquer jogo], o total de moedas de ouro ganhas atingiu 400,000 </t>
  </si>
  <si>
    <t>10003_101700_1_400000_1990000</t>
  </si>
  <si>
    <t xml:space="preserve">在[圣诞狂欢夜]電子遊戲中，金币累積贏獎達到 400,000 </t>
  </si>
  <si>
    <t xml:space="preserve">In the [Christmas Eve Party ] electronic game, the accumulated coin winnings have reached 400,000 </t>
  </si>
  <si>
    <t xml:space="preserve">Trong trò chơi [Đại tiệc Giáng Sinh], tổng số vàng thắng được đạt 400,000 </t>
  </si>
  <si>
    <t xml:space="preserve">No jogo [Noite de festa de Natal], o total de moedas de ouro ganhas atingiu 400,000 </t>
  </si>
  <si>
    <t>10003_102100_1_400000_1990000</t>
  </si>
  <si>
    <t xml:space="preserve">在[杰克船长]電子遊戲中，金币累積贏獎達到 400,000 </t>
  </si>
  <si>
    <t xml:space="preserve">In the [Captain Jack] electronic game, the accumulated coin winnings have reached 400,000 </t>
  </si>
  <si>
    <t xml:space="preserve">Trong trò chơi [Thuyền trưởng Jack], tổng số vàng thắng được đạt 400,000 </t>
  </si>
  <si>
    <t xml:space="preserve">No jogo [Capitão Jack], o total de moedas de ouro ganhas atingiu 400,000 </t>
  </si>
  <si>
    <t>10003_102200_1_400000_1990000</t>
  </si>
  <si>
    <t xml:space="preserve">在[雷神]電子遊戲中，金币累積贏獎達到 400,000 </t>
  </si>
  <si>
    <t xml:space="preserve">In the [Thor] electronic game, the accumulated coin winnings have reached 400,000 </t>
  </si>
  <si>
    <t xml:space="preserve">Trong trò chơi [Thần Sấm], tổng số vàng thắng được đạt 400,000 </t>
  </si>
  <si>
    <t xml:space="preserve">No jogo [Thor], o total de moedas de ouro ganhas atingiu 400,000 </t>
  </si>
  <si>
    <t>10003_102300_1_400000_1990000</t>
  </si>
  <si>
    <t xml:space="preserve">在[蒸汽时代]電子遊戲中，金币累積贏獎達到 400,000 </t>
  </si>
  <si>
    <t xml:space="preserve">In the [Steam Era] electronic game, the accumulated coin winnings have reached 400,000 </t>
  </si>
  <si>
    <t xml:space="preserve">Trong trò chơi [Kỷ nguyên hơi nước], tổng số vàng thắng được đạt 400,000 </t>
  </si>
  <si>
    <t xml:space="preserve">No jogo [Era do Vapor], o total de moedas de ouro ganhas atingiu 400,000 </t>
  </si>
  <si>
    <t>10003_102400_1_400000_1990000</t>
  </si>
  <si>
    <t xml:space="preserve">在[财富银行]電子遊戲中，金币累積贏獎達到 400,000 </t>
  </si>
  <si>
    <t xml:space="preserve">In the [Wealth Bank] electronic game, the accumulated coin winnings have reached 400,000 </t>
  </si>
  <si>
    <t xml:space="preserve">Trong trò chơi [Ngân Hàng], tổng số vàng thắng được đạt 400,000 </t>
  </si>
  <si>
    <t xml:space="preserve">No jogo [Banco da Riqueza], o total de moedas de ouro ganhas atingiu 400,000 </t>
  </si>
  <si>
    <t>10003_100700_1_800000_1990000</t>
  </si>
  <si>
    <t xml:space="preserve">在[麻将胡了]電子遊戲中，金币累積贏獎達到 800,000 </t>
  </si>
  <si>
    <t xml:space="preserve">800,000 </t>
  </si>
  <si>
    <t xml:space="preserve">In the [Mahjong Hu] electronic game, the accumulated coin winnings have reached 800,000 </t>
  </si>
  <si>
    <t xml:space="preserve">Trong trò chơi [Mạt chược], tổng số vàng thắng được đạt 800,000 </t>
  </si>
  <si>
    <t xml:space="preserve">No jogo [Mahjong H], o total de moedas de ouro ganhas atingiu 800,000 </t>
  </si>
  <si>
    <t>10003_100300_1_800000_1990000</t>
  </si>
  <si>
    <t xml:space="preserve">在[超级明星]電子遊戲中，金币累積贏獎達到 800,000 </t>
  </si>
  <si>
    <t xml:space="preserve">In the [Super Star] electronic game, the accumulated coin winnings have reached 800,000 </t>
  </si>
  <si>
    <t xml:space="preserve">Trong trò chơi [Siêu Sao], tổng số vàng thắng được đạt 800,000 </t>
  </si>
  <si>
    <t xml:space="preserve">No jogo [Super Star], o total de moedas de ouro ganhas atingiu 800,000 </t>
  </si>
  <si>
    <t>10003_101200_1_800000_1990000</t>
  </si>
  <si>
    <t xml:space="preserve">在[财神]電子遊戲中，金币累積贏獎達到 800,000 </t>
  </si>
  <si>
    <t xml:space="preserve">In the [God of Wealth] electronic game, the accumulated coin winnings have reached 800,000 </t>
  </si>
  <si>
    <t xml:space="preserve">Trong trò chơi [Thần Tài], tổng số vàng thắng được đạt 800,000 </t>
  </si>
  <si>
    <t xml:space="preserve">No jogo [God of Wealth], o total de moedas de ouro ganhas atingiu 800,000 </t>
  </si>
  <si>
    <t>10003_101400_1_800000_1990000</t>
  </si>
  <si>
    <t xml:space="preserve">在[埃及艳后]電子遊戲中，金币累積贏獎達到 800,000 </t>
  </si>
  <si>
    <t xml:space="preserve">In the [Cleopatra] electronic game, the accumulated coin winnings have reached 800,000 </t>
  </si>
  <si>
    <t xml:space="preserve">Trong trò chơi [Nữ hoàng Ai Cập], tổng số vàng thắng được đạt 800,000 </t>
  </si>
  <si>
    <t xml:space="preserve">No jogo [Cleópatra], o total de moedas de ouro ganhas atingiu 800,000 </t>
  </si>
  <si>
    <t>10003_0_1_800000_1990000</t>
  </si>
  <si>
    <t xml:space="preserve">在任意遊戲中，金币累積贏獎達到 800,000 </t>
  </si>
  <si>
    <t xml:space="preserve">In any game, the accumulated coin winnings have reached 800,000 </t>
  </si>
  <si>
    <t xml:space="preserve">Trong trò chơi [bất kỳ], tổng số vàng thắng được đạt 800,000 </t>
  </si>
  <si>
    <t xml:space="preserve">No jogo [qualquer jogo], o total de moedas de ouro ganhas atingiu 800,000 </t>
  </si>
  <si>
    <t>10003_101700_1_800000_1990000</t>
  </si>
  <si>
    <t xml:space="preserve">在[圣诞狂欢夜]電子遊戲中，金币累積贏獎達到 800,000 </t>
  </si>
  <si>
    <t xml:space="preserve">In the [Christmas Eve Party ] electronic game, the accumulated coin winnings have reached 800,000 </t>
  </si>
  <si>
    <t xml:space="preserve">Trong trò chơi [Đại tiệc Giáng Sinh], tổng số vàng thắng được đạt 800,000 </t>
  </si>
  <si>
    <t xml:space="preserve">No jogo [Noite de festa de Natal], o total de moedas de ouro ganhas atingiu 800,000 </t>
  </si>
  <si>
    <t>10003_102100_1_800000_1990000</t>
  </si>
  <si>
    <t xml:space="preserve">在[杰克船长]電子遊戲中，金币累積贏獎達到 800,000 </t>
  </si>
  <si>
    <t xml:space="preserve">In the [Captain Jack] electronic game, the accumulated coin winnings have reached 800,000 </t>
  </si>
  <si>
    <t xml:space="preserve">Trong trò chơi [Thuyền trưởng Jack], tổng số vàng thắng được đạt 800,000 </t>
  </si>
  <si>
    <t xml:space="preserve">No jogo [Capitão Jack], o total de moedas de ouro ganhas atingiu 800,000 </t>
  </si>
  <si>
    <t>10003_102200_1_800000_1990000</t>
  </si>
  <si>
    <t xml:space="preserve">在[雷神]電子遊戲中，金币累積贏獎達到 800,000 </t>
  </si>
  <si>
    <t xml:space="preserve">In the [Thor] electronic game, the accumulated coin winnings have reached 800,000 </t>
  </si>
  <si>
    <t xml:space="preserve">Trong trò chơi [Thần Sấm], tổng số vàng thắng được đạt 800,000 </t>
  </si>
  <si>
    <t xml:space="preserve">No jogo [Thor], o total de moedas de ouro ganhas atingiu 800,000 </t>
  </si>
  <si>
    <t>10003_102300_1_800000_1990000</t>
  </si>
  <si>
    <t xml:space="preserve">在[蒸汽时代]電子遊戲中，金币累積贏獎達到 800,000 </t>
  </si>
  <si>
    <t xml:space="preserve">In the [Steam Era] electronic game, the accumulated coin winnings have reached 800,000 </t>
  </si>
  <si>
    <t xml:space="preserve">Trong trò chơi [Kỷ nguyên hơi nước], tổng số vàng thắng được đạt 800,000 </t>
  </si>
  <si>
    <t xml:space="preserve">No jogo [Era do Vapor], o total de moedas de ouro ganhas atingiu 800,000 </t>
  </si>
  <si>
    <t>10003_102400_1_800000_1990000</t>
  </si>
  <si>
    <t xml:space="preserve">在[财富银行]電子遊戲中，金币累積贏獎達到 800,000 </t>
  </si>
  <si>
    <t xml:space="preserve">In the [Wealth Bank] electronic game, the accumulated coin winnings have reached 800,000 </t>
  </si>
  <si>
    <t xml:space="preserve">Trong trò chơi [Ngân Hàng], tổng số vàng thắng được đạt 800,000 </t>
  </si>
  <si>
    <t xml:space="preserve">No jogo [Banco da Riqueza], o total de moedas de ouro ganhas atingiu 800,000 </t>
  </si>
  <si>
    <t>10003_100700_1_2000000_1990000</t>
  </si>
  <si>
    <t xml:space="preserve">在[麻将胡了]電子遊戲中，金币累積贏獎達到 2,000,000 </t>
  </si>
  <si>
    <t xml:space="preserve">2,000,000 </t>
  </si>
  <si>
    <t xml:space="preserve">In the [Mahjong Hu] electronic game, the accumulated coin winnings have reached 2,000,000 </t>
  </si>
  <si>
    <t xml:space="preserve">Trong trò chơi [Mạt chược], tổng số vàng thắng được đạt 2,000,000 </t>
  </si>
  <si>
    <t xml:space="preserve">No jogo [Mahjong H], o total de moedas de ouro ganhas atingiu 2,000,000 </t>
  </si>
  <si>
    <t>10003_100300_1_2000000_1990000</t>
  </si>
  <si>
    <t xml:space="preserve">在[超级明星]電子遊戲中，金币累積贏獎達到 2,000,000 </t>
  </si>
  <si>
    <t xml:space="preserve">In the [Super Star] electronic game, the accumulated coin winnings have reached 2,000,000 </t>
  </si>
  <si>
    <t xml:space="preserve">Trong trò chơi [Siêu Sao], tổng số vàng thắng được đạt 2,000,000 </t>
  </si>
  <si>
    <t xml:space="preserve">No jogo [Super Star], o total de moedas de ouro ganhas atingiu 2,000,000 </t>
  </si>
  <si>
    <t>10003_101200_1_2000000_1990000</t>
  </si>
  <si>
    <t xml:space="preserve">在[财神]電子遊戲中，金币累積贏獎達到 2,000,000 </t>
  </si>
  <si>
    <t xml:space="preserve">In the [God of Wealth] electronic game, the accumulated coin winnings have reached 2,000,000 </t>
  </si>
  <si>
    <t xml:space="preserve">Trong trò chơi [Thần Tài], tổng số vàng thắng được đạt 2,000,000 </t>
  </si>
  <si>
    <t xml:space="preserve">No jogo [God of Wealth], o total de moedas de ouro ganhas atingiu 2,000,000 </t>
  </si>
  <si>
    <t>10003_101400_1_2000000_1990000</t>
  </si>
  <si>
    <t xml:space="preserve">在[埃及艳后]電子遊戲中，金币累積贏獎達到 2,000,000 </t>
  </si>
  <si>
    <t xml:space="preserve">In the [Cleopatra] electronic game, the accumulated coin winnings have reached 2,000,000 </t>
  </si>
  <si>
    <t xml:space="preserve">Trong trò chơi [Nữ hoàng Ai Cập], tổng số vàng thắng được đạt 2,000,000 </t>
  </si>
  <si>
    <t xml:space="preserve">No jogo [Cleópatra], o total de moedas de ouro ganhas atingiu 2,000,000 </t>
  </si>
  <si>
    <t>10003_0_1_2000000_1990000</t>
  </si>
  <si>
    <t xml:space="preserve">在任意遊戲中，金币累積贏獎達到 2,000,000 </t>
  </si>
  <si>
    <t xml:space="preserve">In any game, the accumulated coin winnings have reached 2,000,000 </t>
  </si>
  <si>
    <t xml:space="preserve">Trong trò chơi [bất kỳ], tổng số vàng thắng được đạt 2,000,000 </t>
  </si>
  <si>
    <t xml:space="preserve">No jogo [qualquer jogo], o total de moedas de ouro ganhas atingiu 2,000,000 </t>
  </si>
  <si>
    <t>10003_101700_1_2000000_1990000</t>
  </si>
  <si>
    <t xml:space="preserve">在[圣诞狂欢夜]電子遊戲中，金币累積贏獎達到 2,000,000 </t>
  </si>
  <si>
    <t xml:space="preserve">In the [Christmas Eve Party ] electronic game, the accumulated coin winnings have reached 2,000,000 </t>
  </si>
  <si>
    <t xml:space="preserve">Trong trò chơi [Đại tiệc Giáng Sinh], tổng số vàng thắng được đạt 2,000,000 </t>
  </si>
  <si>
    <t xml:space="preserve">No jogo [Noite de festa de Natal], o total de moedas de ouro ganhas atingiu 2,000,000 </t>
  </si>
  <si>
    <t>10003_102100_1_2000000_1990000</t>
  </si>
  <si>
    <t xml:space="preserve">在[杰克船长]電子遊戲中，金币累積贏獎達到 2,000,000 </t>
  </si>
  <si>
    <t xml:space="preserve">In the [Captain Jack] electronic game, the accumulated coin winnings have reached 2,000,000 </t>
  </si>
  <si>
    <t xml:space="preserve">Trong trò chơi [Thuyền trưởng Jack], tổng số vàng thắng được đạt 2,000,000 </t>
  </si>
  <si>
    <t xml:space="preserve">No jogo [Capitão Jack], o total de moedas de ouro ganhas atingiu 2,000,000 </t>
  </si>
  <si>
    <t>10003_102200_1_2000000_1990000</t>
  </si>
  <si>
    <t xml:space="preserve">在[雷神]電子遊戲中，金币累積贏獎達到 2,000,000 </t>
  </si>
  <si>
    <t xml:space="preserve">In the [Thor] electronic game, the accumulated coin winnings have reached 2,000,000 </t>
  </si>
  <si>
    <t xml:space="preserve">Trong trò chơi [Thần Sấm], tổng số vàng thắng được đạt 2,000,000 </t>
  </si>
  <si>
    <t xml:space="preserve">No jogo [Thor], o total de moedas de ouro ganhas atingiu 2,000,000 </t>
  </si>
  <si>
    <t>10003_102300_1_2000000_1990000</t>
  </si>
  <si>
    <t xml:space="preserve">在[蒸汽时代]電子遊戲中，金币累積贏獎達到 2,000,000 </t>
  </si>
  <si>
    <t xml:space="preserve">In the [Steam Era] electronic game, the accumulated coin winnings have reached 2,000,000 </t>
  </si>
  <si>
    <t xml:space="preserve">Trong trò chơi [Kỷ nguyên hơi nước], tổng số vàng thắng được đạt 2,000,000 </t>
  </si>
  <si>
    <t xml:space="preserve">No jogo [Era do Vapor], o total de moedas de ouro ganhas atingiu 2,000,000 </t>
  </si>
  <si>
    <t>10003_102400_1_2000000_1990000</t>
  </si>
  <si>
    <t xml:space="preserve">在[财富银行]電子遊戲中，金币累積贏獎達到 2,000,000 </t>
  </si>
  <si>
    <t xml:space="preserve">In the [Wealth Bank] electronic game, the accumulated coin winnings have reached 2,000,000 </t>
  </si>
  <si>
    <t xml:space="preserve">Trong trò chơi [Ngân Hàng], tổng số vàng thắng được đạt 2,000,000 </t>
  </si>
  <si>
    <t xml:space="preserve">No jogo [Banco da Riqueza], o total de moedas de ouro ganhas atingiu 2,000,000 </t>
  </si>
  <si>
    <t>10003_100700_1_4000000_1990000</t>
  </si>
  <si>
    <t xml:space="preserve">在[麻将胡了]電子遊戲中，金币累積贏獎達到 4,000,000 </t>
  </si>
  <si>
    <t xml:space="preserve">4,000,000 </t>
  </si>
  <si>
    <t xml:space="preserve">In the [Mahjong Hu] electronic game, the accumulated coin winnings have reached 4,000,000 </t>
  </si>
  <si>
    <t xml:space="preserve">Trong trò chơi [Mạt chược], tổng số vàng thắng được đạt 4,000,000 </t>
  </si>
  <si>
    <t xml:space="preserve">No jogo [Mahjong H], o total de moedas de ouro ganhas atingiu 4,000,000 </t>
  </si>
  <si>
    <t>10003_100300_1_4000000_1990000</t>
  </si>
  <si>
    <t xml:space="preserve">在[超级明星]電子遊戲中，金币累積贏獎達到 4,000,000 </t>
  </si>
  <si>
    <t xml:space="preserve">In the [Super Star] electronic game, the accumulated coin winnings have reached 4,000,000 </t>
  </si>
  <si>
    <t xml:space="preserve">Trong trò chơi [Siêu Sao], tổng số vàng thắng được đạt 4,000,000 </t>
  </si>
  <si>
    <t xml:space="preserve">No jogo [Super Star], o total de moedas de ouro ganhas atingiu 4,000,000 </t>
  </si>
  <si>
    <t>10003_101200_1_4000000_1990000</t>
  </si>
  <si>
    <t xml:space="preserve">在[财神]電子遊戲中，金币累積贏獎達到 4,000,000 </t>
  </si>
  <si>
    <t xml:space="preserve">In the [God of Wealth] electronic game, the accumulated coin winnings have reached 4,000,000 </t>
  </si>
  <si>
    <t xml:space="preserve">Trong trò chơi [Thần Tài], tổng số vàng thắng được đạt 4,000,000 </t>
  </si>
  <si>
    <t xml:space="preserve">No jogo [God of Wealth], o total de moedas de ouro ganhas atingiu 4,000,000 </t>
  </si>
  <si>
    <t>10003_101400_1_4000000_1990000</t>
  </si>
  <si>
    <t xml:space="preserve">在[埃及艳后]電子遊戲中，金币累積贏獎達到 4,000,000 </t>
  </si>
  <si>
    <t xml:space="preserve">In the [Cleopatra] electronic game, the accumulated coin winnings have reached 4,000,000 </t>
  </si>
  <si>
    <t xml:space="preserve">Trong trò chơi [Nữ hoàng Ai Cập], tổng số vàng thắng được đạt 4,000,000 </t>
  </si>
  <si>
    <t xml:space="preserve">No jogo [Cleópatra], o total de moedas de ouro ganhas atingiu 4,000,000 </t>
  </si>
  <si>
    <t>10003_0_1_4000000_1990000</t>
  </si>
  <si>
    <t xml:space="preserve">在任意遊戲中，金币累積贏獎達到 4,000,000 </t>
  </si>
  <si>
    <t xml:space="preserve">In any game, the accumulated coin winnings have reached 4,000,000 </t>
  </si>
  <si>
    <t xml:space="preserve">Trong trò chơi [bất kỳ], tổng số vàng thắng được đạt 4,000,000 </t>
  </si>
  <si>
    <t xml:space="preserve">No jogo [qualquer jogo], o total de moedas de ouro ganhas atingiu 4,000,000 </t>
  </si>
  <si>
    <t>10003_101700_1_4000000_1990000</t>
  </si>
  <si>
    <t xml:space="preserve">在[圣诞狂欢夜]電子遊戲中，金币累積贏獎達到 4,000,000 </t>
  </si>
  <si>
    <t xml:space="preserve">In the [Christmas Eve Party ] electronic game, the accumulated coin winnings have reached 4,000,000 </t>
  </si>
  <si>
    <t xml:space="preserve">Trong trò chơi [Đại tiệc Giáng Sinh], tổng số vàng thắng được đạt 4,000,000 </t>
  </si>
  <si>
    <t xml:space="preserve">No jogo [Noite de festa de Natal], o total de moedas de ouro ganhas atingiu 4,000,000 </t>
  </si>
  <si>
    <t>10003_102100_1_4000000_1990000</t>
  </si>
  <si>
    <t xml:space="preserve">在[杰克船长]電子遊戲中，金币累積贏獎達到 4,000,000 </t>
  </si>
  <si>
    <t xml:space="preserve">In the [Captain Jack] electronic game, the accumulated coin winnings have reached 4,000,000 </t>
  </si>
  <si>
    <t xml:space="preserve">Trong trò chơi [Thuyền trưởng Jack], tổng số vàng thắng được đạt 4,000,000 </t>
  </si>
  <si>
    <t xml:space="preserve">No jogo [Capitão Jack], o total de moedas de ouro ganhas atingiu 4,000,000 </t>
  </si>
  <si>
    <t>10003_102200_1_4000000_1990000</t>
  </si>
  <si>
    <t xml:space="preserve">在[雷神]電子遊戲中，金币累積贏獎達到 4,000,000 </t>
  </si>
  <si>
    <t xml:space="preserve">In the [Thor] electronic game, the accumulated coin winnings have reached 4,000,000 </t>
  </si>
  <si>
    <t xml:space="preserve">Trong trò chơi [Thần Sấm], tổng số vàng thắng được đạt 4,000,000 </t>
  </si>
  <si>
    <t xml:space="preserve">No jogo [Thor], o total de moedas de ouro ganhas atingiu 4,000,000 </t>
  </si>
  <si>
    <t>10003_102300_1_4000000_1990000</t>
  </si>
  <si>
    <t xml:space="preserve">在[蒸汽时代]電子遊戲中，金币累積贏獎達到 4,000,000 </t>
  </si>
  <si>
    <t xml:space="preserve">In the [Steam Era] electronic game, the accumulated coin winnings have reached 4,000,000 </t>
  </si>
  <si>
    <t xml:space="preserve">Trong trò chơi [Kỷ nguyên hơi nước], tổng số vàng thắng được đạt 4,000,000 </t>
  </si>
  <si>
    <t xml:space="preserve">No jogo [Era do Vapor], o total de moedas de ouro ganhas atingiu 4,000,000 </t>
  </si>
  <si>
    <t>10003_102400_1_4000000_1990000</t>
  </si>
  <si>
    <t xml:space="preserve">在[财富银行]電子遊戲中，金币累積贏獎達到 4,000,000 </t>
  </si>
  <si>
    <t xml:space="preserve">In the [Wealth Bank] electronic game, the accumulated coin winnings have reached 4,000,000 </t>
  </si>
  <si>
    <t xml:space="preserve">Trong trò chơi [Ngân Hàng], tổng số vàng thắng được đạt 4,000,000 </t>
  </si>
  <si>
    <t xml:space="preserve">No jogo [Banco da Riqueza], o total de moedas de ouro ganhas atingiu 4,000,000 </t>
  </si>
  <si>
    <t>10001_100700_1_1000</t>
  </si>
  <si>
    <t>在[麻将胡了]電子遊戲中，累積旋轉 1,000 次</t>
  </si>
  <si>
    <t>游戏累计旋转</t>
  </si>
  <si>
    <t xml:space="preserve">1,000 </t>
  </si>
  <si>
    <t>In the game [Mahjong Hu] electronic game, a total of 1,000  spins have been accumulated.</t>
  </si>
  <si>
    <t>Trong trò chơi [Mạt chược], tích lũy quay 1,000  lần.</t>
  </si>
  <si>
    <t>No jogo [Mahjong Hu], foram acumuladas 1,000  rodadas.</t>
  </si>
  <si>
    <t>10001_100300_1_1000</t>
  </si>
  <si>
    <t>在[超级明星]電子遊戲中，累積旋轉 1,000 次</t>
  </si>
  <si>
    <t>In the game [Super Star] electronic game, a total of 1,000  spins have been accumulated.</t>
  </si>
  <si>
    <t>Trong trò chơi [Siêu Sao], tích lũy quay 1,000  lần.</t>
  </si>
  <si>
    <t>No jogo [Super Star], foram acumuladas 1,000  rodadas.</t>
  </si>
  <si>
    <t>10001_101200_1_1000</t>
  </si>
  <si>
    <t>在[财神]電子遊戲中，累積旋轉 1,000 次</t>
  </si>
  <si>
    <t>In the game [God of Wealth] electronic game, a total of 1,000  spins have been accumulated.</t>
  </si>
  <si>
    <t>Trong trò chơi [Thần Tài], tích lũy quay 1,000  lần.</t>
  </si>
  <si>
    <t>No jogo [God of Wealth], foram acumuladas 1,000  rodadas.</t>
  </si>
  <si>
    <t>10001_101400_1_1000</t>
  </si>
  <si>
    <t>在[埃及艳后]電子遊戲中，累積旋轉 1,000 次</t>
  </si>
  <si>
    <t>In the game [Cleopatra] electronic game, a total of 1,000  spins have been accumulated.</t>
  </si>
  <si>
    <t>Trong trò chơi [Nữ hoàng Ai Cập], tích lũy quay 1,000  lần.</t>
  </si>
  <si>
    <t>No jogo [Cleopatra], foram acumuladas 1,000  rodadas.</t>
  </si>
  <si>
    <t>10001_0_1_1000</t>
  </si>
  <si>
    <t>task_500004.png</t>
  </si>
  <si>
    <t>在任意電子遊戲中，累積旋轉 1,000 次</t>
  </si>
  <si>
    <t>任意累计旋转</t>
  </si>
  <si>
    <t>In any electronic game, a total of 1,000  spins have been accumulated.</t>
  </si>
  <si>
    <t>Trong trò chơi [bất kỳ], tích lũy quay 1,000  lần.</t>
  </si>
  <si>
    <t>No jogo [any game], foram acumuladas 1,000  rodadas.</t>
  </si>
  <si>
    <t>12001_101700_1_1000</t>
  </si>
  <si>
    <t>在[圣诞狂欢夜]電子遊戲中，累積旋轉 1,000 次</t>
  </si>
  <si>
    <t>In the game [Christmas Eve Party ] electronic game, a total of 1,000  spins have been accumulated.</t>
  </si>
  <si>
    <t>Trong trò chơi [Đại tiệc Giáng Sinh], tích lũy quay 1,000  lần.</t>
  </si>
  <si>
    <t>No jogo [Christmas Eve Party ], foram acumuladas 1,000  rodadas.</t>
  </si>
  <si>
    <t>12001_102100_1_1000</t>
  </si>
  <si>
    <t>在[杰克船长]電子遊戲中，累積旋轉 1,000 次</t>
  </si>
  <si>
    <t>In the game [Captain Jack] electronic game, a total of 1,000  spins have been accumulated.</t>
  </si>
  <si>
    <t>Trong trò chơi [Thuyền trưởng Jack], tích lũy quay 1,000  lần.</t>
  </si>
  <si>
    <t>No jogo [Captain Jack], foram acumuladas 1,000  rodadas.</t>
  </si>
  <si>
    <t>12001_102200_1_1000</t>
  </si>
  <si>
    <t>在[雷神]電子遊戲中，累積旋轉 1,000 次</t>
  </si>
  <si>
    <t>In the game [Thor] electronic game, a total of 1,000  spins have been accumulated.</t>
  </si>
  <si>
    <t>Trong trò chơi [Thần Sấm], tích lũy quay 1,000  lần.</t>
  </si>
  <si>
    <t>No jogo [Thor], foram acumuladas 1,000  rodadas.</t>
  </si>
  <si>
    <t>12001_102300_1_1000</t>
  </si>
  <si>
    <t>在[蒸汽时代]電子遊戲中，累積旋轉 1,000 次</t>
  </si>
  <si>
    <t>In the game [Steam Era] electronic game, a total of 1,000  spins have been accumulated.</t>
  </si>
  <si>
    <t>Trong trò chơi [Kỷ nguyên hơi nước], tích lũy quay 1,000  lần.</t>
  </si>
  <si>
    <t>No jogo [Steam Era], foram acumuladas 1,000  rodadas.</t>
  </si>
  <si>
    <t>12001_102400_1_1000</t>
  </si>
  <si>
    <t>在[财富银行]電子遊戲中，累積旋轉 1,000 次</t>
  </si>
  <si>
    <t>In the game [Wealth Bank] electronic game, a total of 1,000  spins have been accumulated.</t>
  </si>
  <si>
    <t>Trong trò chơi [Ngân Hàng], tích lũy quay 1,000  lần.</t>
  </si>
  <si>
    <t>No jogo [Wealth Bank], foram acumuladas 1,000  rodadas.</t>
  </si>
  <si>
    <t>主线任务</t>
  </si>
  <si>
    <t>10001_0_1_10</t>
  </si>
  <si>
    <t>1990000_100</t>
  </si>
  <si>
    <t>在任意游戏中&lt;color=#00bfff&gt;旋转10次&lt;/color&gt;</t>
  </si>
  <si>
    <t>10001_0_1_15</t>
  </si>
  <si>
    <t>1990000_200</t>
  </si>
  <si>
    <t>在任意游戏中&lt;color=#00bfff&gt;旋转15次&lt;/color&gt;</t>
  </si>
  <si>
    <t>10001_0_1_20</t>
  </si>
  <si>
    <t>1990000_300</t>
  </si>
  <si>
    <t>在任意游戏中&lt;color=#00bfff&gt;旋转20次&lt;/color&gt;</t>
  </si>
  <si>
    <t>10001_0_1_25</t>
  </si>
  <si>
    <t>1990000_400</t>
  </si>
  <si>
    <t>在任意游戏中&lt;color=#00bfff&gt;旋转25次&lt;/color&gt;</t>
  </si>
  <si>
    <t>1_5</t>
  </si>
  <si>
    <t>1990000_100|1980000_100</t>
  </si>
  <si>
    <t>在任意游戏中&lt;color=#00bfff&gt;旋转30次&lt;/color&gt;</t>
  </si>
  <si>
    <t>10001_0_1_35</t>
  </si>
  <si>
    <t>1990000_100|1980000_200</t>
  </si>
  <si>
    <t>在任意游戏中&lt;color=#00bfff&gt;旋转35次&lt;/color&gt;</t>
  </si>
  <si>
    <t>10001_0_1_40</t>
  </si>
  <si>
    <t>1990000_100|1980000_300</t>
  </si>
  <si>
    <t>在任意游戏中&lt;color=#00bfff&gt;旋转40次&lt;/color&gt;</t>
  </si>
  <si>
    <t>10001_0_1_45</t>
  </si>
  <si>
    <t>1990000_100|1980000_400</t>
  </si>
  <si>
    <t>在任意游戏中&lt;color=#00bfff&gt;旋转45次&lt;/color&gt;</t>
  </si>
  <si>
    <t>10001_0_1_50</t>
  </si>
  <si>
    <t>1990000_100|1980000_500</t>
  </si>
  <si>
    <t>在任意游戏中&lt;color=#00bfff&gt;旋转50次&lt;/color&gt;</t>
  </si>
  <si>
    <t>1_10</t>
  </si>
  <si>
    <t>1990000_100|1980000_600</t>
  </si>
  <si>
    <t>在任意游戏中&lt;color=#00bfff&gt;旋转60次&lt;/color&gt;</t>
  </si>
  <si>
    <t>成就任务</t>
  </si>
  <si>
    <t>10001_0_1_30</t>
  </si>
  <si>
    <t>1990000_100|1980000_200|1200001_1</t>
  </si>
  <si>
    <t>12007_10000</t>
  </si>
  <si>
    <t>在任意游戏中&lt;color=#00bfff&gt;累积投注10K&lt;/color&gt;</t>
  </si>
  <si>
    <t>12007_50000</t>
  </si>
  <si>
    <t>在任意游戏中&lt;color=#00bfff&gt;累积投注50K金币&lt;/color&gt;</t>
  </si>
  <si>
    <t>12007_100000</t>
  </si>
  <si>
    <t>在任意游戏中&lt;color=#00bfff&gt;累积投注100K金币&lt;/color&gt;</t>
  </si>
  <si>
    <t>12007_300000</t>
  </si>
  <si>
    <t>在任意游戏中&lt;color=#00bfff&gt;累积投注300K金币&lt;/color&gt;</t>
  </si>
  <si>
    <t>12007_500000</t>
  </si>
  <si>
    <t>在任意游戏中&lt;color=#00bfff&gt;累积投注500K金币&lt;/color&gt;</t>
  </si>
  <si>
    <t>12007_1000000</t>
  </si>
  <si>
    <t>1990000_100|1980000_200|1200002_1</t>
  </si>
  <si>
    <t>在任意游戏中&lt;color=#00bfff&gt;累积投注1M金币&lt;/color&gt;</t>
  </si>
  <si>
    <t>多人任务</t>
  </si>
  <si>
    <t>12501_100300_120_2_2</t>
  </si>
  <si>
    <t>1_3</t>
  </si>
  <si>
    <t>在[超级明星]游戏中120次旋转内中2次樱桃符号</t>
  </si>
  <si>
    <t>12501_100300_240_2_5</t>
  </si>
  <si>
    <t>1_4</t>
  </si>
  <si>
    <t>在[超级明星]游戏中240次旋转内中5次樱桃符号</t>
  </si>
  <si>
    <t>12501_100300_360_2_10</t>
  </si>
  <si>
    <t>在[超级明星]游戏中360次旋转内中10次樱桃符号</t>
  </si>
  <si>
    <t>12501_103400_120_2_5</t>
  </si>
  <si>
    <t>在[神马飞扬]游戏中120次旋转内中5次福马模式</t>
  </si>
  <si>
    <t>12501_103400_240_2_12</t>
  </si>
  <si>
    <t>在[神马飞扬]游戏中240次旋转内中12次福马模式</t>
  </si>
  <si>
    <t>12501_103400_360_2_20</t>
  </si>
  <si>
    <t>在[神马飞扬]游戏中360次旋转内中20次福马模式</t>
  </si>
  <si>
    <t>12501_103401_120_2_5</t>
  </si>
  <si>
    <t>在[虎虎生财]游戏中120次旋转内中5次虎虎生财模式</t>
  </si>
  <si>
    <t>12501_103401_240_2_12</t>
  </si>
  <si>
    <t>在[虎虎生财]游戏中240次旋转内中12次虎虎生财模式</t>
  </si>
  <si>
    <t>12501_103401_360_2_20</t>
  </si>
  <si>
    <t>在[虎虎生财]游戏中360次旋转内中20次虎虎生财模式</t>
  </si>
  <si>
    <t>12501_103500_120_2_5</t>
  </si>
  <si>
    <t>在[金钱兔]游戏中120次旋转内中5次金钱兔模式</t>
  </si>
  <si>
    <t>12501_103500_240_2_12</t>
  </si>
  <si>
    <t>在[金钱兔]游戏中240次旋转内中12次金钱兔模式</t>
  </si>
  <si>
    <t>12501_103500_360_2_20</t>
  </si>
  <si>
    <t>在[金钱兔]游戏中360次旋转内中20次金钱兔模式</t>
  </si>
  <si>
    <t>12501_103501_120_2_5</t>
  </si>
  <si>
    <t>在[金蛇招财]游戏中120次旋转内中5次金蛇招财模式</t>
  </si>
  <si>
    <t>12501_103501_240_2_12</t>
  </si>
  <si>
    <t>在[金蛇招财]游戏中240次旋转内中12次金蛇招财模式</t>
  </si>
  <si>
    <t>12501_103501_360_2_20</t>
  </si>
  <si>
    <t>在[金蛇招财]游戏中360次旋转内中20次金蛇招财模式</t>
  </si>
  <si>
    <t>12501_103700_120_2_5</t>
  </si>
  <si>
    <t>在[牛气冲天]游戏中120次旋转内中5次福牛模式</t>
  </si>
  <si>
    <t>12501_103700_240_2_12</t>
  </si>
  <si>
    <t>在[牛气冲天]游戏中240次旋转内中12次福牛模式</t>
  </si>
  <si>
    <t>12501_103700_360_2_20</t>
  </si>
  <si>
    <t>在[牛气冲天]游戏中360次旋转内中20次福牛模式</t>
  </si>
  <si>
    <t>12501_103600_120_2_5</t>
  </si>
  <si>
    <t>在[鼠鼠福福]游戏中120次旋转内中5次福鼠模式</t>
  </si>
  <si>
    <t>12501_103600_240_2_12</t>
  </si>
  <si>
    <t>在[鼠鼠福福]游戏中240次旋转内中12次福鼠模式</t>
  </si>
  <si>
    <t>12501_103600_360_2_20</t>
  </si>
  <si>
    <t>在[鼠鼠福福]游戏中360次旋转内中20次福鼠模式</t>
  </si>
  <si>
    <t>12501_100700_120_2_1</t>
  </si>
  <si>
    <t>在[麻将胡了]游戏中120次旋转内中1次免费模式</t>
  </si>
  <si>
    <t>12501_100700_240_2_3</t>
  </si>
  <si>
    <t>在[麻将胡了]游戏中240次旋转内中3次免费模式</t>
  </si>
  <si>
    <t>12501_100700_360_2_6</t>
  </si>
  <si>
    <t>在[麻将胡了]游戏中360次旋转内中6次免费模式</t>
  </si>
  <si>
    <t>12501_101700_120_2_1</t>
  </si>
  <si>
    <t>在[圣诞狂欢夜]游戏中120次旋转内中1次免费模式</t>
  </si>
  <si>
    <t>12501_101700_240_2_3</t>
  </si>
  <si>
    <t>在[圣诞狂欢夜]游戏中240次旋转内中3次免费模式</t>
  </si>
  <si>
    <t>12501_101700_360_2_6</t>
  </si>
  <si>
    <t>在[圣诞狂欢夜]游戏中360次旋转内中6次免费模式</t>
  </si>
  <si>
    <t>12501_105300_120_2_1</t>
  </si>
  <si>
    <t>在[麻将胡了2]游戏中120次旋转内中1次免费模式</t>
  </si>
  <si>
    <t>12501_105300_240_2_3</t>
  </si>
  <si>
    <t>在[麻将胡了2]游戏中240次旋转内中3次免费模式</t>
  </si>
  <si>
    <t>12501_105300_360_2_6</t>
  </si>
  <si>
    <t>在[麻将胡了2]游戏中360次旋转内中6次免费模式</t>
  </si>
  <si>
    <t>12501_101200_120_3_1</t>
  </si>
  <si>
    <t>在[财神来了]游戏中120次旋转内中1次财神到模式</t>
  </si>
  <si>
    <t>12501_101200_240_3_3</t>
  </si>
  <si>
    <t>在[财神来了]游戏中240次旋转内中3次财神到模式</t>
  </si>
  <si>
    <t>12501_101200_360_3_6</t>
  </si>
  <si>
    <t>在[财神来了]游戏中360次旋转内中6次财神到模式</t>
  </si>
  <si>
    <t>12501_102700_120_2_1</t>
  </si>
  <si>
    <t>在[象财神]游戏中120次旋转内中1次免费模式</t>
  </si>
  <si>
    <t>12501_102700_240_2_3</t>
  </si>
  <si>
    <t>在[象财神]游戏中240次旋转内中3次免费模式</t>
  </si>
  <si>
    <t>12501_102700_360_2_6</t>
  </si>
  <si>
    <t>在[象财神]游戏中360次旋转内中6次免费模式</t>
  </si>
  <si>
    <t>12501_104000_120_2_1</t>
  </si>
  <si>
    <t>在[潘金莲]游戏中120次旋转内中1次免费模式</t>
  </si>
  <si>
    <t>12501_104000_240_2_3</t>
  </si>
  <si>
    <t>在[潘金莲]游戏中240次旋转内中3次免费模式</t>
  </si>
  <si>
    <t>12501_104000_360_2_6</t>
  </si>
  <si>
    <t>在[潘金莲]游戏中360次旋转内中6次免费模式</t>
  </si>
  <si>
    <t>12501_102500_120_2_1</t>
  </si>
  <si>
    <t>在[寒冰王座]游戏中120次旋转内中1次免费模式</t>
  </si>
  <si>
    <t>12501_102500_240_2_3</t>
  </si>
  <si>
    <t>在[寒冰王座]游戏中240次旋转内中3次免费模式</t>
  </si>
  <si>
    <t>12501_102500_360_2_6</t>
  </si>
  <si>
    <t>在[寒冰王座]游戏中360次旋转内中6次免费模式</t>
  </si>
  <si>
    <t>12501_101800_120_2_1</t>
  </si>
  <si>
    <t>在[篮球巨星]游戏中120次旋转内中1次免费模式</t>
  </si>
  <si>
    <t>12501_101800_240_2_3</t>
  </si>
  <si>
    <t>在[篮球巨星]游戏中240次旋转内中3次免费模式</t>
  </si>
  <si>
    <t>12501_101800_360_2_6</t>
  </si>
  <si>
    <t>在[篮球巨星]游戏中360次旋转内中6次免费模式</t>
  </si>
  <si>
    <t>12501_102200_120_2_1</t>
  </si>
  <si>
    <t>在[雷神]游戏中120次旋转内中1次免费模式</t>
  </si>
  <si>
    <t>12501_102200_240_2_3</t>
  </si>
  <si>
    <t>在[雷神]游戏中240次旋转内中3次免费模式</t>
  </si>
  <si>
    <t>12501_102200_360_2_6</t>
  </si>
  <si>
    <t>在[雷神]游戏中360次旋转内中6次免费模式</t>
  </si>
  <si>
    <t>12501_103900_120_2_1</t>
  </si>
  <si>
    <t>在[愤怒的小鸟]游戏中120次旋转内中1次免费模式</t>
  </si>
  <si>
    <t>12501_103900_240_2_3</t>
  </si>
  <si>
    <t>在[愤怒的小鸟]游戏中240次旋转内中3次免费模式</t>
  </si>
  <si>
    <t>12501_103900_360_2_6</t>
  </si>
  <si>
    <t>在[愤怒的小鸟]游戏中360次旋转内中6次免费模式</t>
  </si>
  <si>
    <t>12501_103800_120_2_1</t>
  </si>
  <si>
    <t>在[恶魔之子]游戏中120次旋转内中1次免费模式</t>
  </si>
  <si>
    <t>12501_103800_240_2_3</t>
  </si>
  <si>
    <t>在[恶魔之子]游戏中240次旋转内中3次免费模式</t>
  </si>
  <si>
    <t>12501_103800_360_2_6</t>
  </si>
  <si>
    <t>在[恶魔之子]游戏中360次旋转内中6次免费模式</t>
  </si>
  <si>
    <t>12501_102300_120_2_1</t>
  </si>
  <si>
    <t>在[蒸汽时代]游戏中120次旋转内中1次免费模式</t>
  </si>
  <si>
    <t>12501_102300_240_2_3</t>
  </si>
  <si>
    <t>在[蒸汽时代]游戏中240次旋转内中3次免费模式</t>
  </si>
  <si>
    <t>12501_102300_360_2_6</t>
  </si>
  <si>
    <t>在[蒸汽时代]游戏中360次旋转内中6次免费模式</t>
  </si>
  <si>
    <t>12501_102000_120_2_1</t>
  </si>
  <si>
    <t>在[宙斯VS哈迪斯]游戏中120次旋转内中1次免费模式</t>
  </si>
  <si>
    <t>12501_102000_240_2_3</t>
  </si>
  <si>
    <t>在[宙斯VS哈迪斯]游戏中240次旋转内中3次免费模式</t>
  </si>
  <si>
    <t>12501_102000_360_2_6</t>
  </si>
  <si>
    <t>在[宙斯VS哈迪斯]游戏中360次旋转内中6次免费模式</t>
  </si>
  <si>
    <t>12501_102100_120_2_1</t>
  </si>
  <si>
    <t>在[杰克船长]游戏中120次旋转内中1次免费模式</t>
  </si>
  <si>
    <t>12501_102100_240_2_3</t>
  </si>
  <si>
    <t>在[杰克船长]游戏中240次旋转内中3次免费模式</t>
  </si>
  <si>
    <t>12501_102100_360_2_6</t>
  </si>
  <si>
    <t>在[杰克船长]游戏中360次旋转内中6次免费模式</t>
  </si>
  <si>
    <t>12501_102100_180_3_1</t>
  </si>
  <si>
    <t>在[杰克船长]游戏中180次旋转内中1次奖励模式</t>
  </si>
  <si>
    <t>12501_102100_360_3_3</t>
  </si>
  <si>
    <t>在[杰克船长]游戏中360次旋转内中3次奖励模式</t>
  </si>
  <si>
    <t>12501_102100_540_3_6</t>
  </si>
  <si>
    <t>在[杰克船长]游戏中540次旋转内中6次奖励模式</t>
  </si>
  <si>
    <t>12501_101500_120_3_1</t>
  </si>
  <si>
    <t>在[狼月]游戏中120次旋转内中1次免费模式</t>
  </si>
  <si>
    <t>12501_101500_240_3_3</t>
  </si>
  <si>
    <t>在[狼月]游戏中240次旋转内中3次免费模式</t>
  </si>
  <si>
    <t>12501_101500_360_3_6</t>
  </si>
  <si>
    <t>在[狼月]游戏中360次旋转内中6次免费模式</t>
  </si>
  <si>
    <t>12501_101500_120_2_1</t>
  </si>
  <si>
    <t>在[狼月]游戏中120次旋转内中1次许愿百搭模式</t>
  </si>
  <si>
    <t>12501_101500_240_2_3</t>
  </si>
  <si>
    <t>在[狼月]游戏中240次旋转内中3次许愿百搭模式</t>
  </si>
  <si>
    <t>12501_101500_360_2_6</t>
  </si>
  <si>
    <t>在[狼月]游戏中360次旋转内中6次许愿百搭模式</t>
  </si>
  <si>
    <t>12501_102400_120_2_1</t>
  </si>
  <si>
    <t>在[财富银行]游戏中120次旋转内中1次运钞车模式</t>
  </si>
  <si>
    <t>12501_102400_240_2_3</t>
  </si>
  <si>
    <t>在[财富银行]游戏中240次旋转内中3次运钞车模式</t>
  </si>
  <si>
    <t>12501_102400_360_2_6</t>
  </si>
  <si>
    <t>在[财富银行]游戏中360次旋转内中6次运钞车模式</t>
  </si>
  <si>
    <t>12501_100100_120_2_1</t>
  </si>
  <si>
    <t>在[金矿大亨]游戏中120次旋转内中1次拉火车模式</t>
  </si>
  <si>
    <t>12501_100100_240_2_3</t>
  </si>
  <si>
    <t>在[金矿大亨]游戏中240次旋转内中3次拉火车模式</t>
  </si>
  <si>
    <t>12501_100100_360_2_6</t>
  </si>
  <si>
    <t>在[金矿大亨]游戏中360次旋转内中6次拉火车模式</t>
  </si>
  <si>
    <t>12502_0_60_100000</t>
  </si>
  <si>
    <t>在任意游戏中60次旋转内累计赢奖100000</t>
  </si>
  <si>
    <t>12502_0_120_200000</t>
  </si>
  <si>
    <t>在任意游戏中120次旋转内累计赢奖200000</t>
  </si>
  <si>
    <t>12502_0_180_300000</t>
  </si>
  <si>
    <t>在任意游戏中180次旋转内累计赢奖300000</t>
  </si>
  <si>
    <t>12502_0_60_200000</t>
  </si>
  <si>
    <t>在任意游戏中60次旋转内累计赢奖200000</t>
  </si>
  <si>
    <t>12502_0_120_400000</t>
  </si>
  <si>
    <t>在任意游戏中120次旋转内累计赢奖400000</t>
  </si>
  <si>
    <t>12502_0_180_600000</t>
  </si>
  <si>
    <t>在任意游戏中180次旋转内累计赢奖600000</t>
  </si>
  <si>
    <t>12502_0_60_400000</t>
  </si>
  <si>
    <t>在任意游戏中60次旋转内累计赢奖400000</t>
  </si>
  <si>
    <t>12502_0_120_800000</t>
  </si>
  <si>
    <t>在任意游戏中120次旋转内累计赢奖800000</t>
  </si>
  <si>
    <t>12502_0_180_1200000</t>
  </si>
  <si>
    <t>在任意游戏中180次旋转内累计赢奖1200000</t>
  </si>
  <si>
    <t>12503_0_120_5_5</t>
  </si>
  <si>
    <t>在任意游戏中120次旋转内中5次5倍及以上大奖</t>
  </si>
  <si>
    <t>12503_0_240_5_10</t>
  </si>
  <si>
    <t>在任意游戏中240次旋转内中10次5倍及以上大奖</t>
  </si>
  <si>
    <t>12503_0_360_5_15</t>
  </si>
  <si>
    <t>在任意游戏中360次旋转内中15次5倍及以上大奖</t>
  </si>
  <si>
    <t>12503_0_120_5_7</t>
  </si>
  <si>
    <t>在任意游戏中120次旋转内中7次5倍及以上大奖</t>
  </si>
  <si>
    <t>12503_0_240_5_14</t>
  </si>
  <si>
    <t>在任意游戏中240次旋转内中14次5倍及以上大奖</t>
  </si>
  <si>
    <t>12503_0_360_5_21</t>
  </si>
  <si>
    <t>在任意游戏中360次旋转内中21次5倍及以上大奖</t>
  </si>
  <si>
    <t>12503_0_120_5_10</t>
  </si>
  <si>
    <t>在任意游戏中120次旋转内中10次5倍及以上大奖</t>
  </si>
  <si>
    <t>12503_0_240_5_20</t>
  </si>
  <si>
    <t>在任意游戏中240次旋转内中20次5倍及以上大奖</t>
  </si>
  <si>
    <t>12503_0_360_5_30</t>
  </si>
  <si>
    <t>在任意游戏中360次旋转内中30次5倍及以上大奖</t>
  </si>
  <si>
    <t>12503_0_120_10_2</t>
  </si>
  <si>
    <t>在任意游戏中120次旋转内中2次10倍及以上大奖</t>
  </si>
  <si>
    <t>12503_0_240_10_4</t>
  </si>
  <si>
    <t>在任意游戏中240次旋转内中4次10倍及以上大奖</t>
  </si>
  <si>
    <t>12503_0_360_10_6</t>
  </si>
  <si>
    <t>在任意游戏中360次旋转内中6次10倍及以上大奖</t>
  </si>
  <si>
    <t>12503_0_120_10_3</t>
  </si>
  <si>
    <t>在任意游戏中120次旋转内中3次10倍及以上大奖</t>
  </si>
  <si>
    <t>12503_0_240_10_6</t>
  </si>
  <si>
    <t>在任意游戏中240次旋转内中6次10倍及以上大奖</t>
  </si>
  <si>
    <t>12503_0_360_10_9</t>
  </si>
  <si>
    <t>在任意游戏中360次旋转内中9次10倍及以上大奖</t>
  </si>
  <si>
    <t>12503_0_120_10_4</t>
  </si>
  <si>
    <t>在任意游戏中120次旋转内中4次10倍及以上大奖</t>
  </si>
  <si>
    <t>12503_0_240_10_8</t>
  </si>
  <si>
    <t>在任意游戏中240次旋转内中8次10倍及以上大奖</t>
  </si>
  <si>
    <t>12503_0_360_10_12</t>
  </si>
  <si>
    <t>在任意游戏中360次旋转内中12次10倍及以上大奖</t>
  </si>
  <si>
    <t>12503_0_240_20_2</t>
  </si>
  <si>
    <t>在任意游戏中240次旋转内中2次20倍及以上大奖</t>
  </si>
  <si>
    <t>12503_0_360_20_3</t>
  </si>
  <si>
    <t>在任意游戏中360次旋转内中3次20倍及以上大奖</t>
  </si>
  <si>
    <t>12503_0_480_20_4</t>
  </si>
  <si>
    <t>在任意游戏中480次旋转内中4次20倍及以上大奖</t>
  </si>
  <si>
    <t>12503_0_240_20_3</t>
  </si>
  <si>
    <t>在任意游戏中240次旋转内中3次20倍及以上大奖</t>
  </si>
  <si>
    <t>12503_0_360_20_5</t>
  </si>
  <si>
    <t>在任意游戏中360次旋转内中5次20倍及以上大奖</t>
  </si>
  <si>
    <t>12503_0_480_20_6</t>
  </si>
  <si>
    <t>在任意游戏中480次旋转内中6次20倍及以上大奖</t>
  </si>
  <si>
    <t>12504_0_60_100000</t>
  </si>
  <si>
    <t>1_2</t>
  </si>
  <si>
    <t>在任意游戏中60次旋转累计下注100000</t>
  </si>
  <si>
    <t>12504_0_120_200000</t>
  </si>
  <si>
    <t>在任意游戏中120次旋转累计下注200000</t>
  </si>
  <si>
    <t>12504_0_180_300000</t>
  </si>
  <si>
    <t>在任意游戏中180次旋转累计下注300000</t>
  </si>
  <si>
    <t>12504_0_60_10000000</t>
  </si>
  <si>
    <t>在任意游戏中60次旋转累计下注10000000</t>
  </si>
  <si>
    <t>12504_0_120_20000000</t>
  </si>
  <si>
    <t>在任意游戏中120次旋转累计下注20000000</t>
  </si>
  <si>
    <t>12504_0_180_30000000</t>
  </si>
  <si>
    <t>在任意游戏中180次旋转累计下注30000000</t>
  </si>
  <si>
    <t>12504_0_60_100000000</t>
  </si>
  <si>
    <t>在任意游戏中60次旋转累计下注100000000</t>
  </si>
  <si>
    <t>12504_0_120_200000000</t>
  </si>
  <si>
    <t>在任意游戏中120次旋转累计下注200000000</t>
  </si>
  <si>
    <t>12504_0_180_300000000</t>
  </si>
  <si>
    <t>在任意游戏中180次旋转累计下注300000000</t>
  </si>
  <si>
    <t>联盟任务</t>
  </si>
  <si>
    <t>12301_0_1_5_1</t>
  </si>
  <si>
    <t>1024011_10|1024012_10</t>
  </si>
  <si>
    <t>中1次5倍奖励</t>
  </si>
  <si>
    <t>12301_0_1_5_3</t>
  </si>
  <si>
    <t>1024011_30|1024012_30</t>
  </si>
  <si>
    <t>中3次5倍奖励</t>
  </si>
  <si>
    <t>12301_0_1_5_5</t>
  </si>
  <si>
    <t>1024011_50|1024012_50</t>
  </si>
  <si>
    <t>中5次5倍奖励</t>
  </si>
  <si>
    <t>12301_0_1_5_10</t>
  </si>
  <si>
    <t>1024011_100|1024012_100</t>
  </si>
  <si>
    <t>中10次5倍奖励</t>
  </si>
  <si>
    <t>12301_0_1_5_20</t>
  </si>
  <si>
    <t>1024011_200|1024012_200</t>
  </si>
  <si>
    <t>中20次5倍奖励</t>
  </si>
  <si>
    <t>12301_0_1_5_30</t>
  </si>
  <si>
    <t>1024011_300|1024012_300</t>
  </si>
  <si>
    <t>中30次5倍奖励</t>
  </si>
  <si>
    <t>12301_0_1_5_50</t>
  </si>
  <si>
    <t>1024011_500|1024012_500</t>
  </si>
  <si>
    <t>中50次5倍奖励</t>
  </si>
  <si>
    <t>12301_0_1_10_1</t>
  </si>
  <si>
    <t>1024011_20|1024012_20</t>
  </si>
  <si>
    <t>中1次10倍奖励</t>
  </si>
  <si>
    <t>12301_0_1_10_3</t>
  </si>
  <si>
    <t>1024011_60|1024012_60</t>
  </si>
  <si>
    <t>中3次10倍奖励</t>
  </si>
  <si>
    <t>12301_0_1_10_5</t>
  </si>
  <si>
    <t>中5次10倍奖励</t>
  </si>
  <si>
    <t>12301_0_1_10_10</t>
  </si>
  <si>
    <t>中10次10倍奖励</t>
  </si>
  <si>
    <t>12301_0_1_10_20</t>
  </si>
  <si>
    <t>1024011_400|1024012_400</t>
  </si>
  <si>
    <t>中20次10倍奖励</t>
  </si>
  <si>
    <t>12301_0_1_10_30</t>
  </si>
  <si>
    <t>1024011_600|1024012_600</t>
  </si>
  <si>
    <t>中30次10倍奖励</t>
  </si>
  <si>
    <t>12301_0_1_10_50</t>
  </si>
  <si>
    <t>1024011_1000|1024012_1000</t>
  </si>
  <si>
    <t>中50次10倍奖励</t>
  </si>
  <si>
    <t>12301_0_1_20_1</t>
  </si>
  <si>
    <t>中1次20倍奖励</t>
  </si>
  <si>
    <t>12301_0_1_20_3</t>
  </si>
  <si>
    <t>中3次20倍奖励</t>
  </si>
  <si>
    <t>12301_0_1_20_5</t>
  </si>
  <si>
    <t>中5次20倍奖励</t>
  </si>
  <si>
    <t>12301_0_1_20_10</t>
  </si>
  <si>
    <t>中10次20倍奖励</t>
  </si>
  <si>
    <t>12301_0_1_20_20</t>
  </si>
  <si>
    <t>1024011_2000|1024012_2000</t>
  </si>
  <si>
    <t>中20次20倍奖励</t>
  </si>
  <si>
    <t>12301_0_1_20_30</t>
  </si>
  <si>
    <t>1024011_3000|1024012_3000</t>
  </si>
  <si>
    <t>中30次20倍奖励</t>
  </si>
  <si>
    <t>12301_0_1_20_50</t>
  </si>
  <si>
    <t>1024011_5000|1024012_5000</t>
  </si>
  <si>
    <t>中50次20倍奖励</t>
  </si>
  <si>
    <t>12302_0_1_10</t>
  </si>
  <si>
    <t>1024011_5|1024012_5</t>
  </si>
  <si>
    <t>下注10次</t>
  </si>
  <si>
    <t>12302_0_1_20</t>
  </si>
  <si>
    <t>下注20次</t>
  </si>
  <si>
    <t>12302_0_1_50</t>
  </si>
  <si>
    <t>1024011_25|1024012_25</t>
  </si>
  <si>
    <t>下注50次</t>
  </si>
  <si>
    <t>12302_0_1_80</t>
  </si>
  <si>
    <t>1024011_40|1024012_40</t>
  </si>
  <si>
    <t>下注80次</t>
  </si>
  <si>
    <t>12302_0_1_100</t>
  </si>
  <si>
    <t>下注100次</t>
  </si>
  <si>
    <t>12302_0_1_200</t>
  </si>
  <si>
    <t>下注200次</t>
  </si>
  <si>
    <t>12302_0_1_300</t>
  </si>
  <si>
    <t>1024011_150|1024012_150</t>
  </si>
  <si>
    <t>下注300次</t>
  </si>
  <si>
    <t>12302_0_1_500</t>
  </si>
  <si>
    <t>1024011_250|1024012_250</t>
  </si>
  <si>
    <t>下注500次</t>
  </si>
  <si>
    <t>12302_0_1_800</t>
  </si>
  <si>
    <t>下注800次</t>
  </si>
  <si>
    <t>12302_0_1_1000</t>
  </si>
  <si>
    <t>下注1000次</t>
  </si>
  <si>
    <t>12303_0_5</t>
  </si>
  <si>
    <t>卡池抽奖5次</t>
  </si>
  <si>
    <t>12303_0_10</t>
  </si>
  <si>
    <t>卡池抽奖10次</t>
  </si>
  <si>
    <t>12303_0_20</t>
  </si>
  <si>
    <t>卡池抽奖20次</t>
  </si>
  <si>
    <t>12303_0_30</t>
  </si>
  <si>
    <t>卡池抽奖30次</t>
  </si>
  <si>
    <t>12303_0_50</t>
  </si>
  <si>
    <t>卡池抽奖50次</t>
  </si>
  <si>
    <t>12303_0_100</t>
  </si>
  <si>
    <t>卡池抽奖100次</t>
  </si>
  <si>
    <t>12303_0_150</t>
  </si>
  <si>
    <t>卡池抽奖150次</t>
  </si>
  <si>
    <t>12305_0_2</t>
  </si>
  <si>
    <t>联盟捐献2次</t>
  </si>
  <si>
    <t>12305_0_4</t>
  </si>
  <si>
    <t>联盟捐献4次</t>
  </si>
  <si>
    <t>12305_0_6</t>
  </si>
  <si>
    <t>联盟捐献6次</t>
  </si>
  <si>
    <t>12305_0_8</t>
  </si>
  <si>
    <t>1024011_80|1024012_80</t>
  </si>
  <si>
    <t>联盟捐献8次</t>
  </si>
  <si>
    <t>12305_0_10</t>
  </si>
  <si>
    <t>联盟捐献10次</t>
  </si>
  <si>
    <t>12305_0_12</t>
  </si>
  <si>
    <t>1024011_120|1024012_120</t>
  </si>
  <si>
    <t>联盟捐献12次</t>
  </si>
  <si>
    <t>12305_0_15</t>
  </si>
  <si>
    <t>联盟捐献15次</t>
  </si>
  <si>
    <t>12304_0_5</t>
  </si>
  <si>
    <t>技能研究5次</t>
  </si>
  <si>
    <t>12304_0_10</t>
  </si>
  <si>
    <t>技能研究10次</t>
  </si>
  <si>
    <t>12304_0_15</t>
  </si>
  <si>
    <t>技能研究15次</t>
  </si>
  <si>
    <t>12304_0_20</t>
  </si>
  <si>
    <t>技能研究20次</t>
  </si>
  <si>
    <t>12304_0_25</t>
  </si>
  <si>
    <t>技能研究25次</t>
  </si>
  <si>
    <t>12304_0_30</t>
  </si>
  <si>
    <t>技能研究30次</t>
  </si>
  <si>
    <t>12206_0_5</t>
  </si>
  <si>
    <t>建筑升级5次</t>
  </si>
  <si>
    <t>12206_0_10</t>
  </si>
  <si>
    <t>建筑升级10次</t>
  </si>
  <si>
    <t>12206_0_15</t>
  </si>
  <si>
    <t>建筑升级15次</t>
  </si>
  <si>
    <t>12206_0_20</t>
  </si>
  <si>
    <t>建筑升级20次</t>
  </si>
  <si>
    <t>12206_0_25</t>
  </si>
  <si>
    <t>建筑升级25次</t>
  </si>
  <si>
    <t>12206_0_30</t>
  </si>
  <si>
    <t>建筑升级30次</t>
  </si>
  <si>
    <t>12306_0_1_1990000_100000</t>
  </si>
  <si>
    <t>游戏中累计赢奖100000</t>
  </si>
  <si>
    <t>12306_0_1_1990000_200000</t>
  </si>
  <si>
    <t>游戏中累计赢奖200000</t>
  </si>
  <si>
    <t>12306_0_1_1990000_300000</t>
  </si>
  <si>
    <t>游戏中累计赢奖300000</t>
  </si>
  <si>
    <t>12306_0_1_1990000_500000</t>
  </si>
  <si>
    <t>游戏中累计赢奖500000</t>
  </si>
  <si>
    <t>12306_0_1_1990000_800000</t>
  </si>
  <si>
    <t>游戏中累计赢奖800000</t>
  </si>
  <si>
    <t>12306_0_1_1990000_1000000</t>
  </si>
  <si>
    <t>游戏中累计赢奖1000000</t>
  </si>
  <si>
    <t>12306_0_1_1990000_1500000</t>
  </si>
  <si>
    <t>游戏中累计赢奖1500000</t>
  </si>
  <si>
    <t>12306_0_1_1990000_2000000</t>
  </si>
  <si>
    <t>游戏中累计赢奖2000000</t>
  </si>
  <si>
    <t>12306_0_1_1990000_2500000</t>
  </si>
  <si>
    <t>游戏中累计赢奖2500000</t>
  </si>
  <si>
    <t>12306_0_1_1990000_3000000</t>
  </si>
  <si>
    <t>游戏中累计赢奖3000000</t>
  </si>
  <si>
    <t>12306_0_1_1990000_4000000</t>
  </si>
  <si>
    <t>游戏中累计赢奖4000000</t>
  </si>
  <si>
    <t>12306_0_1_1990000_5000000</t>
  </si>
  <si>
    <t>游戏中累计赢奖5000000</t>
  </si>
  <si>
    <t>12307_0_500</t>
  </si>
  <si>
    <t>累计充值金额5</t>
  </si>
  <si>
    <t>12307_0_1000</t>
  </si>
  <si>
    <t>累计充值金额10</t>
  </si>
  <si>
    <t>12307_0_2000</t>
  </si>
  <si>
    <t>累计充值金额20</t>
  </si>
  <si>
    <t>12307_0_3000</t>
  </si>
  <si>
    <t>累计充值金额30</t>
  </si>
  <si>
    <t>12307_0_5000</t>
  </si>
  <si>
    <t>累计充值金额50</t>
  </si>
  <si>
    <t>12307_0_10000</t>
  </si>
  <si>
    <t>累计充值金额100</t>
  </si>
  <si>
    <t>以下游戏可用来配置,【策划看】</t>
  </si>
  <si>
    <t>参与N次X活动 专用，以下活动可用来配置,【策划看】</t>
  </si>
  <si>
    <t>401、402 任务类型 专用，以下道具可用来配置,【策划看】</t>
  </si>
  <si>
    <t>达成条件</t>
  </si>
  <si>
    <t>游戏ID</t>
  </si>
  <si>
    <t>游戏名称</t>
  </si>
  <si>
    <t>活动ID</t>
  </si>
  <si>
    <t>活动名称</t>
  </si>
  <si>
    <t>道具ID</t>
  </si>
  <si>
    <t>道具名称</t>
  </si>
  <si>
    <t>进行N次单笔X以上的充值</t>
  </si>
  <si>
    <t>任意渠道充值</t>
  </si>
  <si>
    <t>普通游戏</t>
  </si>
  <si>
    <t>金礦大亨-普通</t>
  </si>
  <si>
    <t>每日奖金</t>
  </si>
  <si>
    <t>领取任意奖励</t>
  </si>
  <si>
    <t>祈福卡</t>
  </si>
  <si>
    <t>游戏中产出 (不是礼包获得)</t>
  </si>
  <si>
    <t>累积充值达到X以上</t>
  </si>
  <si>
    <t>超级明星-普通</t>
  </si>
  <si>
    <t>摇钱树</t>
  </si>
  <si>
    <t>祈福任意摇钱树</t>
  </si>
  <si>
    <t>刮刮卡</t>
  </si>
  <si>
    <t>在N游戏中，金币有效下注累积达到X</t>
  </si>
  <si>
    <t>指定游戏</t>
  </si>
  <si>
    <t>麻将胡了-普通</t>
  </si>
  <si>
    <t>储钱罐</t>
  </si>
  <si>
    <t>领取任意罐子</t>
  </si>
  <si>
    <t>赌场材料随机包(普通)</t>
  </si>
  <si>
    <t>在任意游戏中，金币有效下注累积达到X</t>
  </si>
  <si>
    <t>所有游戏</t>
  </si>
  <si>
    <t>财神-普通</t>
  </si>
  <si>
    <t>消耗任意道具数量</t>
  </si>
  <si>
    <t>赌场材料随机包(豪华)</t>
  </si>
  <si>
    <t>在N游戏中，金币累积赢奖达到X</t>
  </si>
  <si>
    <t>埃及艳后-普通</t>
  </si>
  <si>
    <t>推广分享</t>
  </si>
  <si>
    <t>领取任意收益奖励</t>
  </si>
  <si>
    <t>赌场材料随机包(尊贵)</t>
  </si>
  <si>
    <t>在任意游戏中，金币累积赢奖达到X</t>
  </si>
  <si>
    <t>紅黑大戰-普通</t>
  </si>
  <si>
    <t>每日充值(未研发)</t>
  </si>
  <si>
    <t>领取任意充值奖励</t>
  </si>
  <si>
    <t>拼图随机礼包(一星)</t>
  </si>
  <si>
    <t>在N私人房间中钻石有效下注累积达到X</t>
  </si>
  <si>
    <t>指定房间游戏</t>
  </si>
  <si>
    <t>龍虎鬥-普通</t>
  </si>
  <si>
    <t>拼图随机礼包(二星)</t>
  </si>
  <si>
    <t>在任意私人房间中钻石有效下注累积达到X</t>
  </si>
  <si>
    <t>所有房间游戏</t>
  </si>
  <si>
    <t>飛禽走獸-普通</t>
  </si>
  <si>
    <t>拼图随机礼包(三星)</t>
  </si>
  <si>
    <t>在N私人房间中钻石累积赢奖达到X</t>
  </si>
  <si>
    <t>豪車俱樂部-普通</t>
  </si>
  <si>
    <t>拼图随机礼包(四星)</t>
  </si>
  <si>
    <t>在任意私人房间中钻石累积赢奖达到X</t>
  </si>
  <si>
    <t>百家樂-普通</t>
  </si>
  <si>
    <t>拼图随机礼包(五星)</t>
  </si>
  <si>
    <t>在N游戏中，累积获得X个i</t>
  </si>
  <si>
    <t>骰子-普通</t>
  </si>
  <si>
    <t>在任意游戏中,累积获得X个i</t>
  </si>
  <si>
    <t>越南色碟-普通</t>
  </si>
  <si>
    <t>累积消耗X个i</t>
  </si>
  <si>
    <t>查看501专用</t>
  </si>
  <si>
    <t>大小骰子-普通</t>
  </si>
  <si>
    <t>501 任务类型专用，以下道具可用来配置,【策划看】</t>
  </si>
  <si>
    <t>参与N次X活动</t>
  </si>
  <si>
    <t>查看502专用</t>
  </si>
  <si>
    <t>魚蝦蟹-普通</t>
  </si>
  <si>
    <t>在N电子游戏中，累积旋转X次</t>
  </si>
  <si>
    <t>指定SLOT游戏</t>
  </si>
  <si>
    <t>水果機-普通</t>
  </si>
  <si>
    <t>摇钱树中使用即可</t>
  </si>
  <si>
    <t>在任意电子游戏中，累积旋转X次</t>
  </si>
  <si>
    <t>所有SLOT游戏</t>
  </si>
  <si>
    <t>21點-普通</t>
  </si>
  <si>
    <t>刮刮卡中使用即可</t>
  </si>
  <si>
    <t>德州-普通</t>
  </si>
  <si>
    <t>钻石</t>
  </si>
  <si>
    <t>购买\兑换\赌场升级\房间消耗</t>
  </si>
  <si>
    <t>私人游戏</t>
  </si>
  <si>
    <t>紅黑大戰-房间</t>
  </si>
  <si>
    <t>龍虎鬥-房间</t>
  </si>
  <si>
    <t>飛禽走獸-房间</t>
  </si>
  <si>
    <t>豪車俱樂部-房间</t>
  </si>
  <si>
    <t>百家樂-房间</t>
  </si>
  <si>
    <t>骰子-房间</t>
  </si>
  <si>
    <t>越南色碟-房间</t>
  </si>
  <si>
    <t>大小骰子-房间</t>
  </si>
  <si>
    <t>魚蝦蟹-房间</t>
  </si>
  <si>
    <t>德州-房间</t>
  </si>
  <si>
    <t>价值转化</t>
  </si>
  <si>
    <t>美分</t>
  </si>
  <si>
    <t>道具价值</t>
  </si>
  <si>
    <t>金币价值</t>
  </si>
  <si>
    <t>积分</t>
  </si>
  <si>
    <t>list&lt;int&gt;{_}</t>
  </si>
  <si>
    <t>12101_1022501_10</t>
  </si>
  <si>
    <t>task_600000.png</t>
  </si>
  <si>
    <t>在[搖錢樹]活動中累積使用10個[祈福卡]</t>
  </si>
  <si>
    <t>12101_1022501_30</t>
  </si>
  <si>
    <t>72101</t>
  </si>
  <si>
    <t>在[搖錢樹]活動中累積使用30個[祈福卡]</t>
  </si>
  <si>
    <t>12101_1022501_100</t>
  </si>
  <si>
    <t>72102</t>
  </si>
  <si>
    <t>在[搖錢樹]活動中累積使用100個[祈福卡]</t>
  </si>
  <si>
    <t>11001_999_2_0</t>
  </si>
  <si>
    <t>task_500000.png</t>
  </si>
  <si>
    <t>70001</t>
  </si>
  <si>
    <t>進行2次單筆充值$9.99</t>
  </si>
  <si>
    <t>单笔充值</t>
  </si>
  <si>
    <t>11001_99_1_0</t>
  </si>
  <si>
    <t>71101</t>
  </si>
  <si>
    <t>進行1次單筆充值$0.99</t>
  </si>
  <si>
    <t>11001_499_1_0</t>
  </si>
  <si>
    <t>71102</t>
  </si>
  <si>
    <t>進行1次單筆充值$4.99</t>
  </si>
  <si>
    <t>11001_999_1_0</t>
  </si>
  <si>
    <t>71103</t>
  </si>
  <si>
    <t>進行1次單筆充值$9.99</t>
  </si>
  <si>
    <t>贡献值ID</t>
  </si>
  <si>
    <t>声誉值ID</t>
  </si>
  <si>
    <t>声誉数量</t>
  </si>
  <si>
    <t>贡献数量</t>
  </si>
  <si>
    <t>累積充值達到$1.00</t>
  </si>
  <si>
    <t>在[金礦大亨]電子遊戲中，金币有效下注累積達到1,000,000</t>
  </si>
  <si>
    <t>在任意遊戲中，金币有效下注累積達到4,000,000</t>
  </si>
  <si>
    <t>在[金礦大亨]電子遊戲中，金币累積贏獎達到1,000,000</t>
  </si>
  <si>
    <t>充值商城</t>
  </si>
  <si>
    <t>在任意遊戲中，金币累積贏獎達到20,000,000</t>
  </si>
  <si>
    <t>在私人房間中鑽石累積贏獎達到1,000</t>
  </si>
  <si>
    <t>在[金礦大亨]電子遊戲中，累積旋轉100次</t>
  </si>
  <si>
    <t>在任意電子遊戲中，累積旋轉2500次</t>
  </si>
  <si>
    <t>在[超级明星]電子遊戲中，累積旋轉500次</t>
  </si>
  <si>
    <t>在[麻将胡了]電子遊戲中，累積旋轉500次</t>
  </si>
  <si>
    <t>金矿大亨</t>
  </si>
  <si>
    <t>在[财神]電子遊戲中，累積旋轉500次</t>
  </si>
  <si>
    <t>在[埃及艳后]電子遊戲中，累積旋轉500次</t>
  </si>
  <si>
    <t>在[超级明星]電子遊戲中，金币累積贏獎達到35,000,000</t>
  </si>
  <si>
    <t>在[超级明星]電子遊戲中，金币累積贏獎達到350,000,000</t>
  </si>
  <si>
    <t>在[超级明星]電子遊戲中，金币累積贏獎達到1,400,000,000</t>
  </si>
  <si>
    <t>在[麻将胡了]電子遊戲中，金币累積贏獎達到35,000,000</t>
  </si>
  <si>
    <t>在[麻将胡了]電子遊戲中，金币累積贏獎達到350,000,000</t>
  </si>
  <si>
    <t>在[麻将胡了]電子遊戲中，金币累積贏獎達到1,400,000,000</t>
  </si>
  <si>
    <t>在[财神]電子遊戲中，金币累積贏獎達到35,000,000</t>
  </si>
  <si>
    <t>在[财神]電子遊戲中，金币累積贏獎達到350,000,000</t>
  </si>
  <si>
    <t>在[财神]電子遊戲中，金币累積贏獎達到1,400,000,000</t>
  </si>
  <si>
    <t>在[埃及艳后]電子遊戲中，金币累積贏獎達到35,000,000</t>
  </si>
  <si>
    <t>在[埃及艳后]電子遊戲中，金币累積贏獎達到350,000,000</t>
  </si>
  <si>
    <t>在[埃及艳后]電子遊戲中，金币累積贏獎達到1,400,000,000</t>
  </si>
  <si>
    <t>在私人房間中鑽石累積贏獎達到7,000</t>
  </si>
  <si>
    <t>在私人房間中鑽石累積贏獎達到70,000</t>
  </si>
  <si>
    <t>在私人房間中鑽石累積贏獎達到700,000</t>
  </si>
  <si>
    <t>在任意遊戲中，金币累積贏獎達到210,000,000</t>
  </si>
  <si>
    <t>在任意遊戲中，金币累積贏獎達到2,100,000,000</t>
  </si>
  <si>
    <t>在任意遊戲中，金币累積贏獎達到4,200,000,000</t>
  </si>
  <si>
    <t>创建房间</t>
  </si>
  <si>
    <t>累積充值達到$200.00</t>
  </si>
  <si>
    <t>累積充值達到$500.00</t>
  </si>
  <si>
    <t>在[金礦大亨]電子遊戲中，金币有效下注累積達到70,000,000</t>
  </si>
  <si>
    <t>在[麻将胡了]電子遊戲中，金币有效下注累積達到700,000,000</t>
  </si>
  <si>
    <t>10003_0_1_1000_1980000</t>
  </si>
  <si>
    <t>task_win diamonds</t>
  </si>
  <si>
    <t>赢奖钻石</t>
  </si>
  <si>
    <t>10003_0_1_7000_1980000</t>
  </si>
  <si>
    <t>70381</t>
  </si>
  <si>
    <t>10003_0_1_70000_1980000</t>
  </si>
  <si>
    <t>70382</t>
  </si>
  <si>
    <t>10003_0_1_700000_1980000</t>
  </si>
  <si>
    <t>70383</t>
  </si>
  <si>
    <t>2025/10/01 00:00:00</t>
  </si>
  <si>
    <t>11001_9_2_0</t>
  </si>
  <si>
    <t>task_Recharge</t>
  </si>
  <si>
    <t>2026/10/01 00:00:00</t>
  </si>
  <si>
    <t>11002_100_0</t>
  </si>
  <si>
    <t>累積充值達到$100.00</t>
  </si>
  <si>
    <t>12001_100100_1000000</t>
  </si>
  <si>
    <t>task_GoldMineTycoon</t>
  </si>
  <si>
    <t>12001_0_4000000</t>
  </si>
  <si>
    <t>task_Anygame</t>
  </si>
  <si>
    <t>10003_100100_1_1000000_1990000</t>
  </si>
  <si>
    <t>在任意遊戲中，金币累積贏獎達到2,000,000</t>
  </si>
  <si>
    <t>task_MoneyTree</t>
  </si>
  <si>
    <t>10001_100100_1_100</t>
  </si>
  <si>
    <t>task_rotation times</t>
  </si>
  <si>
    <t>10001_0_1_500</t>
  </si>
  <si>
    <t>在任意電子遊戲中，累積旋轉500次</t>
  </si>
  <si>
    <t>新图标名称[task_游戏ID]</t>
  </si>
  <si>
    <t>task_100100.png</t>
  </si>
  <si>
    <t>寒冰王座</t>
  </si>
  <si>
    <t>task_102500.png</t>
  </si>
  <si>
    <t>红黑大战</t>
  </si>
  <si>
    <t>task_200100.png</t>
  </si>
  <si>
    <t>龙虎斗</t>
  </si>
  <si>
    <t>task_200101.png</t>
  </si>
  <si>
    <t>飞禽走兽</t>
  </si>
  <si>
    <t>task_200300.png</t>
  </si>
  <si>
    <t>豪车俱乐部</t>
  </si>
  <si>
    <t>task_200400.png</t>
  </si>
  <si>
    <t>百家乐</t>
  </si>
  <si>
    <t>task_200500.png</t>
  </si>
  <si>
    <t>骰子</t>
  </si>
  <si>
    <t>task_200600.png</t>
  </si>
  <si>
    <t>越南色碟</t>
  </si>
  <si>
    <t>task_200700.png</t>
  </si>
  <si>
    <t>大小骰子</t>
  </si>
  <si>
    <t>task_200800.png</t>
  </si>
  <si>
    <t>鱼虾蟹</t>
  </si>
  <si>
    <t>task_200900.png</t>
  </si>
  <si>
    <t>21点</t>
  </si>
  <si>
    <t>task_300100.png</t>
  </si>
  <si>
    <t>德州</t>
  </si>
  <si>
    <t>task_300200.png</t>
  </si>
  <si>
    <t>下注</t>
  </si>
  <si>
    <t>task_500002.png</t>
  </si>
  <si>
    <t>任意消费</t>
  </si>
  <si>
    <t>task_500003.png</t>
  </si>
  <si>
    <t>转动次数</t>
  </si>
  <si>
    <t>钻石赢奖</t>
  </si>
  <si>
    <t>task_500005.png</t>
  </si>
  <si>
    <t>task_600001.png</t>
  </si>
  <si>
    <t>特权卡</t>
  </si>
  <si>
    <t>task_600002.png</t>
  </si>
  <si>
    <t>task_600003.png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</si>
</sst>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00B0F0"/>
      <name val="微软雅黑"/>
      <charset val="134"/>
    </font>
    <font>
      <sz val="11"/>
      <color theme="0" tint="-0.35"/>
      <name val="微软雅黑"/>
      <charset val="134"/>
    </font>
    <font>
      <sz val="11"/>
      <color theme="0" tint="-0.25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1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10" borderId="0" xfId="0" applyNumberFormat="1" applyFont="1" applyFill="1" applyBorder="1" applyAlignment="1" applyProtection="1">
      <alignment horizontal="left" vertical="center"/>
    </xf>
    <xf numFmtId="49" fontId="1" fillId="4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11" borderId="0" xfId="0" applyFont="1" applyFill="1">
      <alignment vertical="center"/>
    </xf>
    <xf numFmtId="0" fontId="1" fillId="11" borderId="0" xfId="0" applyNumberFormat="1" applyFont="1" applyFill="1">
      <alignment vertical="center"/>
    </xf>
    <xf numFmtId="0" fontId="1" fillId="11" borderId="0" xfId="0" applyFont="1" applyFill="1" applyAlignment="1">
      <alignment horizontal="left" vertical="center"/>
    </xf>
    <xf numFmtId="49" fontId="1" fillId="11" borderId="0" xfId="0" applyNumberFormat="1" applyFont="1" applyFill="1" applyAlignment="1">
      <alignment horizontal="left" vertical="center"/>
    </xf>
    <xf numFmtId="0" fontId="1" fillId="11" borderId="0" xfId="0" applyNumberFormat="1" applyFont="1" applyFill="1" applyBorder="1" applyAlignment="1" applyProtection="1">
      <alignment horizontal="left" vertical="center"/>
    </xf>
    <xf numFmtId="49" fontId="1" fillId="11" borderId="0" xfId="0" applyNumberFormat="1" applyFont="1" applyFill="1" applyAlignment="1" applyProtection="1">
      <alignment horizontal="left" vertical="center"/>
    </xf>
    <xf numFmtId="0" fontId="1" fillId="11" borderId="0" xfId="0" applyNumberFormat="1" applyFont="1" applyFill="1" applyAlignment="1" applyProtection="1">
      <alignment horizontal="left"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>
      <alignment vertical="center"/>
    </xf>
    <xf numFmtId="0" fontId="5" fillId="13" borderId="0" xfId="0" applyFont="1" applyFill="1">
      <alignment vertical="center"/>
    </xf>
    <xf numFmtId="0" fontId="5" fillId="13" borderId="0" xfId="0" applyNumberFormat="1" applyFont="1" applyFill="1">
      <alignment vertical="center"/>
    </xf>
    <xf numFmtId="0" fontId="5" fillId="13" borderId="0" xfId="0" applyFont="1" applyFill="1" applyAlignment="1">
      <alignment horizontal="left" vertical="center"/>
    </xf>
    <xf numFmtId="49" fontId="5" fillId="13" borderId="0" xfId="0" applyNumberFormat="1" applyFont="1" applyFill="1" applyAlignment="1">
      <alignment horizontal="left" vertical="center"/>
    </xf>
    <xf numFmtId="0" fontId="5" fillId="13" borderId="0" xfId="0" applyNumberFormat="1" applyFont="1" applyFill="1" applyAlignment="1">
      <alignment horizontal="left" vertical="center"/>
    </xf>
    <xf numFmtId="0" fontId="1" fillId="13" borderId="0" xfId="0" applyFont="1" applyFill="1">
      <alignment vertical="center"/>
    </xf>
    <xf numFmtId="0" fontId="1" fillId="13" borderId="0" xfId="0" applyNumberFormat="1" applyFont="1" applyFill="1">
      <alignment vertical="center"/>
    </xf>
    <xf numFmtId="0" fontId="1" fillId="13" borderId="0" xfId="0" applyFont="1" applyFill="1" applyAlignment="1">
      <alignment horizontal="left" vertical="center"/>
    </xf>
    <xf numFmtId="49" fontId="1" fillId="13" borderId="0" xfId="0" applyNumberFormat="1" applyFont="1" applyFill="1" applyAlignment="1">
      <alignment horizontal="left" vertical="center"/>
    </xf>
    <xf numFmtId="0" fontId="1" fillId="13" borderId="0" xfId="0" applyNumberFormat="1" applyFont="1" applyFill="1" applyAlignment="1">
      <alignment horizontal="left" vertical="center"/>
    </xf>
    <xf numFmtId="49" fontId="1" fillId="0" borderId="0" xfId="0" applyNumberFormat="1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mp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umpData"/>
      <sheetName val="Sheet1"/>
    </sheetNames>
    <sheetDataSet>
      <sheetData sheetId="0">
        <row r="1">
          <cell r="A1" t="str">
            <v>跳转ID</v>
          </cell>
        </row>
        <row r="2">
          <cell r="A2" t="str">
            <v>int</v>
          </cell>
        </row>
        <row r="3">
          <cell r="A3" t="str">
            <v>id</v>
          </cell>
        </row>
        <row r="5">
          <cell r="A5">
            <v>11001</v>
          </cell>
        </row>
        <row r="6">
          <cell r="A6">
            <v>11003</v>
          </cell>
        </row>
        <row r="7">
          <cell r="A7">
            <v>11007</v>
          </cell>
        </row>
        <row r="8">
          <cell r="A8">
            <v>11012</v>
          </cell>
        </row>
        <row r="9">
          <cell r="A9">
            <v>11014</v>
          </cell>
        </row>
        <row r="10">
          <cell r="A10">
            <v>11017</v>
          </cell>
        </row>
        <row r="11">
          <cell r="A11">
            <v>11021</v>
          </cell>
        </row>
        <row r="12">
          <cell r="A12">
            <v>11022</v>
          </cell>
        </row>
        <row r="13">
          <cell r="A13">
            <v>11023</v>
          </cell>
        </row>
        <row r="14">
          <cell r="A14">
            <v>11024</v>
          </cell>
        </row>
        <row r="15">
          <cell r="A15">
            <v>11025</v>
          </cell>
        </row>
        <row r="16">
          <cell r="A16">
            <v>11026</v>
          </cell>
        </row>
        <row r="17">
          <cell r="A17">
            <v>11027</v>
          </cell>
        </row>
        <row r="18">
          <cell r="A18">
            <v>11028</v>
          </cell>
        </row>
        <row r="19">
          <cell r="A19">
            <v>11029</v>
          </cell>
        </row>
        <row r="20">
          <cell r="A20">
            <v>11030</v>
          </cell>
        </row>
        <row r="21">
          <cell r="A21">
            <v>11031</v>
          </cell>
        </row>
        <row r="22">
          <cell r="A22">
            <v>11032</v>
          </cell>
        </row>
        <row r="23">
          <cell r="A23">
            <v>11033</v>
          </cell>
        </row>
        <row r="24">
          <cell r="A24">
            <v>11034</v>
          </cell>
        </row>
        <row r="25">
          <cell r="A25">
            <v>11035</v>
          </cell>
        </row>
        <row r="26">
          <cell r="A26">
            <v>11036</v>
          </cell>
        </row>
        <row r="27">
          <cell r="A27">
            <v>11037</v>
          </cell>
        </row>
        <row r="28">
          <cell r="A28">
            <v>11038</v>
          </cell>
        </row>
        <row r="29">
          <cell r="A29">
            <v>11039</v>
          </cell>
        </row>
        <row r="30">
          <cell r="A30">
            <v>11040</v>
          </cell>
        </row>
        <row r="31">
          <cell r="A31">
            <v>2001</v>
          </cell>
        </row>
        <row r="32">
          <cell r="A32">
            <v>2002</v>
          </cell>
        </row>
        <row r="33">
          <cell r="A33">
            <v>2003</v>
          </cell>
        </row>
        <row r="34">
          <cell r="A34">
            <v>2004</v>
          </cell>
        </row>
        <row r="35">
          <cell r="A35">
            <v>2005</v>
          </cell>
        </row>
        <row r="36">
          <cell r="A36">
            <v>2006</v>
          </cell>
        </row>
        <row r="37">
          <cell r="A37">
            <v>2007</v>
          </cell>
        </row>
        <row r="38">
          <cell r="A38">
            <v>2008</v>
          </cell>
        </row>
        <row r="39">
          <cell r="A39">
            <v>3001</v>
          </cell>
        </row>
        <row r="40">
          <cell r="A40">
            <v>3002</v>
          </cell>
        </row>
        <row r="41">
          <cell r="A41">
            <v>3003</v>
          </cell>
        </row>
        <row r="42">
          <cell r="A42">
            <v>3004</v>
          </cell>
        </row>
        <row r="43">
          <cell r="A43">
            <v>3005</v>
          </cell>
        </row>
        <row r="44">
          <cell r="A44">
            <v>3006</v>
          </cell>
        </row>
        <row r="45">
          <cell r="A45">
            <v>3007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28"/>
  <sheetViews>
    <sheetView tabSelected="1" zoomScale="85" zoomScaleNormal="85" workbookViewId="0">
      <pane ySplit="4" topLeftCell="A223" activePane="bottomLeft" state="frozen"/>
      <selection/>
      <selection pane="bottomLeft" activeCell="F245" sqref="F245"/>
    </sheetView>
  </sheetViews>
  <sheetFormatPr defaultColWidth="9" defaultRowHeight="16.5"/>
  <cols>
    <col min="1" max="1" width="11.625" style="4" customWidth="1"/>
    <col min="2" max="5" width="9.125" style="4" customWidth="1"/>
    <col min="6" max="6" width="15.7083333333333" style="4" customWidth="1"/>
    <col min="7" max="7" width="36.875" style="4" customWidth="1"/>
    <col min="8" max="8" width="11.125" style="4" customWidth="1"/>
    <col min="9" max="9" width="26.7833333333333" style="4" customWidth="1"/>
    <col min="10" max="10" width="13.125" style="4" customWidth="1"/>
    <col min="11" max="11" width="23.625" style="36" customWidth="1"/>
    <col min="12" max="12" width="12.875" style="37" customWidth="1"/>
    <col min="13" max="13" width="15.5833333333333" style="37" customWidth="1"/>
    <col min="14" max="14" width="8.08333333333333" style="38" customWidth="1"/>
    <col min="15" max="16" width="13.225" style="38" customWidth="1"/>
    <col min="17" max="19" width="9.25833333333333" style="38" customWidth="1"/>
    <col min="20" max="20" width="14.2666666666667" style="38" customWidth="1"/>
    <col min="21" max="21" width="55.15" style="4" customWidth="1"/>
    <col min="22" max="23" width="12.3416666666667" style="4" customWidth="1"/>
    <col min="24" max="26" width="14.5" style="4" customWidth="1"/>
    <col min="27" max="28" width="12.875" style="39"/>
    <col min="29" max="29" width="16.5" style="4"/>
    <col min="30" max="31" width="9" style="4"/>
    <col min="32" max="32" width="19.85" style="4" customWidth="1"/>
    <col min="33" max="16384" width="9" style="4"/>
  </cols>
  <sheetData>
    <row r="1" spans="1:36">
      <c r="A1" s="40" t="s">
        <v>0</v>
      </c>
      <c r="B1" s="40" t="s">
        <v>1</v>
      </c>
      <c r="C1" s="40" t="s">
        <v>2</v>
      </c>
      <c r="D1" s="40" t="s">
        <v>3</v>
      </c>
      <c r="E1" s="40" t="s">
        <v>2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1" t="s">
        <v>9</v>
      </c>
      <c r="L1" s="42" t="s">
        <v>10</v>
      </c>
      <c r="M1" s="42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16</v>
      </c>
      <c r="S1" s="43" t="s">
        <v>17</v>
      </c>
      <c r="T1" s="43" t="s">
        <v>18</v>
      </c>
      <c r="U1" s="4" t="s">
        <v>19</v>
      </c>
      <c r="AC1" s="4" t="s">
        <v>20</v>
      </c>
    </row>
    <row r="2" spans="1:36">
      <c r="A2" s="40" t="s">
        <v>21</v>
      </c>
      <c r="B2" s="40" t="s">
        <v>21</v>
      </c>
      <c r="C2" s="40"/>
      <c r="D2" s="40" t="s">
        <v>21</v>
      </c>
      <c r="E2" s="40"/>
      <c r="F2" s="40"/>
      <c r="G2" s="40" t="s">
        <v>22</v>
      </c>
      <c r="H2" s="40" t="s">
        <v>21</v>
      </c>
      <c r="I2" s="44" t="s">
        <v>23</v>
      </c>
      <c r="J2" s="44" t="s">
        <v>21</v>
      </c>
      <c r="K2" s="44" t="s">
        <v>24</v>
      </c>
      <c r="L2" s="44" t="s">
        <v>21</v>
      </c>
      <c r="M2" s="44" t="s">
        <v>24</v>
      </c>
      <c r="N2" s="45" t="s">
        <v>24</v>
      </c>
      <c r="O2" s="45" t="s">
        <v>21</v>
      </c>
      <c r="P2" s="45" t="s">
        <v>21</v>
      </c>
      <c r="Q2" s="45" t="s">
        <v>25</v>
      </c>
      <c r="R2" s="45" t="s">
        <v>21</v>
      </c>
      <c r="S2" s="45" t="s">
        <v>21</v>
      </c>
      <c r="T2" s="45" t="s">
        <v>26</v>
      </c>
    </row>
    <row r="3" spans="1:36">
      <c r="A3" s="40" t="s">
        <v>27</v>
      </c>
      <c r="B3" s="40" t="s">
        <v>28</v>
      </c>
      <c r="C3" s="40"/>
      <c r="D3" s="40" t="s">
        <v>29</v>
      </c>
      <c r="E3" s="40"/>
      <c r="F3" s="40"/>
      <c r="G3" s="40" t="s">
        <v>30</v>
      </c>
      <c r="H3" s="40" t="s">
        <v>31</v>
      </c>
      <c r="I3" s="44" t="s">
        <v>32</v>
      </c>
      <c r="J3" s="46" t="s">
        <v>33</v>
      </c>
      <c r="K3" s="46" t="s">
        <v>34</v>
      </c>
      <c r="L3" s="42" t="s">
        <v>35</v>
      </c>
      <c r="M3" s="42" t="s">
        <v>36</v>
      </c>
      <c r="N3" s="43" t="s">
        <v>37</v>
      </c>
      <c r="O3" s="45" t="s">
        <v>38</v>
      </c>
      <c r="P3" s="45" t="s">
        <v>39</v>
      </c>
      <c r="Q3" s="45" t="s">
        <v>40</v>
      </c>
      <c r="R3" s="45" t="s">
        <v>41</v>
      </c>
      <c r="S3" s="43" t="s">
        <v>42</v>
      </c>
      <c r="T3" s="43" t="s">
        <v>43</v>
      </c>
    </row>
    <row r="4" spans="1:36">
      <c r="A4" s="40"/>
      <c r="B4" s="40"/>
      <c r="C4" s="40"/>
      <c r="D4" s="40"/>
      <c r="E4" s="40"/>
      <c r="F4" s="40"/>
      <c r="G4" s="40"/>
      <c r="H4" s="40"/>
      <c r="I4" s="40"/>
      <c r="J4" s="40"/>
      <c r="K4" s="41"/>
      <c r="L4" s="42"/>
      <c r="M4" s="42"/>
      <c r="N4" s="43"/>
      <c r="O4" s="45"/>
      <c r="P4" s="43"/>
      <c r="Q4" s="43"/>
      <c r="R4" s="43"/>
      <c r="S4" s="43"/>
      <c r="T4" s="43"/>
    </row>
    <row r="5" s="4" customFormat="1" spans="1:36">
      <c r="A5" s="47">
        <v>110020001</v>
      </c>
      <c r="B5" s="48">
        <v>1</v>
      </c>
      <c r="C5" s="48" t="s">
        <v>44</v>
      </c>
      <c r="D5" s="4">
        <v>1100200</v>
      </c>
      <c r="E5" s="4">
        <v>1</v>
      </c>
      <c r="F5" s="4"/>
      <c r="G5" s="4" t="s">
        <v>45</v>
      </c>
      <c r="J5" s="36">
        <v>10</v>
      </c>
      <c r="K5" s="36" t="s">
        <v>46</v>
      </c>
      <c r="L5" s="37">
        <v>2003</v>
      </c>
      <c r="M5" s="37" t="s">
        <v>47</v>
      </c>
      <c r="N5" s="38"/>
      <c r="O5" s="49"/>
      <c r="P5" s="49"/>
      <c r="Q5" t="b">
        <v>0</v>
      </c>
      <c r="R5" s="49"/>
      <c r="S5" s="49">
        <v>70001</v>
      </c>
      <c r="T5" s="49"/>
      <c r="U5" s="4" t="s">
        <v>48</v>
      </c>
      <c r="V5" s="50" t="s">
        <v>49</v>
      </c>
      <c r="W5" s="50">
        <v>11002</v>
      </c>
      <c r="X5" s="50"/>
      <c r="Y5" s="50"/>
      <c r="Z5" s="50">
        <v>2003</v>
      </c>
      <c r="AA5" s="39">
        <v>300</v>
      </c>
      <c r="AB5" s="62" t="s">
        <v>50</v>
      </c>
      <c r="AC5" s="51">
        <v>10</v>
      </c>
      <c r="AD5" s="4">
        <v>1</v>
      </c>
      <c r="AE5" s="4"/>
      <c r="AF5" s="4" t="s">
        <v>51</v>
      </c>
      <c r="AG5" s="4"/>
      <c r="AH5" s="4" t="s">
        <v>52</v>
      </c>
      <c r="AI5" s="4"/>
      <c r="AJ5" s="4" t="s">
        <v>53</v>
      </c>
    </row>
    <row r="6" s="4" customFormat="1" spans="1:36">
      <c r="A6" s="47">
        <v>110020101</v>
      </c>
      <c r="B6" s="48">
        <v>1</v>
      </c>
      <c r="C6" s="48" t="s">
        <v>44</v>
      </c>
      <c r="D6" s="4">
        <v>1100201</v>
      </c>
      <c r="E6" s="4">
        <v>1</v>
      </c>
      <c r="F6" s="4"/>
      <c r="G6" s="4" t="s">
        <v>54</v>
      </c>
      <c r="J6" s="36">
        <v>50</v>
      </c>
      <c r="K6" s="36" t="s">
        <v>46</v>
      </c>
      <c r="L6" s="37">
        <v>2003</v>
      </c>
      <c r="M6" s="37" t="s">
        <v>47</v>
      </c>
      <c r="N6" s="38"/>
      <c r="O6" s="49"/>
      <c r="P6" s="49"/>
      <c r="Q6" t="b">
        <v>0</v>
      </c>
      <c r="R6" s="49"/>
      <c r="S6" s="49">
        <v>70002</v>
      </c>
      <c r="T6" s="49"/>
      <c r="U6" s="4" t="s">
        <v>55</v>
      </c>
      <c r="V6" s="50" t="s">
        <v>49</v>
      </c>
      <c r="W6" s="50">
        <v>11002</v>
      </c>
      <c r="X6" s="50"/>
      <c r="Y6" s="50"/>
      <c r="Z6" s="50">
        <v>2003</v>
      </c>
      <c r="AA6" s="39">
        <v>1400</v>
      </c>
      <c r="AB6" s="62" t="s">
        <v>56</v>
      </c>
      <c r="AC6" s="51">
        <v>50</v>
      </c>
      <c r="AD6" s="4">
        <v>2</v>
      </c>
      <c r="AE6" s="4"/>
      <c r="AF6" s="4" t="s">
        <v>57</v>
      </c>
      <c r="AG6" s="4"/>
      <c r="AH6" s="4" t="s">
        <v>58</v>
      </c>
      <c r="AI6" s="4"/>
      <c r="AJ6" s="4" t="s">
        <v>59</v>
      </c>
    </row>
    <row r="7" s="4" customFormat="1" spans="1:36">
      <c r="A7" s="47">
        <v>110020201</v>
      </c>
      <c r="B7" s="48">
        <v>1</v>
      </c>
      <c r="C7" s="48" t="s">
        <v>44</v>
      </c>
      <c r="D7" s="4">
        <v>1100202</v>
      </c>
      <c r="E7" s="4">
        <v>1</v>
      </c>
      <c r="F7" s="4"/>
      <c r="G7" s="4" t="s">
        <v>60</v>
      </c>
      <c r="J7" s="36">
        <v>99</v>
      </c>
      <c r="K7" s="36" t="s">
        <v>46</v>
      </c>
      <c r="L7" s="37">
        <v>2003</v>
      </c>
      <c r="M7" s="37" t="s">
        <v>47</v>
      </c>
      <c r="N7" s="38"/>
      <c r="O7" s="49"/>
      <c r="P7" s="49"/>
      <c r="Q7" t="b">
        <v>0</v>
      </c>
      <c r="R7" s="49"/>
      <c r="S7" s="49">
        <v>70003</v>
      </c>
      <c r="T7" s="49"/>
      <c r="U7" s="4" t="s">
        <v>61</v>
      </c>
      <c r="V7" s="50" t="s">
        <v>49</v>
      </c>
      <c r="W7" s="50">
        <v>11002</v>
      </c>
      <c r="X7" s="50"/>
      <c r="Y7" s="50"/>
      <c r="Z7" s="50">
        <v>2003</v>
      </c>
      <c r="AA7" s="39">
        <v>2800</v>
      </c>
      <c r="AB7" s="62" t="s">
        <v>62</v>
      </c>
      <c r="AC7" s="51">
        <v>99</v>
      </c>
      <c r="AD7" s="4">
        <v>3</v>
      </c>
      <c r="AE7" s="4"/>
      <c r="AF7" s="4" t="s">
        <v>63</v>
      </c>
      <c r="AG7" s="4"/>
      <c r="AH7" s="4" t="s">
        <v>64</v>
      </c>
      <c r="AI7" s="4"/>
      <c r="AJ7" s="4" t="s">
        <v>65</v>
      </c>
    </row>
    <row r="8" s="4" customFormat="1" spans="1:36">
      <c r="A8" s="47">
        <v>110020301</v>
      </c>
      <c r="B8" s="48">
        <v>1</v>
      </c>
      <c r="C8" s="48" t="s">
        <v>44</v>
      </c>
      <c r="D8" s="4">
        <v>1100203</v>
      </c>
      <c r="E8" s="4">
        <v>1</v>
      </c>
      <c r="F8" s="4"/>
      <c r="G8" s="4" t="s">
        <v>66</v>
      </c>
      <c r="J8" s="36">
        <v>297</v>
      </c>
      <c r="K8" s="36" t="s">
        <v>46</v>
      </c>
      <c r="L8" s="37">
        <v>2003</v>
      </c>
      <c r="M8" s="37" t="s">
        <v>47</v>
      </c>
      <c r="N8" s="38"/>
      <c r="O8" s="49"/>
      <c r="P8" s="49"/>
      <c r="Q8" t="b">
        <v>0</v>
      </c>
      <c r="R8" s="49"/>
      <c r="S8" s="49">
        <v>70004</v>
      </c>
      <c r="T8" s="49"/>
      <c r="U8" s="4" t="s">
        <v>67</v>
      </c>
      <c r="V8" s="50" t="s">
        <v>49</v>
      </c>
      <c r="W8" s="50">
        <v>11002</v>
      </c>
      <c r="X8" s="50"/>
      <c r="Y8" s="50"/>
      <c r="Z8" s="50">
        <v>2003</v>
      </c>
      <c r="AA8" s="39">
        <v>8500</v>
      </c>
      <c r="AB8" s="62" t="s">
        <v>68</v>
      </c>
      <c r="AC8" s="51">
        <v>297</v>
      </c>
      <c r="AD8" s="4">
        <v>4</v>
      </c>
      <c r="AE8" s="4"/>
      <c r="AF8" s="4" t="s">
        <v>69</v>
      </c>
      <c r="AG8" s="4"/>
      <c r="AH8" s="4" t="s">
        <v>70</v>
      </c>
      <c r="AI8" s="4"/>
      <c r="AJ8" s="4" t="s">
        <v>71</v>
      </c>
    </row>
    <row r="9" s="4" customFormat="1" spans="1:36">
      <c r="A9" s="47">
        <v>110020401</v>
      </c>
      <c r="B9" s="48">
        <v>1</v>
      </c>
      <c r="C9" s="48" t="s">
        <v>44</v>
      </c>
      <c r="D9" s="4">
        <v>1100204</v>
      </c>
      <c r="E9" s="4">
        <v>1</v>
      </c>
      <c r="G9" s="4" t="s">
        <v>72</v>
      </c>
      <c r="J9" s="36">
        <v>654</v>
      </c>
      <c r="K9" s="36" t="s">
        <v>46</v>
      </c>
      <c r="L9" s="37">
        <v>2003</v>
      </c>
      <c r="M9" s="37" t="s">
        <v>47</v>
      </c>
      <c r="N9" s="38"/>
      <c r="O9" s="49"/>
      <c r="P9" s="49"/>
      <c r="Q9" t="b">
        <v>0</v>
      </c>
      <c r="R9" s="49"/>
      <c r="S9" s="49">
        <v>70005</v>
      </c>
      <c r="T9" s="49"/>
      <c r="U9" s="4" t="s">
        <v>73</v>
      </c>
      <c r="V9" s="50" t="s">
        <v>49</v>
      </c>
      <c r="W9" s="50">
        <v>11002</v>
      </c>
      <c r="X9" s="50"/>
      <c r="Y9" s="50"/>
      <c r="Z9" s="50">
        <v>2003</v>
      </c>
      <c r="AA9" s="39">
        <v>18700</v>
      </c>
      <c r="AB9" s="62" t="s">
        <v>74</v>
      </c>
      <c r="AC9" s="51">
        <v>654</v>
      </c>
      <c r="AD9" s="4">
        <v>5</v>
      </c>
      <c r="AE9" s="4"/>
      <c r="AF9" s="4" t="s">
        <v>75</v>
      </c>
      <c r="AH9" s="4" t="s">
        <v>76</v>
      </c>
      <c r="AJ9" s="4" t="s">
        <v>77</v>
      </c>
    </row>
    <row r="10" s="4" customFormat="1" spans="1:36">
      <c r="A10" s="47">
        <v>110020501</v>
      </c>
      <c r="B10" s="48">
        <v>1</v>
      </c>
      <c r="C10" s="48" t="s">
        <v>44</v>
      </c>
      <c r="D10" s="4">
        <v>1100205</v>
      </c>
      <c r="E10" s="4">
        <v>1</v>
      </c>
      <c r="G10" s="4" t="s">
        <v>78</v>
      </c>
      <c r="J10" s="36">
        <v>991</v>
      </c>
      <c r="K10" s="36" t="s">
        <v>46</v>
      </c>
      <c r="L10" s="37">
        <v>2003</v>
      </c>
      <c r="M10" s="37" t="s">
        <v>47</v>
      </c>
      <c r="N10" s="38"/>
      <c r="O10" s="49"/>
      <c r="P10" s="49"/>
      <c r="Q10" t="b">
        <v>0</v>
      </c>
      <c r="R10" s="49"/>
      <c r="S10" s="49">
        <v>70006</v>
      </c>
      <c r="T10" s="49"/>
      <c r="U10" s="4" t="s">
        <v>79</v>
      </c>
      <c r="V10" s="50" t="s">
        <v>49</v>
      </c>
      <c r="W10" s="50">
        <v>11002</v>
      </c>
      <c r="X10" s="50"/>
      <c r="Y10" s="50"/>
      <c r="Z10" s="50">
        <v>2003</v>
      </c>
      <c r="AA10" s="39">
        <v>28300</v>
      </c>
      <c r="AB10" s="62" t="s">
        <v>80</v>
      </c>
      <c r="AC10" s="51">
        <v>991</v>
      </c>
      <c r="AD10" s="4">
        <v>6</v>
      </c>
      <c r="AE10" s="4"/>
      <c r="AF10" s="4" t="s">
        <v>81</v>
      </c>
      <c r="AH10" s="4" t="s">
        <v>82</v>
      </c>
      <c r="AJ10" s="4" t="s">
        <v>83</v>
      </c>
    </row>
    <row r="11" s="4" customFormat="1" spans="1:36">
      <c r="A11" s="47">
        <v>120010001</v>
      </c>
      <c r="B11" s="48">
        <v>1</v>
      </c>
      <c r="C11" s="48" t="s">
        <v>44</v>
      </c>
      <c r="D11" s="4">
        <v>1200100</v>
      </c>
      <c r="E11" s="4">
        <v>1</v>
      </c>
      <c r="F11" s="4"/>
      <c r="G11" s="4" t="s">
        <v>84</v>
      </c>
      <c r="J11" s="36">
        <v>24</v>
      </c>
      <c r="K11" s="36" t="s">
        <v>46</v>
      </c>
      <c r="L11" s="37">
        <v>11007</v>
      </c>
      <c r="M11" s="37" t="s">
        <v>85</v>
      </c>
      <c r="N11" s="38"/>
      <c r="O11" s="49"/>
      <c r="P11" s="49"/>
      <c r="Q11" t="b">
        <v>0</v>
      </c>
      <c r="R11" s="49"/>
      <c r="S11" s="49">
        <v>71001</v>
      </c>
      <c r="T11" s="49"/>
      <c r="U11" s="4" t="s">
        <v>86</v>
      </c>
      <c r="V11" s="4" t="s">
        <v>87</v>
      </c>
      <c r="W11" s="4">
        <v>12001</v>
      </c>
      <c r="X11" s="50" t="s">
        <v>88</v>
      </c>
      <c r="Y11" s="50">
        <v>100700</v>
      </c>
      <c r="Z11" s="50">
        <v>11007</v>
      </c>
      <c r="AA11" s="39">
        <v>144000</v>
      </c>
      <c r="AB11" s="62" t="s">
        <v>89</v>
      </c>
      <c r="AC11" s="51">
        <v>24</v>
      </c>
      <c r="AD11" s="4">
        <v>1</v>
      </c>
      <c r="AE11" s="4" t="s">
        <v>90</v>
      </c>
      <c r="AF11" s="4" t="s">
        <v>91</v>
      </c>
      <c r="AG11" s="4" t="s">
        <v>92</v>
      </c>
      <c r="AH11" s="4" t="s">
        <v>93</v>
      </c>
      <c r="AI11" s="4" t="s">
        <v>94</v>
      </c>
      <c r="AJ11" s="4" t="s">
        <v>95</v>
      </c>
    </row>
    <row r="12" s="4" customFormat="1" spans="1:36">
      <c r="A12" s="47">
        <v>120010002</v>
      </c>
      <c r="B12" s="48">
        <v>1</v>
      </c>
      <c r="C12" s="48" t="s">
        <v>44</v>
      </c>
      <c r="D12" s="4">
        <v>1200100</v>
      </c>
      <c r="E12" s="4">
        <v>2</v>
      </c>
      <c r="F12" s="4"/>
      <c r="G12" s="4" t="s">
        <v>96</v>
      </c>
      <c r="J12" s="36">
        <v>24</v>
      </c>
      <c r="K12" s="36" t="s">
        <v>46</v>
      </c>
      <c r="L12" s="37">
        <v>11003</v>
      </c>
      <c r="M12" s="37" t="s">
        <v>97</v>
      </c>
      <c r="N12" s="38"/>
      <c r="O12" s="49"/>
      <c r="P12" s="49"/>
      <c r="Q12" t="b">
        <v>0</v>
      </c>
      <c r="R12" s="49"/>
      <c r="S12" s="49">
        <v>71002</v>
      </c>
      <c r="T12" s="49"/>
      <c r="U12" s="4" t="s">
        <v>98</v>
      </c>
      <c r="V12" s="4" t="s">
        <v>87</v>
      </c>
      <c r="W12" s="4">
        <v>12001</v>
      </c>
      <c r="X12" s="50" t="s">
        <v>99</v>
      </c>
      <c r="Y12" s="50">
        <v>100300</v>
      </c>
      <c r="Z12" s="50">
        <v>11003</v>
      </c>
      <c r="AA12" s="39">
        <v>144000</v>
      </c>
      <c r="AB12" s="62" t="s">
        <v>89</v>
      </c>
      <c r="AC12" s="51">
        <v>24</v>
      </c>
      <c r="AD12" s="4">
        <v>1</v>
      </c>
      <c r="AE12" s="4" t="s">
        <v>100</v>
      </c>
      <c r="AF12" s="4" t="s">
        <v>101</v>
      </c>
      <c r="AG12" s="4" t="s">
        <v>102</v>
      </c>
      <c r="AH12" s="4" t="s">
        <v>103</v>
      </c>
      <c r="AI12" s="4" t="s">
        <v>100</v>
      </c>
      <c r="AJ12" s="4" t="s">
        <v>104</v>
      </c>
    </row>
    <row r="13" s="4" customFormat="1" spans="1:36">
      <c r="A13" s="47">
        <v>120010003</v>
      </c>
      <c r="B13" s="48">
        <v>1</v>
      </c>
      <c r="C13" s="48" t="s">
        <v>44</v>
      </c>
      <c r="D13" s="4">
        <v>1200100</v>
      </c>
      <c r="E13" s="4">
        <v>3</v>
      </c>
      <c r="F13" s="4"/>
      <c r="G13" s="4" t="s">
        <v>105</v>
      </c>
      <c r="J13" s="36">
        <v>24</v>
      </c>
      <c r="K13" s="36" t="s">
        <v>46</v>
      </c>
      <c r="L13" s="37">
        <v>11012</v>
      </c>
      <c r="M13" s="37" t="s">
        <v>106</v>
      </c>
      <c r="N13" s="38"/>
      <c r="O13" s="49"/>
      <c r="P13" s="49"/>
      <c r="Q13" t="b">
        <v>0</v>
      </c>
      <c r="R13" s="49"/>
      <c r="S13" s="49">
        <v>71003</v>
      </c>
      <c r="T13" s="49"/>
      <c r="U13" s="4" t="s">
        <v>107</v>
      </c>
      <c r="V13" s="4" t="s">
        <v>87</v>
      </c>
      <c r="W13" s="4">
        <v>12001</v>
      </c>
      <c r="X13" s="50" t="s">
        <v>108</v>
      </c>
      <c r="Y13" s="50">
        <v>101200</v>
      </c>
      <c r="Z13" s="50">
        <v>11012</v>
      </c>
      <c r="AA13" s="39">
        <v>144000</v>
      </c>
      <c r="AB13" s="62" t="s">
        <v>89</v>
      </c>
      <c r="AC13" s="51">
        <v>24</v>
      </c>
      <c r="AD13" s="4">
        <v>1</v>
      </c>
      <c r="AE13" s="4" t="s">
        <v>109</v>
      </c>
      <c r="AF13" s="4" t="s">
        <v>110</v>
      </c>
      <c r="AG13" s="4" t="s">
        <v>111</v>
      </c>
      <c r="AH13" s="4" t="s">
        <v>112</v>
      </c>
      <c r="AI13" s="4" t="s">
        <v>109</v>
      </c>
      <c r="AJ13" s="4" t="s">
        <v>113</v>
      </c>
    </row>
    <row r="14" s="4" customFormat="1" spans="1:36">
      <c r="A14" s="47">
        <v>120010004</v>
      </c>
      <c r="B14" s="48">
        <v>1</v>
      </c>
      <c r="C14" s="48" t="s">
        <v>44</v>
      </c>
      <c r="D14" s="4">
        <v>1200100</v>
      </c>
      <c r="E14" s="4">
        <v>4</v>
      </c>
      <c r="F14" s="4"/>
      <c r="G14" s="4" t="s">
        <v>114</v>
      </c>
      <c r="J14" s="36">
        <v>24</v>
      </c>
      <c r="K14" s="36" t="s">
        <v>46</v>
      </c>
      <c r="L14" s="37">
        <v>11014</v>
      </c>
      <c r="M14" s="37" t="s">
        <v>115</v>
      </c>
      <c r="N14" s="38"/>
      <c r="O14" s="49"/>
      <c r="P14" s="49"/>
      <c r="Q14" t="b">
        <v>0</v>
      </c>
      <c r="R14" s="49"/>
      <c r="S14" s="49">
        <v>71004</v>
      </c>
      <c r="T14" s="49"/>
      <c r="U14" s="4" t="s">
        <v>116</v>
      </c>
      <c r="V14" s="4" t="s">
        <v>87</v>
      </c>
      <c r="W14" s="4">
        <v>12001</v>
      </c>
      <c r="X14" s="50" t="s">
        <v>117</v>
      </c>
      <c r="Y14" s="50">
        <v>101400</v>
      </c>
      <c r="Z14" s="50">
        <v>11014</v>
      </c>
      <c r="AA14" s="39">
        <v>144000</v>
      </c>
      <c r="AB14" s="62" t="s">
        <v>89</v>
      </c>
      <c r="AC14" s="51">
        <v>24</v>
      </c>
      <c r="AD14" s="4">
        <v>1</v>
      </c>
      <c r="AE14" s="4" t="s">
        <v>118</v>
      </c>
      <c r="AF14" s="4" t="s">
        <v>119</v>
      </c>
      <c r="AG14" s="4" t="s">
        <v>120</v>
      </c>
      <c r="AH14" s="4" t="s">
        <v>121</v>
      </c>
      <c r="AI14" s="4" t="s">
        <v>122</v>
      </c>
      <c r="AJ14" s="4" t="s">
        <v>123</v>
      </c>
    </row>
    <row r="15" s="4" customFormat="1" spans="1:36">
      <c r="A15" s="47">
        <v>120010005</v>
      </c>
      <c r="B15" s="48">
        <v>1</v>
      </c>
      <c r="C15" s="48" t="s">
        <v>44</v>
      </c>
      <c r="D15" s="4">
        <v>1200100</v>
      </c>
      <c r="E15" s="4">
        <v>5</v>
      </c>
      <c r="F15" s="4"/>
      <c r="G15" s="4" t="s">
        <v>124</v>
      </c>
      <c r="J15" s="36">
        <v>24</v>
      </c>
      <c r="K15" s="36" t="s">
        <v>46</v>
      </c>
      <c r="L15" s="37">
        <v>11003</v>
      </c>
      <c r="M15" s="37" t="s">
        <v>125</v>
      </c>
      <c r="N15" s="38"/>
      <c r="O15" s="49"/>
      <c r="P15" s="49"/>
      <c r="Q15" t="b">
        <v>0</v>
      </c>
      <c r="R15" s="49"/>
      <c r="S15" s="49">
        <v>71005</v>
      </c>
      <c r="T15" s="49"/>
      <c r="U15" s="4" t="s">
        <v>126</v>
      </c>
      <c r="V15" s="4" t="s">
        <v>127</v>
      </c>
      <c r="W15" s="4">
        <v>12001</v>
      </c>
      <c r="X15" s="50" t="s">
        <v>128</v>
      </c>
      <c r="Y15" s="50">
        <v>0</v>
      </c>
      <c r="Z15" s="50">
        <v>11003</v>
      </c>
      <c r="AA15" s="39">
        <v>144000</v>
      </c>
      <c r="AB15" s="62" t="s">
        <v>89</v>
      </c>
      <c r="AC15" s="51">
        <v>24</v>
      </c>
      <c r="AD15" s="4">
        <v>1</v>
      </c>
      <c r="AE15" s="4" t="s">
        <v>129</v>
      </c>
      <c r="AF15" s="4" t="s">
        <v>130</v>
      </c>
      <c r="AG15" s="4" t="s">
        <v>131</v>
      </c>
      <c r="AH15" s="4" t="s">
        <v>132</v>
      </c>
      <c r="AI15" s="4" t="s">
        <v>133</v>
      </c>
      <c r="AJ15" s="4" t="s">
        <v>134</v>
      </c>
    </row>
    <row r="16" s="4" customFormat="1" spans="1:36">
      <c r="A16" s="47">
        <v>120010006</v>
      </c>
      <c r="B16" s="48">
        <v>1</v>
      </c>
      <c r="C16" s="48" t="s">
        <v>44</v>
      </c>
      <c r="D16" s="4">
        <v>1200100</v>
      </c>
      <c r="E16" s="4">
        <v>6</v>
      </c>
      <c r="F16" s="4"/>
      <c r="G16" s="4" t="s">
        <v>135</v>
      </c>
      <c r="J16" s="36">
        <v>24</v>
      </c>
      <c r="K16" s="36" t="s">
        <v>46</v>
      </c>
      <c r="L16" s="37">
        <v>11017</v>
      </c>
      <c r="M16" s="37" t="s">
        <v>136</v>
      </c>
      <c r="N16" s="38"/>
      <c r="O16" s="49"/>
      <c r="P16" s="49"/>
      <c r="Q16" t="b">
        <v>0</v>
      </c>
      <c r="R16" s="49"/>
      <c r="S16" s="49">
        <v>71006</v>
      </c>
      <c r="T16" s="49"/>
      <c r="U16" s="4" t="s">
        <v>137</v>
      </c>
      <c r="V16" s="4" t="s">
        <v>127</v>
      </c>
      <c r="W16" s="4">
        <v>12001</v>
      </c>
      <c r="X16" s="50" t="s">
        <v>138</v>
      </c>
      <c r="Y16" s="50">
        <v>101700</v>
      </c>
      <c r="Z16" s="50">
        <v>11017</v>
      </c>
      <c r="AA16" s="39">
        <v>144000</v>
      </c>
      <c r="AB16" s="62" t="s">
        <v>89</v>
      </c>
      <c r="AC16" s="51">
        <v>24</v>
      </c>
      <c r="AD16" s="4">
        <v>1</v>
      </c>
      <c r="AE16" s="4" t="s">
        <v>139</v>
      </c>
      <c r="AF16" s="4" t="s">
        <v>140</v>
      </c>
      <c r="AG16" s="4" t="s">
        <v>141</v>
      </c>
      <c r="AH16" s="4" t="s">
        <v>142</v>
      </c>
      <c r="AI16" s="4" t="s">
        <v>143</v>
      </c>
      <c r="AJ16" s="4" t="s">
        <v>144</v>
      </c>
    </row>
    <row r="17" s="4" customFormat="1" spans="1:36">
      <c r="A17" s="47">
        <v>120010007</v>
      </c>
      <c r="B17" s="48">
        <v>1</v>
      </c>
      <c r="C17" s="48" t="s">
        <v>44</v>
      </c>
      <c r="D17" s="4">
        <v>1200100</v>
      </c>
      <c r="E17" s="4">
        <v>7</v>
      </c>
      <c r="F17" s="4"/>
      <c r="G17" s="4" t="s">
        <v>145</v>
      </c>
      <c r="J17" s="36">
        <v>24</v>
      </c>
      <c r="K17" s="36" t="s">
        <v>46</v>
      </c>
      <c r="L17" s="37">
        <v>11021</v>
      </c>
      <c r="M17" s="37" t="s">
        <v>146</v>
      </c>
      <c r="N17" s="38"/>
      <c r="O17" s="49"/>
      <c r="P17" s="49"/>
      <c r="Q17" t="b">
        <v>0</v>
      </c>
      <c r="R17" s="49"/>
      <c r="S17" s="49">
        <v>71007</v>
      </c>
      <c r="T17" s="49"/>
      <c r="U17" s="4" t="s">
        <v>147</v>
      </c>
      <c r="V17" s="4" t="s">
        <v>127</v>
      </c>
      <c r="W17" s="4">
        <v>12001</v>
      </c>
      <c r="X17" s="50" t="s">
        <v>148</v>
      </c>
      <c r="Y17" s="50">
        <v>102100</v>
      </c>
      <c r="Z17" s="50">
        <v>11021</v>
      </c>
      <c r="AA17" s="39">
        <v>144000</v>
      </c>
      <c r="AB17" s="62" t="s">
        <v>89</v>
      </c>
      <c r="AC17" s="51">
        <v>24</v>
      </c>
      <c r="AD17" s="4">
        <v>1</v>
      </c>
      <c r="AE17" s="4" t="s">
        <v>149</v>
      </c>
      <c r="AF17" s="4" t="s">
        <v>150</v>
      </c>
      <c r="AG17" s="4" t="s">
        <v>151</v>
      </c>
      <c r="AH17" s="4" t="s">
        <v>152</v>
      </c>
      <c r="AI17" s="4" t="s">
        <v>153</v>
      </c>
      <c r="AJ17" s="4" t="s">
        <v>154</v>
      </c>
    </row>
    <row r="18" s="4" customFormat="1" spans="1:36">
      <c r="A18" s="47">
        <v>120010008</v>
      </c>
      <c r="B18" s="48">
        <v>1</v>
      </c>
      <c r="C18" s="48" t="s">
        <v>44</v>
      </c>
      <c r="D18" s="4">
        <v>1200100</v>
      </c>
      <c r="E18" s="4">
        <v>8</v>
      </c>
      <c r="F18" s="4"/>
      <c r="G18" s="4" t="s">
        <v>155</v>
      </c>
      <c r="J18" s="36">
        <v>24</v>
      </c>
      <c r="K18" s="36" t="s">
        <v>46</v>
      </c>
      <c r="L18" s="37">
        <v>11022</v>
      </c>
      <c r="M18" s="37" t="s">
        <v>156</v>
      </c>
      <c r="N18" s="38"/>
      <c r="O18" s="49"/>
      <c r="P18" s="49"/>
      <c r="Q18" t="b">
        <v>0</v>
      </c>
      <c r="R18" s="49"/>
      <c r="S18" s="49">
        <v>71008</v>
      </c>
      <c r="T18" s="49"/>
      <c r="U18" s="4" t="s">
        <v>157</v>
      </c>
      <c r="V18" s="4" t="s">
        <v>127</v>
      </c>
      <c r="W18" s="4">
        <v>12001</v>
      </c>
      <c r="X18" s="50" t="s">
        <v>158</v>
      </c>
      <c r="Y18" s="50">
        <v>102200</v>
      </c>
      <c r="Z18" s="50">
        <v>11022</v>
      </c>
      <c r="AA18" s="39">
        <v>144000</v>
      </c>
      <c r="AB18" s="62" t="s">
        <v>89</v>
      </c>
      <c r="AC18" s="51">
        <v>24</v>
      </c>
      <c r="AD18" s="4">
        <v>1</v>
      </c>
      <c r="AE18" s="4" t="s">
        <v>159</v>
      </c>
      <c r="AF18" s="4" t="s">
        <v>160</v>
      </c>
      <c r="AG18" s="4" t="s">
        <v>161</v>
      </c>
      <c r="AH18" s="4" t="s">
        <v>162</v>
      </c>
      <c r="AI18" s="4" t="s">
        <v>159</v>
      </c>
      <c r="AJ18" s="4" t="s">
        <v>163</v>
      </c>
    </row>
    <row r="19" s="4" customFormat="1" spans="1:36">
      <c r="A19" s="47">
        <v>120010009</v>
      </c>
      <c r="B19" s="48">
        <v>1</v>
      </c>
      <c r="C19" s="48" t="s">
        <v>44</v>
      </c>
      <c r="D19" s="4">
        <v>1200100</v>
      </c>
      <c r="E19" s="4">
        <v>9</v>
      </c>
      <c r="F19" s="4"/>
      <c r="G19" s="4" t="s">
        <v>164</v>
      </c>
      <c r="J19" s="36">
        <v>24</v>
      </c>
      <c r="K19" s="36" t="s">
        <v>46</v>
      </c>
      <c r="L19" s="37">
        <v>11023</v>
      </c>
      <c r="M19" s="37" t="s">
        <v>165</v>
      </c>
      <c r="N19" s="38"/>
      <c r="O19" s="49"/>
      <c r="P19" s="49"/>
      <c r="Q19" t="b">
        <v>0</v>
      </c>
      <c r="R19" s="49"/>
      <c r="S19" s="49">
        <v>71009</v>
      </c>
      <c r="T19" s="49"/>
      <c r="U19" s="4" t="s">
        <v>166</v>
      </c>
      <c r="V19" s="4" t="s">
        <v>127</v>
      </c>
      <c r="W19" s="4">
        <v>12001</v>
      </c>
      <c r="X19" s="50" t="s">
        <v>167</v>
      </c>
      <c r="Y19" s="50">
        <v>102300</v>
      </c>
      <c r="Z19" s="50">
        <v>11023</v>
      </c>
      <c r="AA19" s="39">
        <v>144000</v>
      </c>
      <c r="AB19" s="62" t="s">
        <v>89</v>
      </c>
      <c r="AC19" s="51">
        <v>24</v>
      </c>
      <c r="AD19" s="4">
        <v>1</v>
      </c>
      <c r="AE19" s="4" t="s">
        <v>168</v>
      </c>
      <c r="AF19" s="4" t="s">
        <v>169</v>
      </c>
      <c r="AG19" s="4" t="s">
        <v>170</v>
      </c>
      <c r="AH19" s="4" t="s">
        <v>171</v>
      </c>
      <c r="AI19" s="4" t="s">
        <v>172</v>
      </c>
      <c r="AJ19" s="4" t="s">
        <v>173</v>
      </c>
    </row>
    <row r="20" s="4" customFormat="1" spans="1:36">
      <c r="A20" s="47">
        <v>120010010</v>
      </c>
      <c r="B20" s="48">
        <v>1</v>
      </c>
      <c r="C20" s="48" t="s">
        <v>44</v>
      </c>
      <c r="D20" s="4">
        <v>1200100</v>
      </c>
      <c r="E20" s="4">
        <v>10</v>
      </c>
      <c r="F20" s="4"/>
      <c r="G20" s="4" t="s">
        <v>174</v>
      </c>
      <c r="J20" s="36">
        <v>24</v>
      </c>
      <c r="K20" s="36" t="s">
        <v>46</v>
      </c>
      <c r="L20" s="37">
        <v>11024</v>
      </c>
      <c r="M20" s="37" t="s">
        <v>175</v>
      </c>
      <c r="N20" s="38"/>
      <c r="O20" s="49"/>
      <c r="P20" s="49"/>
      <c r="Q20" t="b">
        <v>0</v>
      </c>
      <c r="R20" s="49"/>
      <c r="S20" s="49">
        <v>71010</v>
      </c>
      <c r="T20" s="49"/>
      <c r="U20" s="4" t="s">
        <v>176</v>
      </c>
      <c r="V20" s="4" t="s">
        <v>127</v>
      </c>
      <c r="W20" s="4">
        <v>12001</v>
      </c>
      <c r="X20" s="50" t="s">
        <v>177</v>
      </c>
      <c r="Y20" s="50">
        <v>102400</v>
      </c>
      <c r="Z20" s="50">
        <v>11024</v>
      </c>
      <c r="AA20" s="39">
        <v>144000</v>
      </c>
      <c r="AB20" s="62" t="s">
        <v>89</v>
      </c>
      <c r="AC20" s="51">
        <v>24</v>
      </c>
      <c r="AD20" s="4">
        <v>1</v>
      </c>
      <c r="AE20" s="4" t="s">
        <v>178</v>
      </c>
      <c r="AF20" s="4" t="s">
        <v>179</v>
      </c>
      <c r="AG20" s="4" t="s">
        <v>180</v>
      </c>
      <c r="AH20" s="4" t="s">
        <v>181</v>
      </c>
      <c r="AI20" s="4" t="s">
        <v>182</v>
      </c>
      <c r="AJ20" s="4" t="s">
        <v>183</v>
      </c>
    </row>
    <row r="21" s="4" customFormat="1" spans="1:36">
      <c r="A21" s="47">
        <v>120010101</v>
      </c>
      <c r="B21" s="48">
        <v>1</v>
      </c>
      <c r="C21" s="48" t="s">
        <v>44</v>
      </c>
      <c r="D21" s="4">
        <v>1200101</v>
      </c>
      <c r="E21" s="4">
        <v>1</v>
      </c>
      <c r="F21" s="4"/>
      <c r="G21" s="4" t="s">
        <v>184</v>
      </c>
      <c r="J21" s="36">
        <v>119</v>
      </c>
      <c r="K21" s="36" t="s">
        <v>46</v>
      </c>
      <c r="L21" s="37">
        <v>11007</v>
      </c>
      <c r="M21" s="37" t="s">
        <v>85</v>
      </c>
      <c r="N21" s="38"/>
      <c r="O21" s="49"/>
      <c r="P21" s="49"/>
      <c r="Q21" t="b">
        <v>0</v>
      </c>
      <c r="R21" s="49"/>
      <c r="S21" s="49">
        <v>71101</v>
      </c>
      <c r="T21" s="49"/>
      <c r="U21" s="4" t="s">
        <v>185</v>
      </c>
      <c r="V21" s="4" t="s">
        <v>87</v>
      </c>
      <c r="W21" s="4">
        <v>12001</v>
      </c>
      <c r="X21" s="50" t="s">
        <v>88</v>
      </c>
      <c r="Y21" s="50">
        <v>100700</v>
      </c>
      <c r="Z21" s="50">
        <v>11007</v>
      </c>
      <c r="AA21" s="39">
        <v>713000</v>
      </c>
      <c r="AB21" s="62" t="s">
        <v>186</v>
      </c>
      <c r="AC21" s="51">
        <v>119</v>
      </c>
      <c r="AD21" s="4">
        <v>2</v>
      </c>
      <c r="AE21" s="4" t="s">
        <v>90</v>
      </c>
      <c r="AF21" s="4" t="s">
        <v>187</v>
      </c>
      <c r="AG21" s="4" t="s">
        <v>92</v>
      </c>
      <c r="AH21" s="4" t="s">
        <v>188</v>
      </c>
      <c r="AI21" s="4" t="s">
        <v>94</v>
      </c>
      <c r="AJ21" s="4" t="s">
        <v>189</v>
      </c>
    </row>
    <row r="22" s="4" customFormat="1" spans="1:36">
      <c r="A22" s="47">
        <v>120010102</v>
      </c>
      <c r="B22" s="48">
        <v>1</v>
      </c>
      <c r="C22" s="48" t="s">
        <v>44</v>
      </c>
      <c r="D22" s="4">
        <v>1200101</v>
      </c>
      <c r="E22" s="4">
        <v>2</v>
      </c>
      <c r="F22" s="4"/>
      <c r="G22" s="4" t="s">
        <v>190</v>
      </c>
      <c r="J22" s="36">
        <v>119</v>
      </c>
      <c r="K22" s="36" t="s">
        <v>46</v>
      </c>
      <c r="L22" s="37">
        <v>11003</v>
      </c>
      <c r="M22" s="37" t="s">
        <v>97</v>
      </c>
      <c r="N22" s="38"/>
      <c r="O22" s="49"/>
      <c r="P22" s="49"/>
      <c r="Q22" t="b">
        <v>0</v>
      </c>
      <c r="R22" s="49"/>
      <c r="S22" s="49">
        <v>71102</v>
      </c>
      <c r="T22" s="49"/>
      <c r="U22" s="4" t="s">
        <v>191</v>
      </c>
      <c r="V22" s="4" t="s">
        <v>87</v>
      </c>
      <c r="W22" s="4">
        <v>12001</v>
      </c>
      <c r="X22" s="50" t="s">
        <v>99</v>
      </c>
      <c r="Y22" s="50">
        <v>100300</v>
      </c>
      <c r="Z22" s="50">
        <v>11003</v>
      </c>
      <c r="AA22" s="39">
        <v>713000</v>
      </c>
      <c r="AB22" s="62" t="s">
        <v>186</v>
      </c>
      <c r="AC22" s="51">
        <v>119</v>
      </c>
      <c r="AD22" s="4">
        <v>2</v>
      </c>
      <c r="AE22" s="4" t="s">
        <v>100</v>
      </c>
      <c r="AF22" s="4" t="s">
        <v>192</v>
      </c>
      <c r="AG22" s="4" t="s">
        <v>102</v>
      </c>
      <c r="AH22" s="4" t="s">
        <v>193</v>
      </c>
      <c r="AI22" s="4" t="s">
        <v>100</v>
      </c>
      <c r="AJ22" s="4" t="s">
        <v>194</v>
      </c>
    </row>
    <row r="23" s="4" customFormat="1" spans="1:36">
      <c r="A23" s="47">
        <v>120010103</v>
      </c>
      <c r="B23" s="48">
        <v>1</v>
      </c>
      <c r="C23" s="48" t="s">
        <v>44</v>
      </c>
      <c r="D23" s="4">
        <v>1200101</v>
      </c>
      <c r="E23" s="4">
        <v>3</v>
      </c>
      <c r="F23" s="4"/>
      <c r="G23" s="4" t="s">
        <v>195</v>
      </c>
      <c r="J23" s="36">
        <v>119</v>
      </c>
      <c r="K23" s="36" t="s">
        <v>46</v>
      </c>
      <c r="L23" s="37">
        <v>11012</v>
      </c>
      <c r="M23" s="37" t="s">
        <v>106</v>
      </c>
      <c r="N23" s="38"/>
      <c r="O23" s="49"/>
      <c r="P23" s="49"/>
      <c r="Q23" t="b">
        <v>0</v>
      </c>
      <c r="R23" s="49"/>
      <c r="S23" s="49">
        <v>71103</v>
      </c>
      <c r="T23" s="49"/>
      <c r="U23" s="4" t="s">
        <v>196</v>
      </c>
      <c r="V23" s="4" t="s">
        <v>87</v>
      </c>
      <c r="W23" s="4">
        <v>12001</v>
      </c>
      <c r="X23" s="50" t="s">
        <v>108</v>
      </c>
      <c r="Y23" s="50">
        <v>101200</v>
      </c>
      <c r="Z23" s="50">
        <v>11012</v>
      </c>
      <c r="AA23" s="39">
        <v>713000</v>
      </c>
      <c r="AB23" s="62" t="s">
        <v>186</v>
      </c>
      <c r="AC23" s="51">
        <v>119</v>
      </c>
      <c r="AD23" s="4">
        <v>2</v>
      </c>
      <c r="AE23" s="4" t="s">
        <v>109</v>
      </c>
      <c r="AF23" s="4" t="s">
        <v>197</v>
      </c>
      <c r="AG23" s="4" t="s">
        <v>111</v>
      </c>
      <c r="AH23" s="4" t="s">
        <v>198</v>
      </c>
      <c r="AI23" s="4" t="s">
        <v>109</v>
      </c>
      <c r="AJ23" s="4" t="s">
        <v>199</v>
      </c>
    </row>
    <row r="24" s="4" customFormat="1" spans="1:36">
      <c r="A24" s="47">
        <v>120010104</v>
      </c>
      <c r="B24" s="48">
        <v>1</v>
      </c>
      <c r="C24" s="48" t="s">
        <v>44</v>
      </c>
      <c r="D24" s="4">
        <v>1200101</v>
      </c>
      <c r="E24" s="4">
        <v>4</v>
      </c>
      <c r="F24" s="4"/>
      <c r="G24" s="4" t="s">
        <v>200</v>
      </c>
      <c r="J24" s="36">
        <v>119</v>
      </c>
      <c r="K24" s="36" t="s">
        <v>46</v>
      </c>
      <c r="L24" s="37">
        <v>11014</v>
      </c>
      <c r="M24" s="37" t="s">
        <v>115</v>
      </c>
      <c r="N24" s="38"/>
      <c r="O24" s="49"/>
      <c r="P24" s="49"/>
      <c r="Q24" t="b">
        <v>0</v>
      </c>
      <c r="R24" s="49"/>
      <c r="S24" s="49">
        <v>71104</v>
      </c>
      <c r="T24" s="49"/>
      <c r="U24" s="4" t="s">
        <v>201</v>
      </c>
      <c r="V24" s="4" t="s">
        <v>87</v>
      </c>
      <c r="W24" s="4">
        <v>12001</v>
      </c>
      <c r="X24" s="50" t="s">
        <v>117</v>
      </c>
      <c r="Y24" s="50">
        <v>101400</v>
      </c>
      <c r="Z24" s="50">
        <v>11014</v>
      </c>
      <c r="AA24" s="39">
        <v>713000</v>
      </c>
      <c r="AB24" s="62" t="s">
        <v>186</v>
      </c>
      <c r="AC24" s="51">
        <v>119</v>
      </c>
      <c r="AD24" s="4">
        <v>2</v>
      </c>
      <c r="AE24" s="4" t="s">
        <v>118</v>
      </c>
      <c r="AF24" s="4" t="s">
        <v>202</v>
      </c>
      <c r="AG24" s="4" t="s">
        <v>120</v>
      </c>
      <c r="AH24" s="4" t="s">
        <v>203</v>
      </c>
      <c r="AI24" s="4" t="s">
        <v>122</v>
      </c>
      <c r="AJ24" s="4" t="s">
        <v>204</v>
      </c>
    </row>
    <row r="25" s="4" customFormat="1" spans="1:36">
      <c r="A25" s="47">
        <v>120010105</v>
      </c>
      <c r="B25" s="48">
        <v>1</v>
      </c>
      <c r="C25" s="48" t="s">
        <v>44</v>
      </c>
      <c r="D25" s="4">
        <v>1200101</v>
      </c>
      <c r="E25" s="4">
        <v>5</v>
      </c>
      <c r="F25" s="4"/>
      <c r="G25" s="4" t="s">
        <v>205</v>
      </c>
      <c r="J25" s="36">
        <v>119</v>
      </c>
      <c r="K25" s="36" t="s">
        <v>46</v>
      </c>
      <c r="L25" s="37">
        <v>11003</v>
      </c>
      <c r="M25" s="37" t="s">
        <v>125</v>
      </c>
      <c r="N25" s="38"/>
      <c r="O25" s="49"/>
      <c r="P25" s="49"/>
      <c r="Q25" t="b">
        <v>0</v>
      </c>
      <c r="R25" s="49"/>
      <c r="S25" s="49">
        <v>71105</v>
      </c>
      <c r="T25" s="49"/>
      <c r="U25" s="4" t="s">
        <v>206</v>
      </c>
      <c r="V25" s="4" t="s">
        <v>127</v>
      </c>
      <c r="W25" s="4">
        <v>12001</v>
      </c>
      <c r="X25" s="50" t="s">
        <v>128</v>
      </c>
      <c r="Y25" s="50">
        <v>0</v>
      </c>
      <c r="Z25" s="50">
        <v>11003</v>
      </c>
      <c r="AA25" s="39">
        <v>713000</v>
      </c>
      <c r="AB25" s="62" t="s">
        <v>186</v>
      </c>
      <c r="AC25" s="51">
        <v>119</v>
      </c>
      <c r="AD25" s="4">
        <v>2</v>
      </c>
      <c r="AE25" s="4" t="s">
        <v>129</v>
      </c>
      <c r="AF25" s="4" t="s">
        <v>207</v>
      </c>
      <c r="AG25" s="4" t="s">
        <v>131</v>
      </c>
      <c r="AH25" s="4" t="s">
        <v>208</v>
      </c>
      <c r="AI25" s="4" t="s">
        <v>133</v>
      </c>
      <c r="AJ25" s="4" t="s">
        <v>209</v>
      </c>
    </row>
    <row r="26" s="4" customFormat="1" spans="1:36">
      <c r="A26" s="47">
        <v>120010106</v>
      </c>
      <c r="B26" s="48">
        <v>1</v>
      </c>
      <c r="C26" s="48" t="s">
        <v>44</v>
      </c>
      <c r="D26" s="4">
        <v>1200101</v>
      </c>
      <c r="E26" s="4">
        <v>6</v>
      </c>
      <c r="G26" s="4" t="s">
        <v>210</v>
      </c>
      <c r="J26" s="36">
        <v>119</v>
      </c>
      <c r="K26" s="36" t="s">
        <v>46</v>
      </c>
      <c r="L26" s="37">
        <v>11017</v>
      </c>
      <c r="M26" s="37" t="s">
        <v>136</v>
      </c>
      <c r="N26" s="38"/>
      <c r="O26" s="38"/>
      <c r="P26" s="38"/>
      <c r="Q26" t="b">
        <v>0</v>
      </c>
      <c r="R26" s="38"/>
      <c r="S26" s="38">
        <v>71106</v>
      </c>
      <c r="T26" s="38"/>
      <c r="U26" s="4" t="s">
        <v>211</v>
      </c>
      <c r="V26" s="4" t="s">
        <v>127</v>
      </c>
      <c r="W26" s="4">
        <v>12001</v>
      </c>
      <c r="X26" s="50" t="s">
        <v>138</v>
      </c>
      <c r="Y26" s="50">
        <v>101700</v>
      </c>
      <c r="Z26" s="50">
        <v>11017</v>
      </c>
      <c r="AA26" s="39">
        <v>713000</v>
      </c>
      <c r="AB26" s="62" t="s">
        <v>186</v>
      </c>
      <c r="AC26" s="51">
        <v>119</v>
      </c>
      <c r="AD26" s="4">
        <v>2</v>
      </c>
      <c r="AE26" s="4" t="s">
        <v>139</v>
      </c>
      <c r="AF26" s="4" t="s">
        <v>212</v>
      </c>
      <c r="AG26" s="4" t="s">
        <v>141</v>
      </c>
      <c r="AH26" s="4" t="s">
        <v>213</v>
      </c>
      <c r="AI26" s="4" t="s">
        <v>143</v>
      </c>
      <c r="AJ26" s="4" t="s">
        <v>214</v>
      </c>
    </row>
    <row r="27" s="4" customFormat="1" spans="1:36">
      <c r="A27" s="47">
        <v>120010107</v>
      </c>
      <c r="B27" s="48">
        <v>1</v>
      </c>
      <c r="C27" s="48" t="s">
        <v>44</v>
      </c>
      <c r="D27" s="4">
        <v>1200101</v>
      </c>
      <c r="E27" s="4">
        <v>7</v>
      </c>
      <c r="G27" s="4" t="s">
        <v>215</v>
      </c>
      <c r="J27" s="36">
        <v>119</v>
      </c>
      <c r="K27" s="36" t="s">
        <v>46</v>
      </c>
      <c r="L27" s="37">
        <v>11021</v>
      </c>
      <c r="M27" s="37" t="s">
        <v>146</v>
      </c>
      <c r="N27" s="38"/>
      <c r="O27" s="38"/>
      <c r="P27" s="38"/>
      <c r="Q27" t="b">
        <v>0</v>
      </c>
      <c r="R27" s="38"/>
      <c r="S27" s="38">
        <v>71107</v>
      </c>
      <c r="T27" s="38"/>
      <c r="U27" s="4" t="s">
        <v>216</v>
      </c>
      <c r="V27" s="4" t="s">
        <v>127</v>
      </c>
      <c r="W27" s="4">
        <v>12001</v>
      </c>
      <c r="X27" s="50" t="s">
        <v>148</v>
      </c>
      <c r="Y27" s="50">
        <v>102100</v>
      </c>
      <c r="Z27" s="50">
        <v>11021</v>
      </c>
      <c r="AA27" s="39">
        <v>713000</v>
      </c>
      <c r="AB27" s="62" t="s">
        <v>186</v>
      </c>
      <c r="AC27" s="51">
        <v>119</v>
      </c>
      <c r="AD27" s="4">
        <v>2</v>
      </c>
      <c r="AE27" s="4" t="s">
        <v>149</v>
      </c>
      <c r="AF27" s="4" t="s">
        <v>217</v>
      </c>
      <c r="AG27" s="4" t="s">
        <v>151</v>
      </c>
      <c r="AH27" s="4" t="s">
        <v>218</v>
      </c>
      <c r="AI27" s="4" t="s">
        <v>153</v>
      </c>
      <c r="AJ27" s="4" t="s">
        <v>219</v>
      </c>
    </row>
    <row r="28" s="4" customFormat="1" spans="1:36">
      <c r="A28" s="47">
        <v>120010108</v>
      </c>
      <c r="B28" s="48">
        <v>1</v>
      </c>
      <c r="C28" s="48" t="s">
        <v>44</v>
      </c>
      <c r="D28" s="4">
        <v>1200101</v>
      </c>
      <c r="E28" s="4">
        <v>8</v>
      </c>
      <c r="G28" s="4" t="s">
        <v>220</v>
      </c>
      <c r="J28" s="36">
        <v>119</v>
      </c>
      <c r="K28" s="36" t="s">
        <v>46</v>
      </c>
      <c r="L28" s="37">
        <v>11022</v>
      </c>
      <c r="M28" s="37" t="s">
        <v>156</v>
      </c>
      <c r="N28" s="38"/>
      <c r="O28" s="38"/>
      <c r="P28" s="38"/>
      <c r="Q28" t="b">
        <v>0</v>
      </c>
      <c r="R28" s="38"/>
      <c r="S28" s="38">
        <v>71108</v>
      </c>
      <c r="T28" s="38"/>
      <c r="U28" s="4" t="s">
        <v>221</v>
      </c>
      <c r="V28" s="4" t="s">
        <v>127</v>
      </c>
      <c r="W28" s="4">
        <v>12001</v>
      </c>
      <c r="X28" s="50" t="s">
        <v>158</v>
      </c>
      <c r="Y28" s="50">
        <v>102200</v>
      </c>
      <c r="Z28" s="50">
        <v>11022</v>
      </c>
      <c r="AA28" s="39">
        <v>713000</v>
      </c>
      <c r="AB28" s="62" t="s">
        <v>186</v>
      </c>
      <c r="AC28" s="51">
        <v>119</v>
      </c>
      <c r="AD28" s="4">
        <v>2</v>
      </c>
      <c r="AE28" s="4" t="s">
        <v>159</v>
      </c>
      <c r="AF28" s="4" t="s">
        <v>222</v>
      </c>
      <c r="AG28" s="4" t="s">
        <v>161</v>
      </c>
      <c r="AH28" s="4" t="s">
        <v>223</v>
      </c>
      <c r="AI28" s="4" t="s">
        <v>159</v>
      </c>
      <c r="AJ28" s="4" t="s">
        <v>224</v>
      </c>
    </row>
    <row r="29" s="4" customFormat="1" spans="1:36">
      <c r="A29" s="47">
        <v>120010109</v>
      </c>
      <c r="B29" s="48">
        <v>1</v>
      </c>
      <c r="C29" s="48" t="s">
        <v>44</v>
      </c>
      <c r="D29" s="4">
        <v>1200101</v>
      </c>
      <c r="E29" s="4">
        <v>9</v>
      </c>
      <c r="G29" s="4" t="s">
        <v>225</v>
      </c>
      <c r="J29" s="36">
        <v>119</v>
      </c>
      <c r="K29" s="36" t="s">
        <v>46</v>
      </c>
      <c r="L29" s="37">
        <v>11023</v>
      </c>
      <c r="M29" s="37" t="s">
        <v>165</v>
      </c>
      <c r="N29" s="38"/>
      <c r="O29" s="38"/>
      <c r="P29" s="38"/>
      <c r="Q29" t="b">
        <v>0</v>
      </c>
      <c r="R29" s="38"/>
      <c r="S29" s="38">
        <v>71109</v>
      </c>
      <c r="T29" s="38"/>
      <c r="U29" s="4" t="s">
        <v>226</v>
      </c>
      <c r="V29" s="4" t="s">
        <v>127</v>
      </c>
      <c r="W29" s="4">
        <v>12001</v>
      </c>
      <c r="X29" s="50" t="s">
        <v>167</v>
      </c>
      <c r="Y29" s="50">
        <v>102300</v>
      </c>
      <c r="Z29" s="50">
        <v>11023</v>
      </c>
      <c r="AA29" s="39">
        <v>713000</v>
      </c>
      <c r="AB29" s="62" t="s">
        <v>186</v>
      </c>
      <c r="AC29" s="51">
        <v>119</v>
      </c>
      <c r="AD29" s="4">
        <v>2</v>
      </c>
      <c r="AE29" s="4" t="s">
        <v>168</v>
      </c>
      <c r="AF29" s="4" t="s">
        <v>227</v>
      </c>
      <c r="AG29" s="4" t="s">
        <v>170</v>
      </c>
      <c r="AH29" s="4" t="s">
        <v>228</v>
      </c>
      <c r="AI29" s="4" t="s">
        <v>172</v>
      </c>
      <c r="AJ29" s="4" t="s">
        <v>229</v>
      </c>
    </row>
    <row r="30" s="4" customFormat="1" spans="1:36">
      <c r="A30" s="47">
        <v>120010110</v>
      </c>
      <c r="B30" s="48">
        <v>1</v>
      </c>
      <c r="C30" s="48" t="s">
        <v>44</v>
      </c>
      <c r="D30" s="4">
        <v>1200101</v>
      </c>
      <c r="E30" s="4">
        <v>10</v>
      </c>
      <c r="G30" s="4" t="s">
        <v>230</v>
      </c>
      <c r="J30" s="36">
        <v>119</v>
      </c>
      <c r="K30" s="36" t="s">
        <v>46</v>
      </c>
      <c r="L30" s="37">
        <v>11024</v>
      </c>
      <c r="M30" s="37" t="s">
        <v>175</v>
      </c>
      <c r="N30" s="38"/>
      <c r="O30" s="38"/>
      <c r="P30" s="38"/>
      <c r="Q30" t="b">
        <v>0</v>
      </c>
      <c r="R30" s="38"/>
      <c r="S30" s="38">
        <v>71110</v>
      </c>
      <c r="T30" s="38"/>
      <c r="U30" s="4" t="s">
        <v>231</v>
      </c>
      <c r="V30" s="4" t="s">
        <v>127</v>
      </c>
      <c r="W30" s="4">
        <v>12001</v>
      </c>
      <c r="X30" s="50" t="s">
        <v>177</v>
      </c>
      <c r="Y30" s="50">
        <v>102400</v>
      </c>
      <c r="Z30" s="50">
        <v>11024</v>
      </c>
      <c r="AA30" s="39">
        <v>713000</v>
      </c>
      <c r="AB30" s="62" t="s">
        <v>186</v>
      </c>
      <c r="AC30" s="51">
        <v>119</v>
      </c>
      <c r="AD30" s="4">
        <v>2</v>
      </c>
      <c r="AE30" s="4" t="s">
        <v>178</v>
      </c>
      <c r="AF30" s="4" t="s">
        <v>232</v>
      </c>
      <c r="AG30" s="4" t="s">
        <v>180</v>
      </c>
      <c r="AH30" s="4" t="s">
        <v>233</v>
      </c>
      <c r="AI30" s="4" t="s">
        <v>182</v>
      </c>
      <c r="AJ30" s="4" t="s">
        <v>234</v>
      </c>
    </row>
    <row r="31" s="4" customFormat="1" spans="1:36">
      <c r="A31" s="47">
        <v>120010201</v>
      </c>
      <c r="B31" s="48">
        <v>1</v>
      </c>
      <c r="C31" s="48" t="s">
        <v>44</v>
      </c>
      <c r="D31" s="4">
        <v>1200102</v>
      </c>
      <c r="E31" s="4">
        <v>1</v>
      </c>
      <c r="G31" s="36" t="s">
        <v>235</v>
      </c>
      <c r="H31" s="36"/>
      <c r="I31" s="4"/>
      <c r="J31" s="36">
        <v>356</v>
      </c>
      <c r="K31" s="36" t="s">
        <v>46</v>
      </c>
      <c r="L31" s="37">
        <v>11007</v>
      </c>
      <c r="M31" s="37" t="s">
        <v>85</v>
      </c>
      <c r="N31" s="38"/>
      <c r="O31" s="49"/>
      <c r="P31" s="49"/>
      <c r="Q31" t="b">
        <v>0</v>
      </c>
      <c r="R31" s="49"/>
      <c r="S31" s="49">
        <v>71201</v>
      </c>
      <c r="T31" s="49"/>
      <c r="U31" s="4" t="s">
        <v>236</v>
      </c>
      <c r="V31" s="4" t="s">
        <v>87</v>
      </c>
      <c r="W31" s="4">
        <v>12001</v>
      </c>
      <c r="X31" s="50" t="s">
        <v>88</v>
      </c>
      <c r="Y31" s="50">
        <v>100700</v>
      </c>
      <c r="Z31" s="50">
        <v>11007</v>
      </c>
      <c r="AA31" s="39">
        <v>2138000</v>
      </c>
      <c r="AB31" s="62" t="s">
        <v>237</v>
      </c>
      <c r="AC31" s="51">
        <v>356</v>
      </c>
      <c r="AD31" s="4">
        <v>3</v>
      </c>
      <c r="AE31" s="4" t="s">
        <v>90</v>
      </c>
      <c r="AF31" s="4" t="s">
        <v>238</v>
      </c>
      <c r="AG31" s="4" t="s">
        <v>92</v>
      </c>
      <c r="AH31" s="4" t="s">
        <v>239</v>
      </c>
      <c r="AI31" s="4" t="s">
        <v>94</v>
      </c>
      <c r="AJ31" s="4" t="s">
        <v>240</v>
      </c>
    </row>
    <row r="32" s="4" customFormat="1" spans="1:36">
      <c r="A32" s="47">
        <v>120010202</v>
      </c>
      <c r="B32" s="48">
        <v>1</v>
      </c>
      <c r="C32" s="48" t="s">
        <v>44</v>
      </c>
      <c r="D32" s="4">
        <v>1200102</v>
      </c>
      <c r="E32" s="4">
        <v>2</v>
      </c>
      <c r="G32" s="36" t="s">
        <v>241</v>
      </c>
      <c r="H32" s="36"/>
      <c r="I32" s="4"/>
      <c r="J32" s="36">
        <v>356</v>
      </c>
      <c r="K32" s="36" t="s">
        <v>46</v>
      </c>
      <c r="L32" s="37">
        <v>11003</v>
      </c>
      <c r="M32" s="37" t="s">
        <v>97</v>
      </c>
      <c r="N32" s="38"/>
      <c r="O32" s="49"/>
      <c r="P32" s="49"/>
      <c r="Q32" t="b">
        <v>0</v>
      </c>
      <c r="R32" s="49"/>
      <c r="S32" s="49">
        <v>71202</v>
      </c>
      <c r="T32" s="49"/>
      <c r="U32" s="4" t="s">
        <v>242</v>
      </c>
      <c r="V32" s="4" t="s">
        <v>87</v>
      </c>
      <c r="W32" s="4">
        <v>12001</v>
      </c>
      <c r="X32" s="50" t="s">
        <v>99</v>
      </c>
      <c r="Y32" s="50">
        <v>100300</v>
      </c>
      <c r="Z32" s="50">
        <v>11003</v>
      </c>
      <c r="AA32" s="39">
        <v>2138000</v>
      </c>
      <c r="AB32" s="62" t="s">
        <v>237</v>
      </c>
      <c r="AC32" s="51">
        <v>356</v>
      </c>
      <c r="AD32" s="4">
        <v>3</v>
      </c>
      <c r="AE32" s="4" t="s">
        <v>100</v>
      </c>
      <c r="AF32" s="4" t="s">
        <v>243</v>
      </c>
      <c r="AG32" s="4" t="s">
        <v>102</v>
      </c>
      <c r="AH32" s="4" t="s">
        <v>244</v>
      </c>
      <c r="AI32" s="4" t="s">
        <v>100</v>
      </c>
      <c r="AJ32" s="4" t="s">
        <v>245</v>
      </c>
    </row>
    <row r="33" s="4" customFormat="1" spans="1:36">
      <c r="A33" s="47">
        <v>120010203</v>
      </c>
      <c r="B33" s="48">
        <v>1</v>
      </c>
      <c r="C33" s="48" t="s">
        <v>44</v>
      </c>
      <c r="D33" s="4">
        <v>1200102</v>
      </c>
      <c r="E33" s="4">
        <v>3</v>
      </c>
      <c r="G33" s="36" t="s">
        <v>246</v>
      </c>
      <c r="H33" s="36"/>
      <c r="I33" s="4"/>
      <c r="J33" s="36">
        <v>356</v>
      </c>
      <c r="K33" s="36" t="s">
        <v>46</v>
      </c>
      <c r="L33" s="37">
        <v>11012</v>
      </c>
      <c r="M33" s="37" t="s">
        <v>106</v>
      </c>
      <c r="N33" s="38"/>
      <c r="O33" s="49"/>
      <c r="P33" s="49"/>
      <c r="Q33" t="b">
        <v>0</v>
      </c>
      <c r="R33" s="49"/>
      <c r="S33" s="49">
        <v>71203</v>
      </c>
      <c r="T33" s="49"/>
      <c r="U33" s="4" t="s">
        <v>247</v>
      </c>
      <c r="V33" s="4" t="s">
        <v>87</v>
      </c>
      <c r="W33" s="4">
        <v>12001</v>
      </c>
      <c r="X33" s="50" t="s">
        <v>108</v>
      </c>
      <c r="Y33" s="50">
        <v>101200</v>
      </c>
      <c r="Z33" s="50">
        <v>11012</v>
      </c>
      <c r="AA33" s="39">
        <v>2138000</v>
      </c>
      <c r="AB33" s="62" t="s">
        <v>237</v>
      </c>
      <c r="AC33" s="51">
        <v>356</v>
      </c>
      <c r="AD33" s="4">
        <v>3</v>
      </c>
      <c r="AE33" s="4" t="s">
        <v>109</v>
      </c>
      <c r="AF33" s="4" t="s">
        <v>248</v>
      </c>
      <c r="AG33" s="4" t="s">
        <v>111</v>
      </c>
      <c r="AH33" s="4" t="s">
        <v>249</v>
      </c>
      <c r="AI33" s="4" t="s">
        <v>109</v>
      </c>
      <c r="AJ33" s="4" t="s">
        <v>250</v>
      </c>
    </row>
    <row r="34" s="4" customFormat="1" spans="1:36">
      <c r="A34" s="47">
        <v>120010204</v>
      </c>
      <c r="B34" s="48">
        <v>1</v>
      </c>
      <c r="C34" s="48" t="s">
        <v>44</v>
      </c>
      <c r="D34" s="4">
        <v>1200102</v>
      </c>
      <c r="E34" s="4">
        <v>4</v>
      </c>
      <c r="G34" s="36" t="s">
        <v>251</v>
      </c>
      <c r="H34" s="36"/>
      <c r="I34" s="4"/>
      <c r="J34" s="36">
        <v>356</v>
      </c>
      <c r="K34" s="36" t="s">
        <v>46</v>
      </c>
      <c r="L34" s="37">
        <v>11014</v>
      </c>
      <c r="M34" s="37" t="s">
        <v>115</v>
      </c>
      <c r="N34" s="38"/>
      <c r="O34" s="49"/>
      <c r="P34" s="49"/>
      <c r="Q34" t="b">
        <v>0</v>
      </c>
      <c r="R34" s="49"/>
      <c r="S34" s="49">
        <v>71204</v>
      </c>
      <c r="T34" s="49"/>
      <c r="U34" s="4" t="s">
        <v>252</v>
      </c>
      <c r="V34" s="4" t="s">
        <v>87</v>
      </c>
      <c r="W34" s="4">
        <v>12001</v>
      </c>
      <c r="X34" s="50" t="s">
        <v>117</v>
      </c>
      <c r="Y34" s="50">
        <v>101400</v>
      </c>
      <c r="Z34" s="50">
        <v>11014</v>
      </c>
      <c r="AA34" s="39">
        <v>2138000</v>
      </c>
      <c r="AB34" s="62" t="s">
        <v>237</v>
      </c>
      <c r="AC34" s="51">
        <v>356</v>
      </c>
      <c r="AD34" s="4">
        <v>3</v>
      </c>
      <c r="AE34" s="4" t="s">
        <v>118</v>
      </c>
      <c r="AF34" s="4" t="s">
        <v>253</v>
      </c>
      <c r="AG34" s="4" t="s">
        <v>120</v>
      </c>
      <c r="AH34" s="4" t="s">
        <v>254</v>
      </c>
      <c r="AI34" s="4" t="s">
        <v>122</v>
      </c>
      <c r="AJ34" s="4" t="s">
        <v>255</v>
      </c>
    </row>
    <row r="35" s="4" customFormat="1" spans="1:36">
      <c r="A35" s="47">
        <v>120010205</v>
      </c>
      <c r="B35" s="48">
        <v>1</v>
      </c>
      <c r="C35" s="48" t="s">
        <v>44</v>
      </c>
      <c r="D35" s="4">
        <v>1200102</v>
      </c>
      <c r="E35" s="4">
        <v>5</v>
      </c>
      <c r="G35" s="36" t="s">
        <v>256</v>
      </c>
      <c r="H35" s="36"/>
      <c r="I35" s="4"/>
      <c r="J35" s="36">
        <v>356</v>
      </c>
      <c r="K35" s="36" t="s">
        <v>46</v>
      </c>
      <c r="L35" s="37">
        <v>11003</v>
      </c>
      <c r="M35" s="37" t="s">
        <v>125</v>
      </c>
      <c r="N35" s="38"/>
      <c r="O35" s="49"/>
      <c r="P35" s="49"/>
      <c r="Q35" t="b">
        <v>0</v>
      </c>
      <c r="R35" s="49"/>
      <c r="S35" s="49">
        <v>71205</v>
      </c>
      <c r="T35" s="49"/>
      <c r="U35" s="4" t="s">
        <v>257</v>
      </c>
      <c r="V35" s="4" t="s">
        <v>127</v>
      </c>
      <c r="W35" s="4">
        <v>12001</v>
      </c>
      <c r="X35" s="50" t="s">
        <v>128</v>
      </c>
      <c r="Y35" s="50">
        <v>0</v>
      </c>
      <c r="Z35" s="50">
        <v>11003</v>
      </c>
      <c r="AA35" s="39">
        <v>2138000</v>
      </c>
      <c r="AB35" s="62" t="s">
        <v>237</v>
      </c>
      <c r="AC35" s="51">
        <v>356</v>
      </c>
      <c r="AD35" s="4">
        <v>3</v>
      </c>
      <c r="AE35" s="4" t="s">
        <v>129</v>
      </c>
      <c r="AF35" s="4" t="s">
        <v>258</v>
      </c>
      <c r="AG35" s="4" t="s">
        <v>131</v>
      </c>
      <c r="AH35" s="4" t="s">
        <v>259</v>
      </c>
      <c r="AI35" s="4" t="s">
        <v>133</v>
      </c>
      <c r="AJ35" s="4" t="s">
        <v>260</v>
      </c>
    </row>
    <row r="36" s="4" customFormat="1" spans="1:36">
      <c r="A36" s="47">
        <v>120010206</v>
      </c>
      <c r="B36" s="48">
        <v>1</v>
      </c>
      <c r="C36" s="48" t="s">
        <v>44</v>
      </c>
      <c r="D36" s="4">
        <v>1200102</v>
      </c>
      <c r="E36" s="4">
        <v>6</v>
      </c>
      <c r="F36" s="4"/>
      <c r="G36" s="4" t="s">
        <v>261</v>
      </c>
      <c r="J36" s="36">
        <v>356</v>
      </c>
      <c r="K36" s="36" t="s">
        <v>46</v>
      </c>
      <c r="L36" s="37">
        <v>11017</v>
      </c>
      <c r="M36" s="37" t="s">
        <v>136</v>
      </c>
      <c r="N36" s="38"/>
      <c r="O36" s="38"/>
      <c r="P36" s="38"/>
      <c r="Q36" t="b">
        <v>0</v>
      </c>
      <c r="R36" s="38"/>
      <c r="S36" s="38">
        <v>71206</v>
      </c>
      <c r="T36" s="38"/>
      <c r="U36" s="4" t="s">
        <v>262</v>
      </c>
      <c r="V36" s="4" t="s">
        <v>127</v>
      </c>
      <c r="W36" s="4">
        <v>12001</v>
      </c>
      <c r="X36" s="50" t="s">
        <v>138</v>
      </c>
      <c r="Y36" s="50">
        <v>101700</v>
      </c>
      <c r="Z36" s="50">
        <v>11017</v>
      </c>
      <c r="AA36" s="39">
        <v>2138000</v>
      </c>
      <c r="AB36" s="62" t="s">
        <v>237</v>
      </c>
      <c r="AC36" s="51">
        <v>356</v>
      </c>
      <c r="AD36" s="4">
        <v>3</v>
      </c>
      <c r="AE36" s="4" t="s">
        <v>139</v>
      </c>
      <c r="AF36" s="4" t="s">
        <v>263</v>
      </c>
      <c r="AG36" s="4" t="s">
        <v>141</v>
      </c>
      <c r="AH36" s="4" t="s">
        <v>264</v>
      </c>
      <c r="AI36" s="4" t="s">
        <v>143</v>
      </c>
      <c r="AJ36" s="4" t="s">
        <v>265</v>
      </c>
    </row>
    <row r="37" s="4" customFormat="1" spans="1:36">
      <c r="A37" s="47">
        <v>120010207</v>
      </c>
      <c r="B37" s="48">
        <v>1</v>
      </c>
      <c r="C37" s="48" t="s">
        <v>44</v>
      </c>
      <c r="D37" s="4">
        <v>1200102</v>
      </c>
      <c r="E37" s="4">
        <v>7</v>
      </c>
      <c r="F37" s="4"/>
      <c r="G37" s="4" t="s">
        <v>266</v>
      </c>
      <c r="J37" s="36">
        <v>356</v>
      </c>
      <c r="K37" s="36" t="s">
        <v>46</v>
      </c>
      <c r="L37" s="37">
        <v>11021</v>
      </c>
      <c r="M37" s="37" t="s">
        <v>146</v>
      </c>
      <c r="N37" s="38"/>
      <c r="O37" s="38"/>
      <c r="P37" s="38"/>
      <c r="Q37" t="b">
        <v>0</v>
      </c>
      <c r="R37" s="38"/>
      <c r="S37" s="38">
        <v>71207</v>
      </c>
      <c r="T37" s="38"/>
      <c r="U37" s="4" t="s">
        <v>267</v>
      </c>
      <c r="V37" s="4" t="s">
        <v>127</v>
      </c>
      <c r="W37" s="4">
        <v>12001</v>
      </c>
      <c r="X37" s="50" t="s">
        <v>148</v>
      </c>
      <c r="Y37" s="50">
        <v>102100</v>
      </c>
      <c r="Z37" s="50">
        <v>11021</v>
      </c>
      <c r="AA37" s="39">
        <v>2138000</v>
      </c>
      <c r="AB37" s="62" t="s">
        <v>237</v>
      </c>
      <c r="AC37" s="51">
        <v>356</v>
      </c>
      <c r="AD37" s="4">
        <v>3</v>
      </c>
      <c r="AE37" s="4" t="s">
        <v>149</v>
      </c>
      <c r="AF37" s="4" t="s">
        <v>268</v>
      </c>
      <c r="AG37" s="4" t="s">
        <v>151</v>
      </c>
      <c r="AH37" s="4" t="s">
        <v>269</v>
      </c>
      <c r="AI37" s="4" t="s">
        <v>153</v>
      </c>
      <c r="AJ37" s="4" t="s">
        <v>270</v>
      </c>
    </row>
    <row r="38" s="4" customFormat="1" spans="1:36">
      <c r="A38" s="47">
        <v>120010208</v>
      </c>
      <c r="B38" s="48">
        <v>1</v>
      </c>
      <c r="C38" s="48" t="s">
        <v>44</v>
      </c>
      <c r="D38" s="4">
        <v>1200102</v>
      </c>
      <c r="E38" s="4">
        <v>8</v>
      </c>
      <c r="F38" s="4"/>
      <c r="G38" s="4" t="s">
        <v>271</v>
      </c>
      <c r="J38" s="36">
        <v>356</v>
      </c>
      <c r="K38" s="36" t="s">
        <v>46</v>
      </c>
      <c r="L38" s="37">
        <v>11022</v>
      </c>
      <c r="M38" s="37" t="s">
        <v>156</v>
      </c>
      <c r="N38" s="38"/>
      <c r="O38" s="38"/>
      <c r="P38" s="38"/>
      <c r="Q38" t="b">
        <v>0</v>
      </c>
      <c r="R38" s="38"/>
      <c r="S38" s="38">
        <v>71208</v>
      </c>
      <c r="T38" s="38"/>
      <c r="U38" s="4" t="s">
        <v>272</v>
      </c>
      <c r="V38" s="4" t="s">
        <v>127</v>
      </c>
      <c r="W38" s="4">
        <v>12001</v>
      </c>
      <c r="X38" s="50" t="s">
        <v>158</v>
      </c>
      <c r="Y38" s="50">
        <v>102200</v>
      </c>
      <c r="Z38" s="50">
        <v>11022</v>
      </c>
      <c r="AA38" s="39">
        <v>2138000</v>
      </c>
      <c r="AB38" s="62" t="s">
        <v>237</v>
      </c>
      <c r="AC38" s="51">
        <v>356</v>
      </c>
      <c r="AD38" s="4">
        <v>3</v>
      </c>
      <c r="AE38" s="4" t="s">
        <v>159</v>
      </c>
      <c r="AF38" s="4" t="s">
        <v>273</v>
      </c>
      <c r="AG38" s="4" t="s">
        <v>161</v>
      </c>
      <c r="AH38" s="4" t="s">
        <v>274</v>
      </c>
      <c r="AI38" s="4" t="s">
        <v>159</v>
      </c>
      <c r="AJ38" s="4" t="s">
        <v>275</v>
      </c>
    </row>
    <row r="39" s="4" customFormat="1" spans="1:36">
      <c r="A39" s="47">
        <v>120010209</v>
      </c>
      <c r="B39" s="48">
        <v>1</v>
      </c>
      <c r="C39" s="48" t="s">
        <v>44</v>
      </c>
      <c r="D39" s="4">
        <v>1200102</v>
      </c>
      <c r="E39" s="4">
        <v>9</v>
      </c>
      <c r="F39" s="4"/>
      <c r="G39" s="4" t="s">
        <v>276</v>
      </c>
      <c r="J39" s="36">
        <v>356</v>
      </c>
      <c r="K39" s="36" t="s">
        <v>46</v>
      </c>
      <c r="L39" s="37">
        <v>11023</v>
      </c>
      <c r="M39" s="37" t="s">
        <v>165</v>
      </c>
      <c r="N39" s="38"/>
      <c r="O39" s="38"/>
      <c r="P39" s="38"/>
      <c r="Q39" t="b">
        <v>0</v>
      </c>
      <c r="R39" s="38"/>
      <c r="S39" s="38">
        <v>71209</v>
      </c>
      <c r="T39" s="38"/>
      <c r="U39" s="4" t="s">
        <v>277</v>
      </c>
      <c r="V39" s="4" t="s">
        <v>127</v>
      </c>
      <c r="W39" s="4">
        <v>12001</v>
      </c>
      <c r="X39" s="50" t="s">
        <v>167</v>
      </c>
      <c r="Y39" s="50">
        <v>102300</v>
      </c>
      <c r="Z39" s="50">
        <v>11023</v>
      </c>
      <c r="AA39" s="39">
        <v>2138000</v>
      </c>
      <c r="AB39" s="62" t="s">
        <v>237</v>
      </c>
      <c r="AC39" s="51">
        <v>356</v>
      </c>
      <c r="AD39" s="4">
        <v>3</v>
      </c>
      <c r="AE39" s="4" t="s">
        <v>168</v>
      </c>
      <c r="AF39" s="4" t="s">
        <v>278</v>
      </c>
      <c r="AG39" s="4" t="s">
        <v>170</v>
      </c>
      <c r="AH39" s="4" t="s">
        <v>279</v>
      </c>
      <c r="AI39" s="4" t="s">
        <v>172</v>
      </c>
      <c r="AJ39" s="4" t="s">
        <v>280</v>
      </c>
    </row>
    <row r="40" s="4" customFormat="1" spans="1:36">
      <c r="A40" s="47">
        <v>120010210</v>
      </c>
      <c r="B40" s="48">
        <v>1</v>
      </c>
      <c r="C40" s="48" t="s">
        <v>44</v>
      </c>
      <c r="D40" s="4">
        <v>1200102</v>
      </c>
      <c r="E40" s="4">
        <v>10</v>
      </c>
      <c r="F40" s="4"/>
      <c r="G40" s="4" t="s">
        <v>281</v>
      </c>
      <c r="J40" s="36">
        <v>356</v>
      </c>
      <c r="K40" s="36" t="s">
        <v>46</v>
      </c>
      <c r="L40" s="37">
        <v>11024</v>
      </c>
      <c r="M40" s="37" t="s">
        <v>175</v>
      </c>
      <c r="N40" s="38"/>
      <c r="O40" s="38"/>
      <c r="P40" s="38"/>
      <c r="Q40" t="b">
        <v>0</v>
      </c>
      <c r="R40" s="38"/>
      <c r="S40" s="38">
        <v>71210</v>
      </c>
      <c r="T40" s="38"/>
      <c r="U40" s="4" t="s">
        <v>282</v>
      </c>
      <c r="V40" s="4" t="s">
        <v>127</v>
      </c>
      <c r="W40" s="4">
        <v>12001</v>
      </c>
      <c r="X40" s="50" t="s">
        <v>177</v>
      </c>
      <c r="Y40" s="50">
        <v>102400</v>
      </c>
      <c r="Z40" s="50">
        <v>11024</v>
      </c>
      <c r="AA40" s="39">
        <v>2138000</v>
      </c>
      <c r="AB40" s="62" t="s">
        <v>237</v>
      </c>
      <c r="AC40" s="51">
        <v>356</v>
      </c>
      <c r="AD40" s="4">
        <v>3</v>
      </c>
      <c r="AE40" s="4" t="s">
        <v>178</v>
      </c>
      <c r="AF40" s="4" t="s">
        <v>283</v>
      </c>
      <c r="AG40" s="4" t="s">
        <v>180</v>
      </c>
      <c r="AH40" s="4" t="s">
        <v>284</v>
      </c>
      <c r="AI40" s="4" t="s">
        <v>182</v>
      </c>
      <c r="AJ40" s="4" t="s">
        <v>285</v>
      </c>
    </row>
    <row r="41" s="4" customFormat="1" spans="1:36">
      <c r="A41" s="47">
        <v>120010301</v>
      </c>
      <c r="B41" s="48">
        <v>1</v>
      </c>
      <c r="C41" s="48" t="s">
        <v>44</v>
      </c>
      <c r="D41" s="4">
        <v>1200103</v>
      </c>
      <c r="E41" s="4">
        <v>1</v>
      </c>
      <c r="F41" s="4"/>
      <c r="G41" s="4" t="s">
        <v>286</v>
      </c>
      <c r="J41" s="36">
        <v>713</v>
      </c>
      <c r="K41" s="36" t="s">
        <v>46</v>
      </c>
      <c r="L41" s="37">
        <v>11007</v>
      </c>
      <c r="M41" s="37" t="s">
        <v>85</v>
      </c>
      <c r="N41" s="38"/>
      <c r="O41" s="49"/>
      <c r="P41" s="49"/>
      <c r="Q41" t="b">
        <v>0</v>
      </c>
      <c r="R41" s="49"/>
      <c r="S41" s="49">
        <v>71301</v>
      </c>
      <c r="T41" s="49"/>
      <c r="U41" s="4" t="s">
        <v>287</v>
      </c>
      <c r="V41" s="4" t="s">
        <v>87</v>
      </c>
      <c r="W41" s="4">
        <v>12001</v>
      </c>
      <c r="X41" s="50" t="s">
        <v>88</v>
      </c>
      <c r="Y41" s="50">
        <v>100700</v>
      </c>
      <c r="Z41" s="50">
        <v>11007</v>
      </c>
      <c r="AA41" s="39">
        <v>4277000</v>
      </c>
      <c r="AB41" s="62" t="s">
        <v>288</v>
      </c>
      <c r="AC41" s="51">
        <v>713</v>
      </c>
      <c r="AD41" s="4">
        <v>4</v>
      </c>
      <c r="AE41" s="4" t="s">
        <v>90</v>
      </c>
      <c r="AF41" s="4" t="s">
        <v>289</v>
      </c>
      <c r="AG41" s="4" t="s">
        <v>92</v>
      </c>
      <c r="AH41" s="4" t="s">
        <v>290</v>
      </c>
      <c r="AI41" s="4" t="s">
        <v>94</v>
      </c>
      <c r="AJ41" s="4" t="s">
        <v>291</v>
      </c>
    </row>
    <row r="42" s="4" customFormat="1" spans="1:36">
      <c r="A42" s="47">
        <v>120010302</v>
      </c>
      <c r="B42" s="48">
        <v>1</v>
      </c>
      <c r="C42" s="48" t="s">
        <v>44</v>
      </c>
      <c r="D42" s="4">
        <v>1200103</v>
      </c>
      <c r="E42" s="4">
        <v>2</v>
      </c>
      <c r="F42" s="4"/>
      <c r="G42" s="4" t="s">
        <v>292</v>
      </c>
      <c r="J42" s="36">
        <v>713</v>
      </c>
      <c r="K42" s="36" t="s">
        <v>46</v>
      </c>
      <c r="L42" s="37">
        <v>11003</v>
      </c>
      <c r="M42" s="37" t="s">
        <v>97</v>
      </c>
      <c r="N42" s="38"/>
      <c r="O42" s="49"/>
      <c r="P42" s="49"/>
      <c r="Q42" t="b">
        <v>0</v>
      </c>
      <c r="R42" s="49"/>
      <c r="S42" s="49">
        <v>71302</v>
      </c>
      <c r="T42" s="49"/>
      <c r="U42" s="4" t="s">
        <v>293</v>
      </c>
      <c r="V42" s="4" t="s">
        <v>87</v>
      </c>
      <c r="W42" s="4">
        <v>12001</v>
      </c>
      <c r="X42" s="50" t="s">
        <v>99</v>
      </c>
      <c r="Y42" s="50">
        <v>100300</v>
      </c>
      <c r="Z42" s="50">
        <v>11003</v>
      </c>
      <c r="AA42" s="39">
        <v>4277000</v>
      </c>
      <c r="AB42" s="62" t="s">
        <v>288</v>
      </c>
      <c r="AC42" s="51">
        <v>713</v>
      </c>
      <c r="AD42" s="4">
        <v>4</v>
      </c>
      <c r="AE42" s="4" t="s">
        <v>100</v>
      </c>
      <c r="AF42" s="4" t="s">
        <v>294</v>
      </c>
      <c r="AG42" s="4" t="s">
        <v>102</v>
      </c>
      <c r="AH42" s="4" t="s">
        <v>295</v>
      </c>
      <c r="AI42" s="4" t="s">
        <v>100</v>
      </c>
      <c r="AJ42" s="4" t="s">
        <v>296</v>
      </c>
    </row>
    <row r="43" s="4" customFormat="1" spans="1:36">
      <c r="A43" s="47">
        <v>120010303</v>
      </c>
      <c r="B43" s="48">
        <v>1</v>
      </c>
      <c r="C43" s="48" t="s">
        <v>44</v>
      </c>
      <c r="D43" s="4">
        <v>1200103</v>
      </c>
      <c r="E43" s="4">
        <v>3</v>
      </c>
      <c r="F43" s="4"/>
      <c r="G43" s="4" t="s">
        <v>297</v>
      </c>
      <c r="J43" s="36">
        <v>713</v>
      </c>
      <c r="K43" s="36" t="s">
        <v>46</v>
      </c>
      <c r="L43" s="37">
        <v>11012</v>
      </c>
      <c r="M43" s="37" t="s">
        <v>106</v>
      </c>
      <c r="N43" s="38"/>
      <c r="O43" s="49"/>
      <c r="P43" s="49"/>
      <c r="Q43" t="b">
        <v>0</v>
      </c>
      <c r="R43" s="49"/>
      <c r="S43" s="49">
        <v>71303</v>
      </c>
      <c r="T43" s="49"/>
      <c r="U43" s="4" t="s">
        <v>298</v>
      </c>
      <c r="V43" s="4" t="s">
        <v>87</v>
      </c>
      <c r="W43" s="4">
        <v>12001</v>
      </c>
      <c r="X43" s="50" t="s">
        <v>108</v>
      </c>
      <c r="Y43" s="50">
        <v>101200</v>
      </c>
      <c r="Z43" s="50">
        <v>11012</v>
      </c>
      <c r="AA43" s="39">
        <v>4277000</v>
      </c>
      <c r="AB43" s="62" t="s">
        <v>288</v>
      </c>
      <c r="AC43" s="51">
        <v>713</v>
      </c>
      <c r="AD43" s="4">
        <v>4</v>
      </c>
      <c r="AE43" s="4" t="s">
        <v>109</v>
      </c>
      <c r="AF43" s="4" t="s">
        <v>299</v>
      </c>
      <c r="AG43" s="4" t="s">
        <v>111</v>
      </c>
      <c r="AH43" s="4" t="s">
        <v>300</v>
      </c>
      <c r="AI43" s="4" t="s">
        <v>109</v>
      </c>
      <c r="AJ43" s="4" t="s">
        <v>301</v>
      </c>
    </row>
    <row r="44" s="4" customFormat="1" spans="1:36">
      <c r="A44" s="47">
        <v>120010304</v>
      </c>
      <c r="B44" s="48">
        <v>1</v>
      </c>
      <c r="C44" s="48" t="s">
        <v>44</v>
      </c>
      <c r="D44" s="4">
        <v>1200103</v>
      </c>
      <c r="E44" s="4">
        <v>4</v>
      </c>
      <c r="F44" s="4"/>
      <c r="G44" s="4" t="s">
        <v>302</v>
      </c>
      <c r="J44" s="36">
        <v>713</v>
      </c>
      <c r="K44" s="36" t="s">
        <v>46</v>
      </c>
      <c r="L44" s="37">
        <v>11014</v>
      </c>
      <c r="M44" s="37" t="s">
        <v>115</v>
      </c>
      <c r="N44" s="38"/>
      <c r="O44" s="49"/>
      <c r="P44" s="49"/>
      <c r="Q44" t="b">
        <v>0</v>
      </c>
      <c r="R44" s="49"/>
      <c r="S44" s="49">
        <v>71304</v>
      </c>
      <c r="T44" s="49"/>
      <c r="U44" s="4" t="s">
        <v>303</v>
      </c>
      <c r="V44" s="4" t="s">
        <v>87</v>
      </c>
      <c r="W44" s="4">
        <v>12001</v>
      </c>
      <c r="X44" s="50" t="s">
        <v>117</v>
      </c>
      <c r="Y44" s="50">
        <v>101400</v>
      </c>
      <c r="Z44" s="50">
        <v>11014</v>
      </c>
      <c r="AA44" s="39">
        <v>4277000</v>
      </c>
      <c r="AB44" s="62" t="s">
        <v>288</v>
      </c>
      <c r="AC44" s="51">
        <v>713</v>
      </c>
      <c r="AD44" s="4">
        <v>4</v>
      </c>
      <c r="AE44" s="4" t="s">
        <v>118</v>
      </c>
      <c r="AF44" s="4" t="s">
        <v>304</v>
      </c>
      <c r="AG44" s="4" t="s">
        <v>120</v>
      </c>
      <c r="AH44" s="4" t="s">
        <v>305</v>
      </c>
      <c r="AI44" s="4" t="s">
        <v>122</v>
      </c>
      <c r="AJ44" s="4" t="s">
        <v>306</v>
      </c>
    </row>
    <row r="45" s="4" customFormat="1" spans="1:36">
      <c r="A45" s="47">
        <v>120010305</v>
      </c>
      <c r="B45" s="48">
        <v>1</v>
      </c>
      <c r="C45" s="48" t="s">
        <v>44</v>
      </c>
      <c r="D45" s="4">
        <v>1200103</v>
      </c>
      <c r="E45" s="4">
        <v>5</v>
      </c>
      <c r="F45" s="4"/>
      <c r="G45" s="4" t="s">
        <v>307</v>
      </c>
      <c r="J45" s="36">
        <v>713</v>
      </c>
      <c r="K45" s="36" t="s">
        <v>46</v>
      </c>
      <c r="L45" s="37">
        <v>11003</v>
      </c>
      <c r="M45" s="37" t="s">
        <v>125</v>
      </c>
      <c r="N45" s="38"/>
      <c r="O45" s="49"/>
      <c r="P45" s="49"/>
      <c r="Q45" t="b">
        <v>0</v>
      </c>
      <c r="R45" s="49"/>
      <c r="S45" s="49">
        <v>71305</v>
      </c>
      <c r="T45" s="49"/>
      <c r="U45" s="4" t="s">
        <v>308</v>
      </c>
      <c r="V45" s="4" t="s">
        <v>127</v>
      </c>
      <c r="W45" s="4">
        <v>12001</v>
      </c>
      <c r="X45" s="50" t="s">
        <v>128</v>
      </c>
      <c r="Y45" s="50">
        <v>0</v>
      </c>
      <c r="Z45" s="50">
        <v>11003</v>
      </c>
      <c r="AA45" s="39">
        <v>4277000</v>
      </c>
      <c r="AB45" s="62" t="s">
        <v>288</v>
      </c>
      <c r="AC45" s="51">
        <v>713</v>
      </c>
      <c r="AD45" s="4">
        <v>4</v>
      </c>
      <c r="AE45" s="4" t="s">
        <v>129</v>
      </c>
      <c r="AF45" s="4" t="s">
        <v>309</v>
      </c>
      <c r="AG45" s="4" t="s">
        <v>131</v>
      </c>
      <c r="AH45" s="4" t="s">
        <v>310</v>
      </c>
      <c r="AI45" s="4" t="s">
        <v>133</v>
      </c>
      <c r="AJ45" s="4" t="s">
        <v>311</v>
      </c>
    </row>
    <row r="46" s="4" customFormat="1" spans="1:36">
      <c r="A46" s="47">
        <v>120010306</v>
      </c>
      <c r="B46" s="48">
        <v>1</v>
      </c>
      <c r="C46" s="48" t="s">
        <v>44</v>
      </c>
      <c r="D46" s="4">
        <v>1200103</v>
      </c>
      <c r="E46" s="4">
        <v>6</v>
      </c>
      <c r="F46" s="4"/>
      <c r="G46" s="4" t="s">
        <v>312</v>
      </c>
      <c r="J46" s="36">
        <v>713</v>
      </c>
      <c r="K46" s="36" t="s">
        <v>46</v>
      </c>
      <c r="L46" s="37">
        <v>11017</v>
      </c>
      <c r="M46" s="37" t="s">
        <v>136</v>
      </c>
      <c r="N46" s="38"/>
      <c r="O46" s="38"/>
      <c r="P46" s="38"/>
      <c r="Q46" t="b">
        <v>0</v>
      </c>
      <c r="R46" s="38"/>
      <c r="S46" s="38">
        <v>71306</v>
      </c>
      <c r="T46" s="38"/>
      <c r="U46" s="4" t="s">
        <v>313</v>
      </c>
      <c r="V46" s="4" t="s">
        <v>127</v>
      </c>
      <c r="W46" s="4">
        <v>12001</v>
      </c>
      <c r="X46" s="50" t="s">
        <v>138</v>
      </c>
      <c r="Y46" s="50">
        <v>101700</v>
      </c>
      <c r="Z46" s="50">
        <v>11017</v>
      </c>
      <c r="AA46" s="39">
        <v>4277000</v>
      </c>
      <c r="AB46" s="62" t="s">
        <v>288</v>
      </c>
      <c r="AC46" s="51">
        <v>713</v>
      </c>
      <c r="AD46" s="4">
        <v>4</v>
      </c>
      <c r="AE46" s="4" t="s">
        <v>139</v>
      </c>
      <c r="AF46" s="4" t="s">
        <v>314</v>
      </c>
      <c r="AG46" s="4" t="s">
        <v>141</v>
      </c>
      <c r="AH46" s="4" t="s">
        <v>315</v>
      </c>
      <c r="AI46" s="4" t="s">
        <v>143</v>
      </c>
      <c r="AJ46" s="4" t="s">
        <v>316</v>
      </c>
    </row>
    <row r="47" s="4" customFormat="1" spans="1:36">
      <c r="A47" s="47">
        <v>120010307</v>
      </c>
      <c r="B47" s="48">
        <v>1</v>
      </c>
      <c r="C47" s="48" t="s">
        <v>44</v>
      </c>
      <c r="D47" s="4">
        <v>1200103</v>
      </c>
      <c r="E47" s="4">
        <v>7</v>
      </c>
      <c r="F47" s="4"/>
      <c r="G47" s="4" t="s">
        <v>317</v>
      </c>
      <c r="J47" s="36">
        <v>713</v>
      </c>
      <c r="K47" s="36" t="s">
        <v>46</v>
      </c>
      <c r="L47" s="37">
        <v>11021</v>
      </c>
      <c r="M47" s="37" t="s">
        <v>146</v>
      </c>
      <c r="N47" s="38"/>
      <c r="O47" s="38"/>
      <c r="P47" s="38"/>
      <c r="Q47" t="b">
        <v>0</v>
      </c>
      <c r="R47" s="38"/>
      <c r="S47" s="38">
        <v>71307</v>
      </c>
      <c r="T47" s="38"/>
      <c r="U47" s="4" t="s">
        <v>318</v>
      </c>
      <c r="V47" s="4" t="s">
        <v>127</v>
      </c>
      <c r="W47" s="4">
        <v>12001</v>
      </c>
      <c r="X47" s="50" t="s">
        <v>148</v>
      </c>
      <c r="Y47" s="50">
        <v>102100</v>
      </c>
      <c r="Z47" s="50">
        <v>11021</v>
      </c>
      <c r="AA47" s="39">
        <v>4277000</v>
      </c>
      <c r="AB47" s="62" t="s">
        <v>288</v>
      </c>
      <c r="AC47" s="51">
        <v>713</v>
      </c>
      <c r="AD47" s="4">
        <v>4</v>
      </c>
      <c r="AE47" s="4" t="s">
        <v>149</v>
      </c>
      <c r="AF47" s="4" t="s">
        <v>319</v>
      </c>
      <c r="AG47" s="4" t="s">
        <v>151</v>
      </c>
      <c r="AH47" s="4" t="s">
        <v>320</v>
      </c>
      <c r="AI47" s="4" t="s">
        <v>153</v>
      </c>
      <c r="AJ47" s="4" t="s">
        <v>321</v>
      </c>
    </row>
    <row r="48" s="4" customFormat="1" spans="1:36">
      <c r="A48" s="47">
        <v>120010308</v>
      </c>
      <c r="B48" s="48">
        <v>1</v>
      </c>
      <c r="C48" s="48" t="s">
        <v>44</v>
      </c>
      <c r="D48" s="4">
        <v>1200103</v>
      </c>
      <c r="E48" s="4">
        <v>8</v>
      </c>
      <c r="F48" s="4"/>
      <c r="G48" s="4" t="s">
        <v>322</v>
      </c>
      <c r="J48" s="36">
        <v>713</v>
      </c>
      <c r="K48" s="36" t="s">
        <v>46</v>
      </c>
      <c r="L48" s="37">
        <v>11022</v>
      </c>
      <c r="M48" s="37" t="s">
        <v>156</v>
      </c>
      <c r="N48" s="38"/>
      <c r="O48" s="38"/>
      <c r="P48" s="38"/>
      <c r="Q48" t="b">
        <v>0</v>
      </c>
      <c r="R48" s="38"/>
      <c r="S48" s="38">
        <v>71308</v>
      </c>
      <c r="T48" s="38"/>
      <c r="U48" s="4" t="s">
        <v>323</v>
      </c>
      <c r="V48" s="4" t="s">
        <v>127</v>
      </c>
      <c r="W48" s="4">
        <v>12001</v>
      </c>
      <c r="X48" s="50" t="s">
        <v>158</v>
      </c>
      <c r="Y48" s="50">
        <v>102200</v>
      </c>
      <c r="Z48" s="50">
        <v>11022</v>
      </c>
      <c r="AA48" s="39">
        <v>4277000</v>
      </c>
      <c r="AB48" s="62" t="s">
        <v>288</v>
      </c>
      <c r="AC48" s="51">
        <v>713</v>
      </c>
      <c r="AD48" s="4">
        <v>4</v>
      </c>
      <c r="AE48" s="4" t="s">
        <v>159</v>
      </c>
      <c r="AF48" s="4" t="s">
        <v>324</v>
      </c>
      <c r="AG48" s="4" t="s">
        <v>161</v>
      </c>
      <c r="AH48" s="4" t="s">
        <v>325</v>
      </c>
      <c r="AI48" s="4" t="s">
        <v>159</v>
      </c>
      <c r="AJ48" s="4" t="s">
        <v>326</v>
      </c>
    </row>
    <row r="49" s="4" customFormat="1" spans="1:36">
      <c r="A49" s="47">
        <v>120010309</v>
      </c>
      <c r="B49" s="48">
        <v>1</v>
      </c>
      <c r="C49" s="48" t="s">
        <v>44</v>
      </c>
      <c r="D49" s="4">
        <v>1200103</v>
      </c>
      <c r="E49" s="4">
        <v>9</v>
      </c>
      <c r="F49" s="4"/>
      <c r="G49" s="4" t="s">
        <v>327</v>
      </c>
      <c r="J49" s="36">
        <v>713</v>
      </c>
      <c r="K49" s="36" t="s">
        <v>46</v>
      </c>
      <c r="L49" s="37">
        <v>11023</v>
      </c>
      <c r="M49" s="37" t="s">
        <v>165</v>
      </c>
      <c r="N49" s="38"/>
      <c r="O49" s="38"/>
      <c r="P49" s="38"/>
      <c r="Q49" t="b">
        <v>0</v>
      </c>
      <c r="R49" s="38"/>
      <c r="S49" s="38">
        <v>71309</v>
      </c>
      <c r="T49" s="38"/>
      <c r="U49" s="4" t="s">
        <v>328</v>
      </c>
      <c r="V49" s="4" t="s">
        <v>127</v>
      </c>
      <c r="W49" s="4">
        <v>12001</v>
      </c>
      <c r="X49" s="50" t="s">
        <v>167</v>
      </c>
      <c r="Y49" s="50">
        <v>102300</v>
      </c>
      <c r="Z49" s="50">
        <v>11023</v>
      </c>
      <c r="AA49" s="39">
        <v>4277000</v>
      </c>
      <c r="AB49" s="62" t="s">
        <v>288</v>
      </c>
      <c r="AC49" s="51">
        <v>713</v>
      </c>
      <c r="AD49" s="4">
        <v>4</v>
      </c>
      <c r="AE49" s="4" t="s">
        <v>168</v>
      </c>
      <c r="AF49" s="4" t="s">
        <v>329</v>
      </c>
      <c r="AG49" s="4" t="s">
        <v>170</v>
      </c>
      <c r="AH49" s="4" t="s">
        <v>330</v>
      </c>
      <c r="AI49" s="4" t="s">
        <v>172</v>
      </c>
      <c r="AJ49" s="4" t="s">
        <v>331</v>
      </c>
    </row>
    <row r="50" s="4" customFormat="1" spans="1:36">
      <c r="A50" s="47">
        <v>120010310</v>
      </c>
      <c r="B50" s="48">
        <v>1</v>
      </c>
      <c r="C50" s="48" t="s">
        <v>44</v>
      </c>
      <c r="D50" s="4">
        <v>1200103</v>
      </c>
      <c r="E50" s="4">
        <v>10</v>
      </c>
      <c r="F50" s="4"/>
      <c r="G50" s="4" t="s">
        <v>332</v>
      </c>
      <c r="J50" s="36">
        <v>713</v>
      </c>
      <c r="K50" s="36" t="s">
        <v>46</v>
      </c>
      <c r="L50" s="37">
        <v>11024</v>
      </c>
      <c r="M50" s="37" t="s">
        <v>175</v>
      </c>
      <c r="N50" s="38"/>
      <c r="O50" s="38"/>
      <c r="P50" s="38"/>
      <c r="Q50" t="b">
        <v>0</v>
      </c>
      <c r="R50" s="38"/>
      <c r="S50" s="38">
        <v>71310</v>
      </c>
      <c r="T50" s="38"/>
      <c r="U50" s="4" t="s">
        <v>333</v>
      </c>
      <c r="V50" s="4" t="s">
        <v>127</v>
      </c>
      <c r="W50" s="4">
        <v>12001</v>
      </c>
      <c r="X50" s="50" t="s">
        <v>177</v>
      </c>
      <c r="Y50" s="50">
        <v>102400</v>
      </c>
      <c r="Z50" s="50">
        <v>11024</v>
      </c>
      <c r="AA50" s="39">
        <v>4277000</v>
      </c>
      <c r="AB50" s="62" t="s">
        <v>288</v>
      </c>
      <c r="AC50" s="51">
        <v>713</v>
      </c>
      <c r="AD50" s="4">
        <v>4</v>
      </c>
      <c r="AE50" s="4" t="s">
        <v>178</v>
      </c>
      <c r="AF50" s="4" t="s">
        <v>334</v>
      </c>
      <c r="AG50" s="4" t="s">
        <v>180</v>
      </c>
      <c r="AH50" s="4" t="s">
        <v>335</v>
      </c>
      <c r="AI50" s="4" t="s">
        <v>182</v>
      </c>
      <c r="AJ50" s="4" t="s">
        <v>336</v>
      </c>
    </row>
    <row r="51" s="4" customFormat="1" spans="1:36">
      <c r="A51" s="47">
        <v>120010401</v>
      </c>
      <c r="B51" s="48">
        <v>1</v>
      </c>
      <c r="C51" s="48" t="s">
        <v>44</v>
      </c>
      <c r="D51" s="4">
        <v>1200104</v>
      </c>
      <c r="E51" s="4">
        <v>1</v>
      </c>
      <c r="G51" s="4" t="s">
        <v>337</v>
      </c>
      <c r="J51" s="36">
        <v>1188</v>
      </c>
      <c r="K51" s="36" t="s">
        <v>46</v>
      </c>
      <c r="L51" s="37">
        <v>11007</v>
      </c>
      <c r="M51" s="37" t="s">
        <v>85</v>
      </c>
      <c r="N51" s="38"/>
      <c r="O51" s="49"/>
      <c r="P51" s="49"/>
      <c r="Q51" t="b">
        <v>0</v>
      </c>
      <c r="R51" s="49"/>
      <c r="S51" s="49">
        <v>71401</v>
      </c>
      <c r="T51" s="49"/>
      <c r="U51" s="4" t="s">
        <v>338</v>
      </c>
      <c r="V51" s="4" t="s">
        <v>87</v>
      </c>
      <c r="W51" s="4">
        <v>12001</v>
      </c>
      <c r="X51" s="50" t="s">
        <v>88</v>
      </c>
      <c r="Y51" s="50">
        <v>100700</v>
      </c>
      <c r="Z51" s="50">
        <v>11007</v>
      </c>
      <c r="AA51" s="39">
        <v>7128000</v>
      </c>
      <c r="AB51" s="62" t="s">
        <v>339</v>
      </c>
      <c r="AC51" s="51">
        <v>1188</v>
      </c>
      <c r="AD51" s="4">
        <v>5</v>
      </c>
      <c r="AE51" s="4" t="s">
        <v>90</v>
      </c>
      <c r="AF51" s="4" t="s">
        <v>340</v>
      </c>
      <c r="AG51" s="4" t="s">
        <v>92</v>
      </c>
      <c r="AH51" s="4" t="s">
        <v>341</v>
      </c>
      <c r="AI51" s="4" t="s">
        <v>94</v>
      </c>
      <c r="AJ51" s="4" t="s">
        <v>342</v>
      </c>
    </row>
    <row r="52" s="4" customFormat="1" spans="1:36">
      <c r="A52" s="47">
        <v>120010402</v>
      </c>
      <c r="B52" s="48">
        <v>1</v>
      </c>
      <c r="C52" s="48" t="s">
        <v>44</v>
      </c>
      <c r="D52" s="4">
        <v>1200104</v>
      </c>
      <c r="E52" s="4">
        <v>2</v>
      </c>
      <c r="G52" s="4" t="s">
        <v>343</v>
      </c>
      <c r="J52" s="36">
        <v>1188</v>
      </c>
      <c r="K52" s="36" t="s">
        <v>46</v>
      </c>
      <c r="L52" s="37">
        <v>11003</v>
      </c>
      <c r="M52" s="37" t="s">
        <v>97</v>
      </c>
      <c r="N52" s="38"/>
      <c r="O52" s="49"/>
      <c r="P52" s="49"/>
      <c r="Q52" t="b">
        <v>0</v>
      </c>
      <c r="R52" s="49"/>
      <c r="S52" s="49">
        <v>71402</v>
      </c>
      <c r="T52" s="49"/>
      <c r="U52" s="4" t="s">
        <v>344</v>
      </c>
      <c r="V52" s="4" t="s">
        <v>87</v>
      </c>
      <c r="W52" s="4">
        <v>12001</v>
      </c>
      <c r="X52" s="50" t="s">
        <v>99</v>
      </c>
      <c r="Y52" s="50">
        <v>100300</v>
      </c>
      <c r="Z52" s="50">
        <v>11003</v>
      </c>
      <c r="AA52" s="39">
        <v>7128000</v>
      </c>
      <c r="AB52" s="62" t="s">
        <v>339</v>
      </c>
      <c r="AC52" s="51">
        <v>1188</v>
      </c>
      <c r="AD52" s="4">
        <v>5</v>
      </c>
      <c r="AE52" s="4" t="s">
        <v>100</v>
      </c>
      <c r="AF52" s="4" t="s">
        <v>345</v>
      </c>
      <c r="AG52" s="4" t="s">
        <v>102</v>
      </c>
      <c r="AH52" s="4" t="s">
        <v>346</v>
      </c>
      <c r="AI52" s="4" t="s">
        <v>100</v>
      </c>
      <c r="AJ52" s="4" t="s">
        <v>347</v>
      </c>
    </row>
    <row r="53" s="4" customFormat="1" spans="1:36">
      <c r="A53" s="47">
        <v>120010403</v>
      </c>
      <c r="B53" s="48">
        <v>1</v>
      </c>
      <c r="C53" s="48" t="s">
        <v>44</v>
      </c>
      <c r="D53" s="4">
        <v>1200104</v>
      </c>
      <c r="E53" s="4">
        <v>3</v>
      </c>
      <c r="G53" s="4" t="s">
        <v>348</v>
      </c>
      <c r="J53" s="36">
        <v>1188</v>
      </c>
      <c r="K53" s="36" t="s">
        <v>46</v>
      </c>
      <c r="L53" s="37">
        <v>11012</v>
      </c>
      <c r="M53" s="37" t="s">
        <v>106</v>
      </c>
      <c r="N53" s="38"/>
      <c r="O53" s="49"/>
      <c r="P53" s="49"/>
      <c r="Q53" t="b">
        <v>0</v>
      </c>
      <c r="R53" s="49"/>
      <c r="S53" s="49">
        <v>71403</v>
      </c>
      <c r="T53" s="49"/>
      <c r="U53" s="4" t="s">
        <v>349</v>
      </c>
      <c r="V53" s="4" t="s">
        <v>87</v>
      </c>
      <c r="W53" s="4">
        <v>12001</v>
      </c>
      <c r="X53" s="50" t="s">
        <v>108</v>
      </c>
      <c r="Y53" s="50">
        <v>101200</v>
      </c>
      <c r="Z53" s="50">
        <v>11012</v>
      </c>
      <c r="AA53" s="39">
        <v>7128000</v>
      </c>
      <c r="AB53" s="62" t="s">
        <v>339</v>
      </c>
      <c r="AC53" s="51">
        <v>1188</v>
      </c>
      <c r="AD53" s="4">
        <v>5</v>
      </c>
      <c r="AE53" s="4" t="s">
        <v>109</v>
      </c>
      <c r="AF53" s="4" t="s">
        <v>350</v>
      </c>
      <c r="AG53" s="4" t="s">
        <v>111</v>
      </c>
      <c r="AH53" s="4" t="s">
        <v>351</v>
      </c>
      <c r="AI53" s="4" t="s">
        <v>109</v>
      </c>
      <c r="AJ53" s="4" t="s">
        <v>352</v>
      </c>
    </row>
    <row r="54" s="4" customFormat="1" spans="1:36">
      <c r="A54" s="47">
        <v>120010404</v>
      </c>
      <c r="B54" s="48">
        <v>1</v>
      </c>
      <c r="C54" s="48" t="s">
        <v>44</v>
      </c>
      <c r="D54" s="4">
        <v>1200104</v>
      </c>
      <c r="E54" s="4">
        <v>4</v>
      </c>
      <c r="G54" s="4" t="s">
        <v>353</v>
      </c>
      <c r="J54" s="36">
        <v>1188</v>
      </c>
      <c r="K54" s="36" t="s">
        <v>46</v>
      </c>
      <c r="L54" s="37">
        <v>11014</v>
      </c>
      <c r="M54" s="37" t="s">
        <v>115</v>
      </c>
      <c r="N54" s="38"/>
      <c r="O54" s="49"/>
      <c r="P54" s="49"/>
      <c r="Q54" t="b">
        <v>0</v>
      </c>
      <c r="R54" s="49"/>
      <c r="S54" s="49">
        <v>71404</v>
      </c>
      <c r="T54" s="49"/>
      <c r="U54" s="4" t="s">
        <v>354</v>
      </c>
      <c r="V54" s="4" t="s">
        <v>87</v>
      </c>
      <c r="W54" s="4">
        <v>12001</v>
      </c>
      <c r="X54" s="50" t="s">
        <v>117</v>
      </c>
      <c r="Y54" s="50">
        <v>101400</v>
      </c>
      <c r="Z54" s="50">
        <v>11014</v>
      </c>
      <c r="AA54" s="39">
        <v>7128000</v>
      </c>
      <c r="AB54" s="62" t="s">
        <v>339</v>
      </c>
      <c r="AC54" s="51">
        <v>1188</v>
      </c>
      <c r="AD54" s="4">
        <v>5</v>
      </c>
      <c r="AE54" s="4" t="s">
        <v>118</v>
      </c>
      <c r="AF54" s="4" t="s">
        <v>355</v>
      </c>
      <c r="AG54" s="4" t="s">
        <v>120</v>
      </c>
      <c r="AH54" s="4" t="s">
        <v>356</v>
      </c>
      <c r="AI54" s="4" t="s">
        <v>122</v>
      </c>
      <c r="AJ54" s="4" t="s">
        <v>357</v>
      </c>
    </row>
    <row r="55" s="4" customFormat="1" spans="1:36">
      <c r="A55" s="47">
        <v>120010405</v>
      </c>
      <c r="B55" s="48">
        <v>1</v>
      </c>
      <c r="C55" s="48" t="s">
        <v>44</v>
      </c>
      <c r="D55" s="4">
        <v>1200104</v>
      </c>
      <c r="E55" s="4">
        <v>5</v>
      </c>
      <c r="G55" s="4" t="s">
        <v>358</v>
      </c>
      <c r="J55" s="36">
        <v>1188</v>
      </c>
      <c r="K55" s="36" t="s">
        <v>46</v>
      </c>
      <c r="L55" s="37">
        <v>11003</v>
      </c>
      <c r="M55" s="37" t="s">
        <v>125</v>
      </c>
      <c r="N55" s="38"/>
      <c r="O55" s="49"/>
      <c r="P55" s="49"/>
      <c r="Q55" t="b">
        <v>0</v>
      </c>
      <c r="R55" s="49"/>
      <c r="S55" s="49">
        <v>71405</v>
      </c>
      <c r="T55" s="49"/>
      <c r="U55" s="4" t="s">
        <v>359</v>
      </c>
      <c r="V55" s="4" t="s">
        <v>127</v>
      </c>
      <c r="W55" s="4">
        <v>12001</v>
      </c>
      <c r="X55" s="50" t="s">
        <v>128</v>
      </c>
      <c r="Y55" s="50">
        <v>0</v>
      </c>
      <c r="Z55" s="50">
        <v>11003</v>
      </c>
      <c r="AA55" s="39">
        <v>7128000</v>
      </c>
      <c r="AB55" s="62" t="s">
        <v>339</v>
      </c>
      <c r="AC55" s="51">
        <v>1188</v>
      </c>
      <c r="AD55" s="4">
        <v>5</v>
      </c>
      <c r="AE55" s="4" t="s">
        <v>129</v>
      </c>
      <c r="AF55" s="4" t="s">
        <v>360</v>
      </c>
      <c r="AG55" s="4" t="s">
        <v>131</v>
      </c>
      <c r="AH55" s="4" t="s">
        <v>361</v>
      </c>
      <c r="AI55" s="4" t="s">
        <v>133</v>
      </c>
      <c r="AJ55" s="4" t="s">
        <v>362</v>
      </c>
    </row>
    <row r="56" s="4" customFormat="1" spans="1:36">
      <c r="A56" s="47">
        <v>120010406</v>
      </c>
      <c r="B56" s="48">
        <v>1</v>
      </c>
      <c r="C56" s="48" t="s">
        <v>44</v>
      </c>
      <c r="D56" s="4">
        <v>1200104</v>
      </c>
      <c r="E56" s="4">
        <v>6</v>
      </c>
      <c r="F56" s="4"/>
      <c r="G56" s="4" t="s">
        <v>363</v>
      </c>
      <c r="J56" s="36">
        <v>1188</v>
      </c>
      <c r="K56" s="36" t="s">
        <v>46</v>
      </c>
      <c r="L56" s="37">
        <v>11017</v>
      </c>
      <c r="M56" s="37" t="s">
        <v>136</v>
      </c>
      <c r="N56" s="38"/>
      <c r="O56" s="38"/>
      <c r="P56" s="38"/>
      <c r="Q56" t="b">
        <v>0</v>
      </c>
      <c r="R56" s="38"/>
      <c r="S56" s="38">
        <v>71406</v>
      </c>
      <c r="T56" s="38"/>
      <c r="U56" s="4" t="s">
        <v>364</v>
      </c>
      <c r="V56" s="4" t="s">
        <v>127</v>
      </c>
      <c r="W56" s="4">
        <v>12001</v>
      </c>
      <c r="X56" s="50" t="s">
        <v>138</v>
      </c>
      <c r="Y56" s="50">
        <v>101700</v>
      </c>
      <c r="Z56" s="50">
        <v>11017</v>
      </c>
      <c r="AA56" s="39">
        <v>7128000</v>
      </c>
      <c r="AB56" s="62" t="s">
        <v>339</v>
      </c>
      <c r="AC56" s="4">
        <v>1188</v>
      </c>
      <c r="AD56" s="4">
        <v>5</v>
      </c>
      <c r="AE56" s="4" t="s">
        <v>139</v>
      </c>
      <c r="AF56" s="4" t="s">
        <v>365</v>
      </c>
      <c r="AG56" s="4" t="s">
        <v>141</v>
      </c>
      <c r="AH56" s="4" t="s">
        <v>366</v>
      </c>
      <c r="AI56" s="4" t="s">
        <v>143</v>
      </c>
      <c r="AJ56" s="4" t="s">
        <v>367</v>
      </c>
    </row>
    <row r="57" s="4" customFormat="1" spans="1:36">
      <c r="A57" s="47">
        <v>120010407</v>
      </c>
      <c r="B57" s="48">
        <v>1</v>
      </c>
      <c r="C57" s="48" t="s">
        <v>44</v>
      </c>
      <c r="D57" s="4">
        <v>1200104</v>
      </c>
      <c r="E57" s="4">
        <v>7</v>
      </c>
      <c r="F57" s="4"/>
      <c r="G57" s="4" t="s">
        <v>368</v>
      </c>
      <c r="J57" s="36">
        <v>1188</v>
      </c>
      <c r="K57" s="36" t="s">
        <v>46</v>
      </c>
      <c r="L57" s="37">
        <v>11021</v>
      </c>
      <c r="M57" s="37" t="s">
        <v>146</v>
      </c>
      <c r="N57" s="38"/>
      <c r="O57" s="38"/>
      <c r="P57" s="38"/>
      <c r="Q57" t="b">
        <v>0</v>
      </c>
      <c r="R57" s="38"/>
      <c r="S57" s="38">
        <v>71407</v>
      </c>
      <c r="T57" s="38"/>
      <c r="U57" s="4" t="s">
        <v>369</v>
      </c>
      <c r="V57" s="4" t="s">
        <v>127</v>
      </c>
      <c r="W57" s="4">
        <v>12001</v>
      </c>
      <c r="X57" s="50" t="s">
        <v>148</v>
      </c>
      <c r="Y57" s="50">
        <v>102100</v>
      </c>
      <c r="Z57" s="50">
        <v>11021</v>
      </c>
      <c r="AA57" s="39">
        <v>7128000</v>
      </c>
      <c r="AB57" s="62" t="s">
        <v>339</v>
      </c>
      <c r="AC57" s="4">
        <v>1188</v>
      </c>
      <c r="AD57" s="4">
        <v>5</v>
      </c>
      <c r="AE57" s="4" t="s">
        <v>149</v>
      </c>
      <c r="AF57" s="4" t="s">
        <v>370</v>
      </c>
      <c r="AG57" s="4" t="s">
        <v>151</v>
      </c>
      <c r="AH57" s="4" t="s">
        <v>371</v>
      </c>
      <c r="AI57" s="4" t="s">
        <v>153</v>
      </c>
      <c r="AJ57" s="4" t="s">
        <v>372</v>
      </c>
    </row>
    <row r="58" s="4" customFormat="1" spans="1:36">
      <c r="A58" s="47">
        <v>120010408</v>
      </c>
      <c r="B58" s="48">
        <v>1</v>
      </c>
      <c r="C58" s="48" t="s">
        <v>44</v>
      </c>
      <c r="D58" s="4">
        <v>1200104</v>
      </c>
      <c r="E58" s="4">
        <v>8</v>
      </c>
      <c r="F58" s="4"/>
      <c r="G58" s="4" t="s">
        <v>373</v>
      </c>
      <c r="J58" s="36">
        <v>1188</v>
      </c>
      <c r="K58" s="36" t="s">
        <v>46</v>
      </c>
      <c r="L58" s="37">
        <v>11022</v>
      </c>
      <c r="M58" s="37" t="s">
        <v>156</v>
      </c>
      <c r="N58" s="38"/>
      <c r="O58" s="38"/>
      <c r="P58" s="38"/>
      <c r="Q58" t="b">
        <v>0</v>
      </c>
      <c r="R58" s="38"/>
      <c r="S58" s="38">
        <v>71408</v>
      </c>
      <c r="T58" s="38"/>
      <c r="U58" s="4" t="s">
        <v>374</v>
      </c>
      <c r="V58" s="4" t="s">
        <v>127</v>
      </c>
      <c r="W58" s="4">
        <v>12001</v>
      </c>
      <c r="X58" s="50" t="s">
        <v>158</v>
      </c>
      <c r="Y58" s="50">
        <v>102200</v>
      </c>
      <c r="Z58" s="50">
        <v>11022</v>
      </c>
      <c r="AA58" s="39">
        <v>7128000</v>
      </c>
      <c r="AB58" s="62" t="s">
        <v>339</v>
      </c>
      <c r="AC58" s="4">
        <v>1188</v>
      </c>
      <c r="AD58" s="4">
        <v>5</v>
      </c>
      <c r="AE58" s="4" t="s">
        <v>159</v>
      </c>
      <c r="AF58" s="4" t="s">
        <v>375</v>
      </c>
      <c r="AG58" s="4" t="s">
        <v>161</v>
      </c>
      <c r="AH58" s="4" t="s">
        <v>376</v>
      </c>
      <c r="AI58" s="4" t="s">
        <v>159</v>
      </c>
      <c r="AJ58" s="4" t="s">
        <v>377</v>
      </c>
    </row>
    <row r="59" s="4" customFormat="1" spans="1:36">
      <c r="A59" s="47">
        <v>120010409</v>
      </c>
      <c r="B59" s="48">
        <v>1</v>
      </c>
      <c r="C59" s="48" t="s">
        <v>44</v>
      </c>
      <c r="D59" s="4">
        <v>1200104</v>
      </c>
      <c r="E59" s="4">
        <v>9</v>
      </c>
      <c r="F59" s="4"/>
      <c r="G59" s="4" t="s">
        <v>378</v>
      </c>
      <c r="J59" s="36">
        <v>1188</v>
      </c>
      <c r="K59" s="36" t="s">
        <v>46</v>
      </c>
      <c r="L59" s="37">
        <v>11023</v>
      </c>
      <c r="M59" s="37" t="s">
        <v>165</v>
      </c>
      <c r="N59" s="38"/>
      <c r="O59" s="38"/>
      <c r="P59" s="38"/>
      <c r="Q59" t="b">
        <v>0</v>
      </c>
      <c r="R59" s="38"/>
      <c r="S59" s="38">
        <v>71409</v>
      </c>
      <c r="T59" s="38"/>
      <c r="U59" s="4" t="s">
        <v>379</v>
      </c>
      <c r="V59" s="4" t="s">
        <v>127</v>
      </c>
      <c r="W59" s="4">
        <v>12001</v>
      </c>
      <c r="X59" s="50" t="s">
        <v>167</v>
      </c>
      <c r="Y59" s="50">
        <v>102300</v>
      </c>
      <c r="Z59" s="50">
        <v>11023</v>
      </c>
      <c r="AA59" s="39">
        <v>7128000</v>
      </c>
      <c r="AB59" s="62" t="s">
        <v>339</v>
      </c>
      <c r="AC59" s="4">
        <v>1188</v>
      </c>
      <c r="AD59" s="4">
        <v>5</v>
      </c>
      <c r="AE59" s="4" t="s">
        <v>168</v>
      </c>
      <c r="AF59" s="4" t="s">
        <v>380</v>
      </c>
      <c r="AG59" s="4" t="s">
        <v>170</v>
      </c>
      <c r="AH59" s="4" t="s">
        <v>381</v>
      </c>
      <c r="AI59" s="4" t="s">
        <v>172</v>
      </c>
      <c r="AJ59" s="4" t="s">
        <v>382</v>
      </c>
    </row>
    <row r="60" s="4" customFormat="1" spans="1:36">
      <c r="A60" s="47">
        <v>120010410</v>
      </c>
      <c r="B60" s="48">
        <v>1</v>
      </c>
      <c r="C60" s="48" t="s">
        <v>44</v>
      </c>
      <c r="D60" s="4">
        <v>1200104</v>
      </c>
      <c r="E60" s="4">
        <v>10</v>
      </c>
      <c r="F60" s="4"/>
      <c r="G60" s="4" t="s">
        <v>383</v>
      </c>
      <c r="J60" s="36">
        <v>1188</v>
      </c>
      <c r="K60" s="36" t="s">
        <v>46</v>
      </c>
      <c r="L60" s="37">
        <v>11024</v>
      </c>
      <c r="M60" s="37" t="s">
        <v>175</v>
      </c>
      <c r="N60" s="38"/>
      <c r="O60" s="38"/>
      <c r="P60" s="38"/>
      <c r="Q60" t="b">
        <v>0</v>
      </c>
      <c r="R60" s="38"/>
      <c r="S60" s="38">
        <v>71410</v>
      </c>
      <c r="T60" s="38"/>
      <c r="U60" s="4" t="s">
        <v>384</v>
      </c>
      <c r="V60" s="4" t="s">
        <v>127</v>
      </c>
      <c r="W60" s="4">
        <v>12001</v>
      </c>
      <c r="X60" s="50" t="s">
        <v>177</v>
      </c>
      <c r="Y60" s="50">
        <v>102400</v>
      </c>
      <c r="Z60" s="50">
        <v>11024</v>
      </c>
      <c r="AA60" s="39">
        <v>7128000</v>
      </c>
      <c r="AB60" s="62" t="s">
        <v>339</v>
      </c>
      <c r="AC60" s="4">
        <v>1188</v>
      </c>
      <c r="AD60" s="4">
        <v>5</v>
      </c>
      <c r="AE60" s="4" t="s">
        <v>178</v>
      </c>
      <c r="AF60" s="4" t="s">
        <v>385</v>
      </c>
      <c r="AG60" s="4" t="s">
        <v>180</v>
      </c>
      <c r="AH60" s="4" t="s">
        <v>386</v>
      </c>
      <c r="AI60" s="4" t="s">
        <v>182</v>
      </c>
      <c r="AJ60" s="4" t="s">
        <v>387</v>
      </c>
    </row>
    <row r="61" spans="1:36">
      <c r="A61" s="48">
        <v>100030101</v>
      </c>
      <c r="B61" s="48">
        <v>1</v>
      </c>
      <c r="C61" s="48" t="s">
        <v>44</v>
      </c>
      <c r="D61" s="4">
        <v>1000301</v>
      </c>
      <c r="E61" s="4">
        <v>1</v>
      </c>
      <c r="G61" s="4" t="s">
        <v>388</v>
      </c>
      <c r="J61" s="4">
        <v>67</v>
      </c>
      <c r="K61" s="36" t="s">
        <v>46</v>
      </c>
      <c r="L61" s="37">
        <v>11007</v>
      </c>
      <c r="M61" s="37" t="s">
        <v>85</v>
      </c>
      <c r="O61" s="49"/>
      <c r="P61" s="49"/>
      <c r="Q61" t="b">
        <v>0</v>
      </c>
      <c r="R61" s="49"/>
      <c r="S61" s="49">
        <v>72001</v>
      </c>
      <c r="T61" s="49"/>
      <c r="U61" s="4" t="s">
        <v>389</v>
      </c>
      <c r="V61" s="4" t="s">
        <v>390</v>
      </c>
      <c r="W61" s="4">
        <v>10003</v>
      </c>
      <c r="X61" s="4" t="s">
        <v>88</v>
      </c>
      <c r="Y61" s="4">
        <v>100700</v>
      </c>
      <c r="Z61" s="4">
        <v>11007</v>
      </c>
      <c r="AA61" s="39">
        <v>400000</v>
      </c>
      <c r="AB61" s="62" t="s">
        <v>391</v>
      </c>
      <c r="AC61" s="4">
        <v>67</v>
      </c>
      <c r="AD61" s="4">
        <v>1</v>
      </c>
      <c r="AE61" s="4" t="s">
        <v>90</v>
      </c>
      <c r="AF61" s="4" t="s">
        <v>392</v>
      </c>
      <c r="AG61" s="4" t="s">
        <v>92</v>
      </c>
      <c r="AH61" s="4" t="s">
        <v>393</v>
      </c>
      <c r="AI61" s="4" t="s">
        <v>94</v>
      </c>
      <c r="AJ61" s="4" t="s">
        <v>394</v>
      </c>
    </row>
    <row r="62" spans="1:36">
      <c r="A62" s="48">
        <v>100030102</v>
      </c>
      <c r="B62" s="48">
        <v>1</v>
      </c>
      <c r="C62" s="48" t="s">
        <v>44</v>
      </c>
      <c r="D62" s="4">
        <v>1000301</v>
      </c>
      <c r="E62" s="4">
        <v>2</v>
      </c>
      <c r="G62" s="4" t="s">
        <v>395</v>
      </c>
      <c r="J62" s="4">
        <v>67</v>
      </c>
      <c r="K62" s="36" t="s">
        <v>46</v>
      </c>
      <c r="L62" s="37">
        <v>11003</v>
      </c>
      <c r="M62" s="37" t="s">
        <v>97</v>
      </c>
      <c r="O62" s="49"/>
      <c r="P62" s="49"/>
      <c r="Q62" t="b">
        <v>0</v>
      </c>
      <c r="R62" s="49"/>
      <c r="S62" s="49">
        <v>72002</v>
      </c>
      <c r="T62" s="49"/>
      <c r="U62" s="4" t="s">
        <v>396</v>
      </c>
      <c r="V62" s="4" t="s">
        <v>390</v>
      </c>
      <c r="W62" s="4">
        <v>10003</v>
      </c>
      <c r="X62" s="4" t="s">
        <v>99</v>
      </c>
      <c r="Y62" s="4">
        <v>100300</v>
      </c>
      <c r="Z62" s="4">
        <v>11003</v>
      </c>
      <c r="AA62" s="39">
        <v>400000</v>
      </c>
      <c r="AB62" s="62" t="s">
        <v>391</v>
      </c>
      <c r="AC62" s="4">
        <v>67</v>
      </c>
      <c r="AD62" s="4">
        <v>1</v>
      </c>
      <c r="AE62" s="4" t="s">
        <v>100</v>
      </c>
      <c r="AF62" s="4" t="s">
        <v>397</v>
      </c>
      <c r="AG62" s="4" t="s">
        <v>102</v>
      </c>
      <c r="AH62" s="4" t="s">
        <v>398</v>
      </c>
      <c r="AI62" s="4" t="s">
        <v>100</v>
      </c>
      <c r="AJ62" s="4" t="s">
        <v>399</v>
      </c>
    </row>
    <row r="63" spans="1:36">
      <c r="A63" s="48">
        <v>100030103</v>
      </c>
      <c r="B63" s="48">
        <v>1</v>
      </c>
      <c r="C63" s="48" t="s">
        <v>44</v>
      </c>
      <c r="D63" s="4">
        <v>1000301</v>
      </c>
      <c r="E63" s="4">
        <v>3</v>
      </c>
      <c r="G63" s="4" t="s">
        <v>400</v>
      </c>
      <c r="J63" s="4">
        <v>67</v>
      </c>
      <c r="K63" s="36" t="s">
        <v>46</v>
      </c>
      <c r="L63" s="37">
        <v>11012</v>
      </c>
      <c r="M63" s="37" t="s">
        <v>106</v>
      </c>
      <c r="O63" s="49"/>
      <c r="P63" s="49"/>
      <c r="Q63" t="b">
        <v>0</v>
      </c>
      <c r="R63" s="49"/>
      <c r="S63" s="49">
        <v>72003</v>
      </c>
      <c r="T63" s="49"/>
      <c r="U63" s="4" t="s">
        <v>401</v>
      </c>
      <c r="V63" s="4" t="s">
        <v>390</v>
      </c>
      <c r="W63" s="4">
        <v>10003</v>
      </c>
      <c r="X63" s="4" t="s">
        <v>108</v>
      </c>
      <c r="Y63" s="4">
        <v>101200</v>
      </c>
      <c r="Z63" s="4">
        <v>11012</v>
      </c>
      <c r="AA63" s="39">
        <v>400000</v>
      </c>
      <c r="AB63" s="62" t="s">
        <v>391</v>
      </c>
      <c r="AC63" s="4">
        <v>67</v>
      </c>
      <c r="AD63" s="4">
        <v>1</v>
      </c>
      <c r="AE63" s="4" t="s">
        <v>109</v>
      </c>
      <c r="AF63" s="4" t="s">
        <v>402</v>
      </c>
      <c r="AG63" s="4" t="s">
        <v>111</v>
      </c>
      <c r="AH63" s="4" t="s">
        <v>403</v>
      </c>
      <c r="AI63" s="4" t="s">
        <v>109</v>
      </c>
      <c r="AJ63" s="4" t="s">
        <v>404</v>
      </c>
    </row>
    <row r="64" spans="1:36">
      <c r="A64" s="48">
        <v>100030104</v>
      </c>
      <c r="B64" s="48">
        <v>1</v>
      </c>
      <c r="C64" s="48" t="s">
        <v>44</v>
      </c>
      <c r="D64" s="4">
        <v>1000301</v>
      </c>
      <c r="E64" s="4">
        <v>4</v>
      </c>
      <c r="G64" s="4" t="s">
        <v>405</v>
      </c>
      <c r="J64" s="4">
        <v>67</v>
      </c>
      <c r="K64" s="36" t="s">
        <v>46</v>
      </c>
      <c r="L64" s="37">
        <v>11014</v>
      </c>
      <c r="M64" s="37" t="s">
        <v>115</v>
      </c>
      <c r="O64" s="49"/>
      <c r="P64" s="49"/>
      <c r="Q64" t="b">
        <v>0</v>
      </c>
      <c r="R64" s="49"/>
      <c r="S64" s="49">
        <v>72004</v>
      </c>
      <c r="T64" s="49"/>
      <c r="U64" s="4" t="s">
        <v>406</v>
      </c>
      <c r="V64" s="4" t="s">
        <v>390</v>
      </c>
      <c r="W64" s="4">
        <v>10003</v>
      </c>
      <c r="X64" s="4" t="s">
        <v>117</v>
      </c>
      <c r="Y64" s="4">
        <v>101400</v>
      </c>
      <c r="Z64" s="4">
        <v>11014</v>
      </c>
      <c r="AA64" s="39">
        <v>400000</v>
      </c>
      <c r="AB64" s="62" t="s">
        <v>391</v>
      </c>
      <c r="AC64" s="4">
        <v>67</v>
      </c>
      <c r="AD64" s="4">
        <v>1</v>
      </c>
      <c r="AE64" s="4" t="s">
        <v>118</v>
      </c>
      <c r="AF64" s="4" t="s">
        <v>407</v>
      </c>
      <c r="AG64" s="4" t="s">
        <v>120</v>
      </c>
      <c r="AH64" s="4" t="s">
        <v>408</v>
      </c>
      <c r="AI64" s="4" t="s">
        <v>122</v>
      </c>
      <c r="AJ64" s="4" t="s">
        <v>409</v>
      </c>
    </row>
    <row r="65" spans="1:36">
      <c r="A65" s="48">
        <v>100030105</v>
      </c>
      <c r="B65" s="48">
        <v>1</v>
      </c>
      <c r="C65" s="48" t="s">
        <v>44</v>
      </c>
      <c r="D65" s="4">
        <v>1000301</v>
      </c>
      <c r="E65" s="4">
        <v>5</v>
      </c>
      <c r="G65" s="4" t="s">
        <v>410</v>
      </c>
      <c r="J65" s="4">
        <v>67</v>
      </c>
      <c r="K65" s="36" t="s">
        <v>46</v>
      </c>
      <c r="L65" s="37">
        <v>11003</v>
      </c>
      <c r="M65" s="37" t="s">
        <v>411</v>
      </c>
      <c r="O65" s="49"/>
      <c r="P65" s="49"/>
      <c r="Q65" t="b">
        <v>0</v>
      </c>
      <c r="R65" s="49"/>
      <c r="S65" s="49">
        <v>72005</v>
      </c>
      <c r="T65" s="49"/>
      <c r="U65" s="4" t="s">
        <v>412</v>
      </c>
      <c r="V65" s="4" t="s">
        <v>127</v>
      </c>
      <c r="W65" s="4">
        <v>10003</v>
      </c>
      <c r="X65" s="4" t="s">
        <v>413</v>
      </c>
      <c r="Y65" s="4">
        <v>0</v>
      </c>
      <c r="Z65" s="4">
        <v>11003</v>
      </c>
      <c r="AA65" s="39">
        <v>400000</v>
      </c>
      <c r="AB65" s="62" t="s">
        <v>391</v>
      </c>
      <c r="AC65" s="4">
        <v>67</v>
      </c>
      <c r="AD65" s="4">
        <v>1</v>
      </c>
      <c r="AE65" s="4" t="s">
        <v>129</v>
      </c>
      <c r="AF65" s="4" t="s">
        <v>414</v>
      </c>
      <c r="AG65" s="4" t="s">
        <v>131</v>
      </c>
      <c r="AH65" s="4" t="s">
        <v>415</v>
      </c>
      <c r="AI65" s="4" t="s">
        <v>133</v>
      </c>
      <c r="AJ65" s="4" t="s">
        <v>416</v>
      </c>
    </row>
    <row r="66" spans="1:36">
      <c r="A66" s="48">
        <v>100030106</v>
      </c>
      <c r="B66" s="48">
        <v>1</v>
      </c>
      <c r="C66" s="48" t="s">
        <v>44</v>
      </c>
      <c r="D66" s="4">
        <v>1000301</v>
      </c>
      <c r="E66" s="4">
        <v>6</v>
      </c>
      <c r="G66" s="4" t="s">
        <v>417</v>
      </c>
      <c r="J66" s="4">
        <v>67</v>
      </c>
      <c r="K66" s="36" t="s">
        <v>46</v>
      </c>
      <c r="L66" s="37">
        <v>11017</v>
      </c>
      <c r="M66" s="37" t="s">
        <v>136</v>
      </c>
      <c r="Q66" t="b">
        <v>0</v>
      </c>
      <c r="S66" s="38">
        <v>72006</v>
      </c>
      <c r="U66" s="4" t="s">
        <v>418</v>
      </c>
      <c r="V66" s="4" t="s">
        <v>390</v>
      </c>
      <c r="W66" s="4">
        <v>10003</v>
      </c>
      <c r="X66" s="4" t="s">
        <v>138</v>
      </c>
      <c r="Y66" s="4">
        <v>101700</v>
      </c>
      <c r="Z66" s="4">
        <v>11017</v>
      </c>
      <c r="AA66" s="39">
        <v>400000</v>
      </c>
      <c r="AB66" s="62" t="s">
        <v>391</v>
      </c>
      <c r="AC66" s="4">
        <v>67</v>
      </c>
      <c r="AD66" s="4">
        <v>1</v>
      </c>
      <c r="AE66" s="4" t="s">
        <v>139</v>
      </c>
      <c r="AF66" s="4" t="s">
        <v>419</v>
      </c>
      <c r="AG66" s="4" t="s">
        <v>141</v>
      </c>
      <c r="AH66" s="4" t="s">
        <v>420</v>
      </c>
      <c r="AI66" s="4" t="s">
        <v>143</v>
      </c>
      <c r="AJ66" s="4" t="s">
        <v>421</v>
      </c>
    </row>
    <row r="67" spans="1:36">
      <c r="A67" s="48">
        <v>100030107</v>
      </c>
      <c r="B67" s="48">
        <v>1</v>
      </c>
      <c r="C67" s="48" t="s">
        <v>44</v>
      </c>
      <c r="D67" s="4">
        <v>1000301</v>
      </c>
      <c r="E67" s="4">
        <v>7</v>
      </c>
      <c r="G67" s="4" t="s">
        <v>422</v>
      </c>
      <c r="J67" s="4">
        <v>67</v>
      </c>
      <c r="K67" s="36" t="s">
        <v>46</v>
      </c>
      <c r="L67" s="37">
        <v>11021</v>
      </c>
      <c r="M67" s="37" t="s">
        <v>146</v>
      </c>
      <c r="Q67" t="b">
        <v>0</v>
      </c>
      <c r="S67" s="38">
        <v>72007</v>
      </c>
      <c r="U67" s="4" t="s">
        <v>423</v>
      </c>
      <c r="V67" s="4" t="s">
        <v>390</v>
      </c>
      <c r="W67" s="4">
        <v>10003</v>
      </c>
      <c r="X67" s="4" t="s">
        <v>148</v>
      </c>
      <c r="Y67" s="4">
        <v>102100</v>
      </c>
      <c r="Z67" s="4">
        <v>11021</v>
      </c>
      <c r="AA67" s="39">
        <v>400000</v>
      </c>
      <c r="AB67" s="62" t="s">
        <v>391</v>
      </c>
      <c r="AC67" s="4">
        <v>67</v>
      </c>
      <c r="AD67" s="4">
        <v>1</v>
      </c>
      <c r="AE67" s="4" t="s">
        <v>149</v>
      </c>
      <c r="AF67" s="4" t="s">
        <v>424</v>
      </c>
      <c r="AG67" s="4" t="s">
        <v>151</v>
      </c>
      <c r="AH67" s="4" t="s">
        <v>425</v>
      </c>
      <c r="AI67" s="4" t="s">
        <v>153</v>
      </c>
      <c r="AJ67" s="4" t="s">
        <v>426</v>
      </c>
    </row>
    <row r="68" spans="1:36">
      <c r="A68" s="48">
        <v>100030108</v>
      </c>
      <c r="B68" s="48">
        <v>1</v>
      </c>
      <c r="C68" s="48" t="s">
        <v>44</v>
      </c>
      <c r="D68" s="4">
        <v>1000301</v>
      </c>
      <c r="E68" s="4">
        <v>8</v>
      </c>
      <c r="G68" s="4" t="s">
        <v>427</v>
      </c>
      <c r="J68" s="4">
        <v>67</v>
      </c>
      <c r="K68" s="36" t="s">
        <v>46</v>
      </c>
      <c r="L68" s="37">
        <v>11022</v>
      </c>
      <c r="M68" s="37" t="s">
        <v>156</v>
      </c>
      <c r="Q68" t="b">
        <v>0</v>
      </c>
      <c r="S68" s="38">
        <v>72008</v>
      </c>
      <c r="U68" s="4" t="s">
        <v>428</v>
      </c>
      <c r="V68" s="4" t="s">
        <v>390</v>
      </c>
      <c r="W68" s="4">
        <v>10003</v>
      </c>
      <c r="X68" s="4" t="s">
        <v>158</v>
      </c>
      <c r="Y68" s="4">
        <v>102200</v>
      </c>
      <c r="Z68" s="4">
        <v>11022</v>
      </c>
      <c r="AA68" s="39">
        <v>400000</v>
      </c>
      <c r="AB68" s="62" t="s">
        <v>391</v>
      </c>
      <c r="AC68" s="4">
        <v>67</v>
      </c>
      <c r="AD68" s="4">
        <v>1</v>
      </c>
      <c r="AE68" s="4" t="s">
        <v>159</v>
      </c>
      <c r="AF68" s="4" t="s">
        <v>429</v>
      </c>
      <c r="AG68" s="4" t="s">
        <v>161</v>
      </c>
      <c r="AH68" s="4" t="s">
        <v>430</v>
      </c>
      <c r="AI68" s="4" t="s">
        <v>159</v>
      </c>
      <c r="AJ68" s="4" t="s">
        <v>431</v>
      </c>
    </row>
    <row r="69" spans="1:36">
      <c r="A69" s="48">
        <v>100030109</v>
      </c>
      <c r="B69" s="48">
        <v>1</v>
      </c>
      <c r="C69" s="48" t="s">
        <v>44</v>
      </c>
      <c r="D69" s="4">
        <v>1000301</v>
      </c>
      <c r="E69" s="4">
        <v>9</v>
      </c>
      <c r="G69" s="4" t="s">
        <v>432</v>
      </c>
      <c r="J69" s="4">
        <v>67</v>
      </c>
      <c r="K69" s="36" t="s">
        <v>46</v>
      </c>
      <c r="L69" s="37">
        <v>11023</v>
      </c>
      <c r="M69" s="37" t="s">
        <v>165</v>
      </c>
      <c r="Q69" t="b">
        <v>0</v>
      </c>
      <c r="S69" s="38">
        <v>72009</v>
      </c>
      <c r="U69" s="4" t="s">
        <v>433</v>
      </c>
      <c r="V69" s="4" t="s">
        <v>390</v>
      </c>
      <c r="W69" s="4">
        <v>10003</v>
      </c>
      <c r="X69" s="4" t="s">
        <v>167</v>
      </c>
      <c r="Y69" s="4">
        <v>102300</v>
      </c>
      <c r="Z69" s="4">
        <v>11023</v>
      </c>
      <c r="AA69" s="39">
        <v>400000</v>
      </c>
      <c r="AB69" s="62" t="s">
        <v>391</v>
      </c>
      <c r="AC69" s="4">
        <v>67</v>
      </c>
      <c r="AD69" s="4">
        <v>1</v>
      </c>
      <c r="AE69" s="4" t="s">
        <v>168</v>
      </c>
      <c r="AF69" s="4" t="s">
        <v>434</v>
      </c>
      <c r="AG69" s="4" t="s">
        <v>170</v>
      </c>
      <c r="AH69" s="4" t="s">
        <v>435</v>
      </c>
      <c r="AI69" s="4" t="s">
        <v>172</v>
      </c>
      <c r="AJ69" s="4" t="s">
        <v>436</v>
      </c>
    </row>
    <row r="70" spans="1:36">
      <c r="A70" s="48">
        <v>100030110</v>
      </c>
      <c r="B70" s="48">
        <v>1</v>
      </c>
      <c r="C70" s="48" t="s">
        <v>44</v>
      </c>
      <c r="D70" s="4">
        <v>1000301</v>
      </c>
      <c r="E70" s="4">
        <v>10</v>
      </c>
      <c r="G70" s="4" t="s">
        <v>437</v>
      </c>
      <c r="J70" s="4">
        <v>67</v>
      </c>
      <c r="K70" s="36" t="s">
        <v>46</v>
      </c>
      <c r="L70" s="37">
        <v>11024</v>
      </c>
      <c r="M70" s="37" t="s">
        <v>175</v>
      </c>
      <c r="Q70" t="b">
        <v>0</v>
      </c>
      <c r="S70" s="38">
        <v>72010</v>
      </c>
      <c r="U70" s="4" t="s">
        <v>438</v>
      </c>
      <c r="V70" s="4" t="s">
        <v>390</v>
      </c>
      <c r="W70" s="4">
        <v>10003</v>
      </c>
      <c r="X70" s="4" t="s">
        <v>177</v>
      </c>
      <c r="Y70" s="4">
        <v>102400</v>
      </c>
      <c r="Z70" s="4">
        <v>11024</v>
      </c>
      <c r="AA70" s="39">
        <v>400000</v>
      </c>
      <c r="AB70" s="62" t="s">
        <v>391</v>
      </c>
      <c r="AC70" s="4">
        <v>67</v>
      </c>
      <c r="AD70" s="4">
        <v>1</v>
      </c>
      <c r="AE70" s="4" t="s">
        <v>178</v>
      </c>
      <c r="AF70" s="4" t="s">
        <v>439</v>
      </c>
      <c r="AG70" s="4" t="s">
        <v>180</v>
      </c>
      <c r="AH70" s="4" t="s">
        <v>440</v>
      </c>
      <c r="AI70" s="4" t="s">
        <v>182</v>
      </c>
      <c r="AJ70" s="4" t="s">
        <v>441</v>
      </c>
    </row>
    <row r="71" spans="1:36">
      <c r="A71" s="48">
        <v>100030201</v>
      </c>
      <c r="B71" s="48">
        <v>1</v>
      </c>
      <c r="C71" s="48" t="s">
        <v>44</v>
      </c>
      <c r="D71" s="4">
        <v>1000302</v>
      </c>
      <c r="E71" s="4">
        <v>1</v>
      </c>
      <c r="G71" s="4" t="s">
        <v>442</v>
      </c>
      <c r="J71" s="4">
        <v>133</v>
      </c>
      <c r="K71" s="36" t="s">
        <v>46</v>
      </c>
      <c r="L71" s="37">
        <v>11007</v>
      </c>
      <c r="M71" s="37" t="s">
        <v>85</v>
      </c>
      <c r="O71" s="49"/>
      <c r="P71" s="49"/>
      <c r="Q71" t="b">
        <v>0</v>
      </c>
      <c r="R71" s="49"/>
      <c r="S71" s="49">
        <v>72201</v>
      </c>
      <c r="T71" s="49"/>
      <c r="U71" s="4" t="s">
        <v>443</v>
      </c>
      <c r="V71" s="4" t="s">
        <v>390</v>
      </c>
      <c r="W71" s="4">
        <v>10003</v>
      </c>
      <c r="X71" s="4" t="s">
        <v>88</v>
      </c>
      <c r="Y71" s="4">
        <v>100700</v>
      </c>
      <c r="Z71" s="4">
        <v>11007</v>
      </c>
      <c r="AA71" s="39">
        <v>800000</v>
      </c>
      <c r="AB71" s="62" t="s">
        <v>444</v>
      </c>
      <c r="AC71" s="4">
        <v>133</v>
      </c>
      <c r="AD71" s="4">
        <v>2</v>
      </c>
      <c r="AE71" s="4" t="s">
        <v>90</v>
      </c>
      <c r="AF71" s="4" t="s">
        <v>445</v>
      </c>
      <c r="AG71" s="4" t="s">
        <v>92</v>
      </c>
      <c r="AH71" s="4" t="s">
        <v>446</v>
      </c>
      <c r="AI71" s="4" t="s">
        <v>94</v>
      </c>
      <c r="AJ71" s="4" t="s">
        <v>447</v>
      </c>
    </row>
    <row r="72" spans="1:36">
      <c r="A72" s="48">
        <v>100030202</v>
      </c>
      <c r="B72" s="48">
        <v>1</v>
      </c>
      <c r="C72" s="48" t="s">
        <v>44</v>
      </c>
      <c r="D72" s="4">
        <v>1000302</v>
      </c>
      <c r="E72" s="4">
        <v>2</v>
      </c>
      <c r="G72" s="4" t="s">
        <v>448</v>
      </c>
      <c r="J72" s="4">
        <v>133</v>
      </c>
      <c r="K72" s="36" t="s">
        <v>46</v>
      </c>
      <c r="L72" s="37">
        <v>11003</v>
      </c>
      <c r="M72" s="37" t="s">
        <v>97</v>
      </c>
      <c r="O72" s="49"/>
      <c r="P72" s="49"/>
      <c r="Q72" t="b">
        <v>0</v>
      </c>
      <c r="R72" s="49"/>
      <c r="S72" s="49">
        <v>72202</v>
      </c>
      <c r="T72" s="49"/>
      <c r="U72" s="4" t="s">
        <v>449</v>
      </c>
      <c r="V72" s="4" t="s">
        <v>390</v>
      </c>
      <c r="W72" s="4">
        <v>10003</v>
      </c>
      <c r="X72" s="4" t="s">
        <v>99</v>
      </c>
      <c r="Y72" s="4">
        <v>100300</v>
      </c>
      <c r="Z72" s="4">
        <v>11003</v>
      </c>
      <c r="AA72" s="39">
        <v>800000</v>
      </c>
      <c r="AB72" s="62" t="s">
        <v>444</v>
      </c>
      <c r="AC72" s="4">
        <v>133</v>
      </c>
      <c r="AD72" s="4">
        <v>2</v>
      </c>
      <c r="AE72" s="4" t="s">
        <v>100</v>
      </c>
      <c r="AF72" s="4" t="s">
        <v>450</v>
      </c>
      <c r="AG72" s="4" t="s">
        <v>102</v>
      </c>
      <c r="AH72" s="4" t="s">
        <v>451</v>
      </c>
      <c r="AI72" s="4" t="s">
        <v>100</v>
      </c>
      <c r="AJ72" s="4" t="s">
        <v>452</v>
      </c>
    </row>
    <row r="73" spans="1:36">
      <c r="A73" s="48">
        <v>100030203</v>
      </c>
      <c r="B73" s="48">
        <v>1</v>
      </c>
      <c r="C73" s="48" t="s">
        <v>44</v>
      </c>
      <c r="D73" s="4">
        <v>1000302</v>
      </c>
      <c r="E73" s="4">
        <v>3</v>
      </c>
      <c r="G73" s="4" t="s">
        <v>453</v>
      </c>
      <c r="J73" s="4">
        <v>133</v>
      </c>
      <c r="K73" s="36" t="s">
        <v>46</v>
      </c>
      <c r="L73" s="37">
        <v>11012</v>
      </c>
      <c r="M73" s="37" t="s">
        <v>106</v>
      </c>
      <c r="O73" s="49"/>
      <c r="P73" s="49"/>
      <c r="Q73" t="b">
        <v>0</v>
      </c>
      <c r="R73" s="49"/>
      <c r="S73" s="49">
        <v>72203</v>
      </c>
      <c r="T73" s="49"/>
      <c r="U73" s="4" t="s">
        <v>454</v>
      </c>
      <c r="V73" s="4" t="s">
        <v>390</v>
      </c>
      <c r="W73" s="4">
        <v>10003</v>
      </c>
      <c r="X73" s="4" t="s">
        <v>108</v>
      </c>
      <c r="Y73" s="4">
        <v>101200</v>
      </c>
      <c r="Z73" s="4">
        <v>11012</v>
      </c>
      <c r="AA73" s="39">
        <v>800000</v>
      </c>
      <c r="AB73" s="62" t="s">
        <v>444</v>
      </c>
      <c r="AC73" s="4">
        <v>133</v>
      </c>
      <c r="AD73" s="4">
        <v>2</v>
      </c>
      <c r="AE73" s="4" t="s">
        <v>109</v>
      </c>
      <c r="AF73" s="4" t="s">
        <v>455</v>
      </c>
      <c r="AG73" s="4" t="s">
        <v>111</v>
      </c>
      <c r="AH73" s="4" t="s">
        <v>456</v>
      </c>
      <c r="AI73" s="4" t="s">
        <v>109</v>
      </c>
      <c r="AJ73" s="4" t="s">
        <v>457</v>
      </c>
    </row>
    <row r="74" spans="1:36">
      <c r="A74" s="48">
        <v>100030204</v>
      </c>
      <c r="B74" s="48">
        <v>1</v>
      </c>
      <c r="C74" s="48" t="s">
        <v>44</v>
      </c>
      <c r="D74" s="4">
        <v>1000302</v>
      </c>
      <c r="E74" s="4">
        <v>4</v>
      </c>
      <c r="G74" s="4" t="s">
        <v>458</v>
      </c>
      <c r="J74" s="4">
        <v>133</v>
      </c>
      <c r="K74" s="36" t="s">
        <v>46</v>
      </c>
      <c r="L74" s="37">
        <v>11014</v>
      </c>
      <c r="M74" s="37" t="s">
        <v>115</v>
      </c>
      <c r="O74" s="49"/>
      <c r="P74" s="49"/>
      <c r="Q74" t="b">
        <v>0</v>
      </c>
      <c r="R74" s="49"/>
      <c r="S74" s="49">
        <v>72204</v>
      </c>
      <c r="T74" s="49"/>
      <c r="U74" s="4" t="s">
        <v>459</v>
      </c>
      <c r="V74" s="4" t="s">
        <v>390</v>
      </c>
      <c r="W74" s="4">
        <v>10003</v>
      </c>
      <c r="X74" s="4" t="s">
        <v>117</v>
      </c>
      <c r="Y74" s="4">
        <v>101400</v>
      </c>
      <c r="Z74" s="4">
        <v>11014</v>
      </c>
      <c r="AA74" s="39">
        <v>800000</v>
      </c>
      <c r="AB74" s="62" t="s">
        <v>444</v>
      </c>
      <c r="AC74" s="4">
        <v>133</v>
      </c>
      <c r="AD74" s="4">
        <v>2</v>
      </c>
      <c r="AE74" s="4" t="s">
        <v>118</v>
      </c>
      <c r="AF74" s="4" t="s">
        <v>460</v>
      </c>
      <c r="AG74" s="4" t="s">
        <v>120</v>
      </c>
      <c r="AH74" s="4" t="s">
        <v>461</v>
      </c>
      <c r="AI74" s="4" t="s">
        <v>122</v>
      </c>
      <c r="AJ74" s="4" t="s">
        <v>462</v>
      </c>
    </row>
    <row r="75" spans="1:36">
      <c r="A75" s="48">
        <v>100030205</v>
      </c>
      <c r="B75" s="48">
        <v>1</v>
      </c>
      <c r="C75" s="48" t="s">
        <v>44</v>
      </c>
      <c r="D75" s="4">
        <v>1000302</v>
      </c>
      <c r="E75" s="4">
        <v>5</v>
      </c>
      <c r="G75" s="4" t="s">
        <v>463</v>
      </c>
      <c r="J75" s="4">
        <v>133</v>
      </c>
      <c r="K75" s="36" t="s">
        <v>46</v>
      </c>
      <c r="L75" s="37">
        <v>11003</v>
      </c>
      <c r="M75" s="37" t="s">
        <v>411</v>
      </c>
      <c r="O75" s="49"/>
      <c r="P75" s="49"/>
      <c r="Q75" t="b">
        <v>0</v>
      </c>
      <c r="R75" s="49"/>
      <c r="S75" s="49">
        <v>72205</v>
      </c>
      <c r="T75" s="49"/>
      <c r="U75" s="4" t="s">
        <v>464</v>
      </c>
      <c r="V75" s="4" t="s">
        <v>127</v>
      </c>
      <c r="W75" s="4">
        <v>10003</v>
      </c>
      <c r="X75" s="4" t="s">
        <v>413</v>
      </c>
      <c r="Y75" s="4">
        <v>0</v>
      </c>
      <c r="Z75" s="4">
        <v>11003</v>
      </c>
      <c r="AA75" s="39">
        <v>800000</v>
      </c>
      <c r="AB75" s="62" t="s">
        <v>444</v>
      </c>
      <c r="AC75" s="4">
        <v>133</v>
      </c>
      <c r="AD75" s="4">
        <v>2</v>
      </c>
      <c r="AE75" s="4" t="s">
        <v>129</v>
      </c>
      <c r="AF75" s="4" t="s">
        <v>465</v>
      </c>
      <c r="AG75" s="4" t="s">
        <v>131</v>
      </c>
      <c r="AH75" s="4" t="s">
        <v>466</v>
      </c>
      <c r="AI75" s="4" t="s">
        <v>133</v>
      </c>
      <c r="AJ75" s="4" t="s">
        <v>467</v>
      </c>
    </row>
    <row r="76" spans="1:36">
      <c r="A76" s="48">
        <v>100030206</v>
      </c>
      <c r="B76" s="48">
        <v>1</v>
      </c>
      <c r="C76" s="48" t="s">
        <v>44</v>
      </c>
      <c r="D76" s="4">
        <v>1000302</v>
      </c>
      <c r="E76" s="4">
        <v>6</v>
      </c>
      <c r="G76" s="4" t="s">
        <v>468</v>
      </c>
      <c r="J76" s="4">
        <v>133</v>
      </c>
      <c r="K76" s="36" t="s">
        <v>46</v>
      </c>
      <c r="L76" s="37">
        <v>11017</v>
      </c>
      <c r="M76" s="37" t="s">
        <v>136</v>
      </c>
      <c r="Q76" t="b">
        <v>0</v>
      </c>
      <c r="S76" s="38">
        <v>72206</v>
      </c>
      <c r="U76" s="4" t="s">
        <v>469</v>
      </c>
      <c r="V76" s="4" t="s">
        <v>390</v>
      </c>
      <c r="W76" s="4">
        <v>10003</v>
      </c>
      <c r="X76" s="4" t="s">
        <v>138</v>
      </c>
      <c r="Y76" s="4">
        <v>101700</v>
      </c>
      <c r="Z76" s="4">
        <v>11017</v>
      </c>
      <c r="AA76" s="39">
        <v>800000</v>
      </c>
      <c r="AB76" s="62" t="s">
        <v>444</v>
      </c>
      <c r="AC76" s="4">
        <v>133</v>
      </c>
      <c r="AD76" s="4">
        <v>2</v>
      </c>
      <c r="AE76" s="4" t="s">
        <v>139</v>
      </c>
      <c r="AF76" s="4" t="s">
        <v>470</v>
      </c>
      <c r="AG76" s="4" t="s">
        <v>141</v>
      </c>
      <c r="AH76" s="4" t="s">
        <v>471</v>
      </c>
      <c r="AI76" s="4" t="s">
        <v>143</v>
      </c>
      <c r="AJ76" s="4" t="s">
        <v>472</v>
      </c>
    </row>
    <row r="77" spans="1:36">
      <c r="A77" s="48">
        <v>100030207</v>
      </c>
      <c r="B77" s="48">
        <v>1</v>
      </c>
      <c r="C77" s="48" t="s">
        <v>44</v>
      </c>
      <c r="D77" s="4">
        <v>1000302</v>
      </c>
      <c r="E77" s="4">
        <v>7</v>
      </c>
      <c r="G77" s="4" t="s">
        <v>473</v>
      </c>
      <c r="J77" s="4">
        <v>133</v>
      </c>
      <c r="K77" s="36" t="s">
        <v>46</v>
      </c>
      <c r="L77" s="37">
        <v>11021</v>
      </c>
      <c r="M77" s="37" t="s">
        <v>146</v>
      </c>
      <c r="Q77" t="b">
        <v>0</v>
      </c>
      <c r="S77" s="38">
        <v>72207</v>
      </c>
      <c r="U77" s="4" t="s">
        <v>474</v>
      </c>
      <c r="V77" s="4" t="s">
        <v>390</v>
      </c>
      <c r="W77" s="4">
        <v>10003</v>
      </c>
      <c r="X77" s="4" t="s">
        <v>148</v>
      </c>
      <c r="Y77" s="4">
        <v>102100</v>
      </c>
      <c r="Z77" s="4">
        <v>11021</v>
      </c>
      <c r="AA77" s="39">
        <v>800000</v>
      </c>
      <c r="AB77" s="62" t="s">
        <v>444</v>
      </c>
      <c r="AC77" s="4">
        <v>133</v>
      </c>
      <c r="AD77" s="4">
        <v>2</v>
      </c>
      <c r="AE77" s="4" t="s">
        <v>149</v>
      </c>
      <c r="AF77" s="4" t="s">
        <v>475</v>
      </c>
      <c r="AG77" s="4" t="s">
        <v>151</v>
      </c>
      <c r="AH77" s="4" t="s">
        <v>476</v>
      </c>
      <c r="AI77" s="4" t="s">
        <v>153</v>
      </c>
      <c r="AJ77" s="4" t="s">
        <v>477</v>
      </c>
    </row>
    <row r="78" spans="1:36">
      <c r="A78" s="48">
        <v>100030208</v>
      </c>
      <c r="B78" s="48">
        <v>1</v>
      </c>
      <c r="C78" s="48" t="s">
        <v>44</v>
      </c>
      <c r="D78" s="4">
        <v>1000302</v>
      </c>
      <c r="E78" s="4">
        <v>8</v>
      </c>
      <c r="G78" s="4" t="s">
        <v>478</v>
      </c>
      <c r="J78" s="4">
        <v>133</v>
      </c>
      <c r="K78" s="36" t="s">
        <v>46</v>
      </c>
      <c r="L78" s="37">
        <v>11022</v>
      </c>
      <c r="M78" s="37" t="s">
        <v>156</v>
      </c>
      <c r="Q78" t="b">
        <v>0</v>
      </c>
      <c r="S78" s="38">
        <v>72208</v>
      </c>
      <c r="U78" s="4" t="s">
        <v>479</v>
      </c>
      <c r="V78" s="4" t="s">
        <v>390</v>
      </c>
      <c r="W78" s="4">
        <v>10003</v>
      </c>
      <c r="X78" s="4" t="s">
        <v>158</v>
      </c>
      <c r="Y78" s="4">
        <v>102200</v>
      </c>
      <c r="Z78" s="4">
        <v>11022</v>
      </c>
      <c r="AA78" s="39">
        <v>800000</v>
      </c>
      <c r="AB78" s="62" t="s">
        <v>444</v>
      </c>
      <c r="AC78" s="4">
        <v>133</v>
      </c>
      <c r="AD78" s="4">
        <v>2</v>
      </c>
      <c r="AE78" s="4" t="s">
        <v>159</v>
      </c>
      <c r="AF78" s="4" t="s">
        <v>480</v>
      </c>
      <c r="AG78" s="4" t="s">
        <v>161</v>
      </c>
      <c r="AH78" s="4" t="s">
        <v>481</v>
      </c>
      <c r="AI78" s="4" t="s">
        <v>159</v>
      </c>
      <c r="AJ78" s="4" t="s">
        <v>482</v>
      </c>
    </row>
    <row r="79" spans="1:36">
      <c r="A79" s="48">
        <v>100030209</v>
      </c>
      <c r="B79" s="48">
        <v>1</v>
      </c>
      <c r="C79" s="48" t="s">
        <v>44</v>
      </c>
      <c r="D79" s="4">
        <v>1000302</v>
      </c>
      <c r="E79" s="4">
        <v>9</v>
      </c>
      <c r="G79" s="4" t="s">
        <v>483</v>
      </c>
      <c r="J79" s="4">
        <v>133</v>
      </c>
      <c r="K79" s="36" t="s">
        <v>46</v>
      </c>
      <c r="L79" s="37">
        <v>11023</v>
      </c>
      <c r="M79" s="37" t="s">
        <v>165</v>
      </c>
      <c r="Q79" t="b">
        <v>0</v>
      </c>
      <c r="S79" s="38">
        <v>72209</v>
      </c>
      <c r="U79" s="4" t="s">
        <v>484</v>
      </c>
      <c r="V79" s="4" t="s">
        <v>390</v>
      </c>
      <c r="W79" s="4">
        <v>10003</v>
      </c>
      <c r="X79" s="4" t="s">
        <v>167</v>
      </c>
      <c r="Y79" s="4">
        <v>102300</v>
      </c>
      <c r="Z79" s="4">
        <v>11023</v>
      </c>
      <c r="AA79" s="39">
        <v>800000</v>
      </c>
      <c r="AB79" s="62" t="s">
        <v>444</v>
      </c>
      <c r="AC79" s="4">
        <v>133</v>
      </c>
      <c r="AD79" s="4">
        <v>2</v>
      </c>
      <c r="AE79" s="4" t="s">
        <v>168</v>
      </c>
      <c r="AF79" s="4" t="s">
        <v>485</v>
      </c>
      <c r="AG79" s="4" t="s">
        <v>170</v>
      </c>
      <c r="AH79" s="4" t="s">
        <v>486</v>
      </c>
      <c r="AI79" s="4" t="s">
        <v>172</v>
      </c>
      <c r="AJ79" s="4" t="s">
        <v>487</v>
      </c>
    </row>
    <row r="80" spans="1:36">
      <c r="A80" s="48">
        <v>100030210</v>
      </c>
      <c r="B80" s="48">
        <v>1</v>
      </c>
      <c r="C80" s="48" t="s">
        <v>44</v>
      </c>
      <c r="D80" s="4">
        <v>1000302</v>
      </c>
      <c r="E80" s="4">
        <v>10</v>
      </c>
      <c r="G80" s="4" t="s">
        <v>488</v>
      </c>
      <c r="J80" s="4">
        <v>133</v>
      </c>
      <c r="K80" s="36" t="s">
        <v>46</v>
      </c>
      <c r="L80" s="37">
        <v>11024</v>
      </c>
      <c r="M80" s="37" t="s">
        <v>175</v>
      </c>
      <c r="Q80" t="b">
        <v>0</v>
      </c>
      <c r="S80" s="38">
        <v>72210</v>
      </c>
      <c r="U80" s="4" t="s">
        <v>489</v>
      </c>
      <c r="V80" s="4" t="s">
        <v>390</v>
      </c>
      <c r="W80" s="4">
        <v>10003</v>
      </c>
      <c r="X80" s="4" t="s">
        <v>177</v>
      </c>
      <c r="Y80" s="4">
        <v>102400</v>
      </c>
      <c r="Z80" s="4">
        <v>11024</v>
      </c>
      <c r="AA80" s="39">
        <v>800000</v>
      </c>
      <c r="AB80" s="62" t="s">
        <v>444</v>
      </c>
      <c r="AC80" s="4">
        <v>133</v>
      </c>
      <c r="AD80" s="4">
        <v>2</v>
      </c>
      <c r="AE80" s="4" t="s">
        <v>178</v>
      </c>
      <c r="AF80" s="4" t="s">
        <v>490</v>
      </c>
      <c r="AG80" s="4" t="s">
        <v>180</v>
      </c>
      <c r="AH80" s="4" t="s">
        <v>491</v>
      </c>
      <c r="AI80" s="4" t="s">
        <v>182</v>
      </c>
      <c r="AJ80" s="4" t="s">
        <v>492</v>
      </c>
    </row>
    <row r="81" spans="1:36">
      <c r="A81" s="48">
        <v>100030301</v>
      </c>
      <c r="B81" s="48">
        <v>1</v>
      </c>
      <c r="C81" s="48" t="s">
        <v>44</v>
      </c>
      <c r="D81" s="4">
        <v>1000303</v>
      </c>
      <c r="E81" s="4">
        <v>1</v>
      </c>
      <c r="G81" s="4" t="s">
        <v>493</v>
      </c>
      <c r="J81" s="4">
        <v>333</v>
      </c>
      <c r="K81" s="36" t="s">
        <v>46</v>
      </c>
      <c r="L81" s="37">
        <v>11007</v>
      </c>
      <c r="M81" s="37" t="s">
        <v>85</v>
      </c>
      <c r="O81" s="49"/>
      <c r="P81" s="49"/>
      <c r="Q81" t="b">
        <v>0</v>
      </c>
      <c r="R81" s="49"/>
      <c r="S81" s="49">
        <v>72301</v>
      </c>
      <c r="T81" s="49"/>
      <c r="U81" s="4" t="s">
        <v>494</v>
      </c>
      <c r="V81" s="4" t="s">
        <v>390</v>
      </c>
      <c r="W81" s="4">
        <v>10003</v>
      </c>
      <c r="X81" s="4" t="s">
        <v>88</v>
      </c>
      <c r="Y81" s="4">
        <v>100700</v>
      </c>
      <c r="Z81" s="4">
        <v>11007</v>
      </c>
      <c r="AA81" s="39">
        <v>2000000</v>
      </c>
      <c r="AB81" s="62" t="s">
        <v>495</v>
      </c>
      <c r="AC81" s="4">
        <v>333</v>
      </c>
      <c r="AD81" s="4">
        <v>3</v>
      </c>
      <c r="AE81" s="4" t="s">
        <v>90</v>
      </c>
      <c r="AF81" s="4" t="s">
        <v>496</v>
      </c>
      <c r="AG81" s="4" t="s">
        <v>92</v>
      </c>
      <c r="AH81" s="4" t="s">
        <v>497</v>
      </c>
      <c r="AI81" s="4" t="s">
        <v>94</v>
      </c>
      <c r="AJ81" s="4" t="s">
        <v>498</v>
      </c>
    </row>
    <row r="82" spans="1:36">
      <c r="A82" s="48">
        <v>100030302</v>
      </c>
      <c r="B82" s="48">
        <v>1</v>
      </c>
      <c r="C82" s="48" t="s">
        <v>44</v>
      </c>
      <c r="D82" s="4">
        <v>1000303</v>
      </c>
      <c r="E82" s="4">
        <v>2</v>
      </c>
      <c r="G82" s="4" t="s">
        <v>499</v>
      </c>
      <c r="J82" s="4">
        <v>333</v>
      </c>
      <c r="K82" s="36" t="s">
        <v>46</v>
      </c>
      <c r="L82" s="37">
        <v>11003</v>
      </c>
      <c r="M82" s="37" t="s">
        <v>97</v>
      </c>
      <c r="O82" s="49"/>
      <c r="P82" s="49"/>
      <c r="Q82" t="b">
        <v>0</v>
      </c>
      <c r="R82" s="49"/>
      <c r="S82" s="49">
        <v>72302</v>
      </c>
      <c r="T82" s="49"/>
      <c r="U82" s="4" t="s">
        <v>500</v>
      </c>
      <c r="V82" s="4" t="s">
        <v>390</v>
      </c>
      <c r="W82" s="4">
        <v>10003</v>
      </c>
      <c r="X82" s="4" t="s">
        <v>99</v>
      </c>
      <c r="Y82" s="4">
        <v>100300</v>
      </c>
      <c r="Z82" s="4">
        <v>11003</v>
      </c>
      <c r="AA82" s="39">
        <v>2000000</v>
      </c>
      <c r="AB82" s="62" t="s">
        <v>495</v>
      </c>
      <c r="AC82" s="4">
        <v>333</v>
      </c>
      <c r="AD82" s="4">
        <v>3</v>
      </c>
      <c r="AE82" s="4" t="s">
        <v>100</v>
      </c>
      <c r="AF82" s="4" t="s">
        <v>501</v>
      </c>
      <c r="AG82" s="4" t="s">
        <v>102</v>
      </c>
      <c r="AH82" s="4" t="s">
        <v>502</v>
      </c>
      <c r="AI82" s="4" t="s">
        <v>100</v>
      </c>
      <c r="AJ82" s="4" t="s">
        <v>503</v>
      </c>
    </row>
    <row r="83" spans="1:36">
      <c r="A83" s="48">
        <v>100030303</v>
      </c>
      <c r="B83" s="48">
        <v>1</v>
      </c>
      <c r="C83" s="48" t="s">
        <v>44</v>
      </c>
      <c r="D83" s="4">
        <v>1000303</v>
      </c>
      <c r="E83" s="4">
        <v>3</v>
      </c>
      <c r="G83" s="4" t="s">
        <v>504</v>
      </c>
      <c r="J83" s="4">
        <v>333</v>
      </c>
      <c r="K83" s="36" t="s">
        <v>46</v>
      </c>
      <c r="L83" s="37">
        <v>11012</v>
      </c>
      <c r="M83" s="37" t="s">
        <v>106</v>
      </c>
      <c r="O83" s="49"/>
      <c r="P83" s="49"/>
      <c r="Q83" t="b">
        <v>0</v>
      </c>
      <c r="R83" s="49"/>
      <c r="S83" s="49">
        <v>72303</v>
      </c>
      <c r="T83" s="49"/>
      <c r="U83" s="4" t="s">
        <v>505</v>
      </c>
      <c r="V83" s="4" t="s">
        <v>390</v>
      </c>
      <c r="W83" s="4">
        <v>10003</v>
      </c>
      <c r="X83" s="4" t="s">
        <v>108</v>
      </c>
      <c r="Y83" s="4">
        <v>101200</v>
      </c>
      <c r="Z83" s="4">
        <v>11012</v>
      </c>
      <c r="AA83" s="39">
        <v>2000000</v>
      </c>
      <c r="AB83" s="62" t="s">
        <v>495</v>
      </c>
      <c r="AC83" s="4">
        <v>333</v>
      </c>
      <c r="AD83" s="4">
        <v>3</v>
      </c>
      <c r="AE83" s="4" t="s">
        <v>109</v>
      </c>
      <c r="AF83" s="4" t="s">
        <v>506</v>
      </c>
      <c r="AG83" s="4" t="s">
        <v>111</v>
      </c>
      <c r="AH83" s="4" t="s">
        <v>507</v>
      </c>
      <c r="AI83" s="4" t="s">
        <v>109</v>
      </c>
      <c r="AJ83" s="4" t="s">
        <v>508</v>
      </c>
    </row>
    <row r="84" spans="1:36">
      <c r="A84" s="48">
        <v>100030304</v>
      </c>
      <c r="B84" s="48">
        <v>1</v>
      </c>
      <c r="C84" s="48" t="s">
        <v>44</v>
      </c>
      <c r="D84" s="4">
        <v>1000303</v>
      </c>
      <c r="E84" s="4">
        <v>4</v>
      </c>
      <c r="G84" s="4" t="s">
        <v>509</v>
      </c>
      <c r="J84" s="4">
        <v>333</v>
      </c>
      <c r="K84" s="36" t="s">
        <v>46</v>
      </c>
      <c r="L84" s="37">
        <v>11014</v>
      </c>
      <c r="M84" s="37" t="s">
        <v>115</v>
      </c>
      <c r="O84" s="49"/>
      <c r="P84" s="49"/>
      <c r="Q84" t="b">
        <v>0</v>
      </c>
      <c r="R84" s="49"/>
      <c r="S84" s="49">
        <v>72304</v>
      </c>
      <c r="T84" s="49"/>
      <c r="U84" s="4" t="s">
        <v>510</v>
      </c>
      <c r="V84" s="4" t="s">
        <v>390</v>
      </c>
      <c r="W84" s="4">
        <v>10003</v>
      </c>
      <c r="X84" s="4" t="s">
        <v>117</v>
      </c>
      <c r="Y84" s="4">
        <v>101400</v>
      </c>
      <c r="Z84" s="4">
        <v>11014</v>
      </c>
      <c r="AA84" s="39">
        <v>2000000</v>
      </c>
      <c r="AB84" s="62" t="s">
        <v>495</v>
      </c>
      <c r="AC84" s="4">
        <v>333</v>
      </c>
      <c r="AD84" s="4">
        <v>3</v>
      </c>
      <c r="AE84" s="4" t="s">
        <v>118</v>
      </c>
      <c r="AF84" s="4" t="s">
        <v>511</v>
      </c>
      <c r="AG84" s="4" t="s">
        <v>120</v>
      </c>
      <c r="AH84" s="4" t="s">
        <v>512</v>
      </c>
      <c r="AI84" s="4" t="s">
        <v>122</v>
      </c>
      <c r="AJ84" s="4" t="s">
        <v>513</v>
      </c>
    </row>
    <row r="85" spans="1:36">
      <c r="A85" s="48">
        <v>100030305</v>
      </c>
      <c r="B85" s="48">
        <v>1</v>
      </c>
      <c r="C85" s="48" t="s">
        <v>44</v>
      </c>
      <c r="D85" s="4">
        <v>1000303</v>
      </c>
      <c r="E85" s="4">
        <v>5</v>
      </c>
      <c r="G85" s="4" t="s">
        <v>514</v>
      </c>
      <c r="J85" s="4">
        <v>333</v>
      </c>
      <c r="K85" s="36" t="s">
        <v>46</v>
      </c>
      <c r="L85" s="37">
        <v>11003</v>
      </c>
      <c r="M85" s="37" t="s">
        <v>411</v>
      </c>
      <c r="O85" s="49"/>
      <c r="P85" s="49"/>
      <c r="Q85" t="b">
        <v>0</v>
      </c>
      <c r="R85" s="49"/>
      <c r="S85" s="49">
        <v>72305</v>
      </c>
      <c r="T85" s="49"/>
      <c r="U85" s="4" t="s">
        <v>515</v>
      </c>
      <c r="V85" s="4" t="s">
        <v>127</v>
      </c>
      <c r="W85" s="4">
        <v>10003</v>
      </c>
      <c r="X85" s="4" t="s">
        <v>413</v>
      </c>
      <c r="Y85" s="4">
        <v>0</v>
      </c>
      <c r="Z85" s="4">
        <v>11003</v>
      </c>
      <c r="AA85" s="39">
        <v>2000000</v>
      </c>
      <c r="AB85" s="62" t="s">
        <v>495</v>
      </c>
      <c r="AC85" s="4">
        <v>333</v>
      </c>
      <c r="AD85" s="4">
        <v>3</v>
      </c>
      <c r="AE85" s="4" t="s">
        <v>129</v>
      </c>
      <c r="AF85" s="4" t="s">
        <v>516</v>
      </c>
      <c r="AG85" s="4" t="s">
        <v>131</v>
      </c>
      <c r="AH85" s="4" t="s">
        <v>517</v>
      </c>
      <c r="AI85" s="4" t="s">
        <v>133</v>
      </c>
      <c r="AJ85" s="4" t="s">
        <v>518</v>
      </c>
    </row>
    <row r="86" spans="1:36">
      <c r="A86" s="48">
        <v>100030306</v>
      </c>
      <c r="B86" s="48">
        <v>1</v>
      </c>
      <c r="C86" s="48" t="s">
        <v>44</v>
      </c>
      <c r="D86" s="4">
        <v>1000303</v>
      </c>
      <c r="E86" s="4">
        <v>6</v>
      </c>
      <c r="G86" s="4" t="s">
        <v>519</v>
      </c>
      <c r="J86" s="4">
        <v>333</v>
      </c>
      <c r="K86" s="36" t="s">
        <v>46</v>
      </c>
      <c r="L86" s="37">
        <v>11017</v>
      </c>
      <c r="M86" s="37" t="s">
        <v>136</v>
      </c>
      <c r="Q86" t="b">
        <v>0</v>
      </c>
      <c r="S86" s="38">
        <v>72306</v>
      </c>
      <c r="U86" s="4" t="s">
        <v>520</v>
      </c>
      <c r="V86" s="4" t="s">
        <v>390</v>
      </c>
      <c r="W86" s="4">
        <v>10003</v>
      </c>
      <c r="X86" s="4" t="s">
        <v>138</v>
      </c>
      <c r="Y86" s="4">
        <v>101700</v>
      </c>
      <c r="Z86" s="4">
        <v>11017</v>
      </c>
      <c r="AA86" s="39">
        <v>2000000</v>
      </c>
      <c r="AB86" s="62" t="s">
        <v>495</v>
      </c>
      <c r="AC86" s="4">
        <v>333</v>
      </c>
      <c r="AD86" s="4">
        <v>3</v>
      </c>
      <c r="AE86" s="4" t="s">
        <v>139</v>
      </c>
      <c r="AF86" s="4" t="s">
        <v>521</v>
      </c>
      <c r="AG86" s="4" t="s">
        <v>141</v>
      </c>
      <c r="AH86" s="4" t="s">
        <v>522</v>
      </c>
      <c r="AI86" s="4" t="s">
        <v>143</v>
      </c>
      <c r="AJ86" s="4" t="s">
        <v>523</v>
      </c>
    </row>
    <row r="87" spans="1:36">
      <c r="A87" s="48">
        <v>100030307</v>
      </c>
      <c r="B87" s="48">
        <v>1</v>
      </c>
      <c r="C87" s="48" t="s">
        <v>44</v>
      </c>
      <c r="D87" s="4">
        <v>1000303</v>
      </c>
      <c r="E87" s="4">
        <v>7</v>
      </c>
      <c r="G87" s="4" t="s">
        <v>524</v>
      </c>
      <c r="J87" s="4">
        <v>333</v>
      </c>
      <c r="K87" s="36" t="s">
        <v>46</v>
      </c>
      <c r="L87" s="37">
        <v>11021</v>
      </c>
      <c r="M87" s="37" t="s">
        <v>146</v>
      </c>
      <c r="Q87" t="b">
        <v>0</v>
      </c>
      <c r="S87" s="38">
        <v>72307</v>
      </c>
      <c r="U87" s="4" t="s">
        <v>525</v>
      </c>
      <c r="V87" s="4" t="s">
        <v>390</v>
      </c>
      <c r="W87" s="4">
        <v>10003</v>
      </c>
      <c r="X87" s="4" t="s">
        <v>148</v>
      </c>
      <c r="Y87" s="4">
        <v>102100</v>
      </c>
      <c r="Z87" s="4">
        <v>11021</v>
      </c>
      <c r="AA87" s="39">
        <v>2000000</v>
      </c>
      <c r="AB87" s="62" t="s">
        <v>495</v>
      </c>
      <c r="AC87" s="4">
        <v>333</v>
      </c>
      <c r="AD87" s="4">
        <v>3</v>
      </c>
      <c r="AE87" s="4" t="s">
        <v>149</v>
      </c>
      <c r="AF87" s="4" t="s">
        <v>526</v>
      </c>
      <c r="AG87" s="4" t="s">
        <v>151</v>
      </c>
      <c r="AH87" s="4" t="s">
        <v>527</v>
      </c>
      <c r="AI87" s="4" t="s">
        <v>153</v>
      </c>
      <c r="AJ87" s="4" t="s">
        <v>528</v>
      </c>
    </row>
    <row r="88" spans="1:36">
      <c r="A88" s="48">
        <v>100030308</v>
      </c>
      <c r="B88" s="48">
        <v>1</v>
      </c>
      <c r="C88" s="48" t="s">
        <v>44</v>
      </c>
      <c r="D88" s="4">
        <v>1000303</v>
      </c>
      <c r="E88" s="4">
        <v>8</v>
      </c>
      <c r="G88" s="4" t="s">
        <v>529</v>
      </c>
      <c r="J88" s="4">
        <v>333</v>
      </c>
      <c r="K88" s="36" t="s">
        <v>46</v>
      </c>
      <c r="L88" s="37">
        <v>11022</v>
      </c>
      <c r="M88" s="37" t="s">
        <v>156</v>
      </c>
      <c r="Q88" t="b">
        <v>0</v>
      </c>
      <c r="S88" s="38">
        <v>72308</v>
      </c>
      <c r="U88" s="4" t="s">
        <v>530</v>
      </c>
      <c r="V88" s="4" t="s">
        <v>390</v>
      </c>
      <c r="W88" s="4">
        <v>10003</v>
      </c>
      <c r="X88" s="4" t="s">
        <v>158</v>
      </c>
      <c r="Y88" s="4">
        <v>102200</v>
      </c>
      <c r="Z88" s="4">
        <v>11022</v>
      </c>
      <c r="AA88" s="39">
        <v>2000000</v>
      </c>
      <c r="AB88" s="62" t="s">
        <v>495</v>
      </c>
      <c r="AC88" s="4">
        <v>333</v>
      </c>
      <c r="AD88" s="4">
        <v>3</v>
      </c>
      <c r="AE88" s="4" t="s">
        <v>159</v>
      </c>
      <c r="AF88" s="4" t="s">
        <v>531</v>
      </c>
      <c r="AG88" s="4" t="s">
        <v>161</v>
      </c>
      <c r="AH88" s="4" t="s">
        <v>532</v>
      </c>
      <c r="AI88" s="4" t="s">
        <v>159</v>
      </c>
      <c r="AJ88" s="4" t="s">
        <v>533</v>
      </c>
    </row>
    <row r="89" spans="1:36">
      <c r="A89" s="48">
        <v>100030309</v>
      </c>
      <c r="B89" s="48">
        <v>1</v>
      </c>
      <c r="C89" s="48" t="s">
        <v>44</v>
      </c>
      <c r="D89" s="4">
        <v>1000303</v>
      </c>
      <c r="E89" s="4">
        <v>9</v>
      </c>
      <c r="G89" s="4" t="s">
        <v>534</v>
      </c>
      <c r="J89" s="4">
        <v>333</v>
      </c>
      <c r="K89" s="36" t="s">
        <v>46</v>
      </c>
      <c r="L89" s="37">
        <v>11023</v>
      </c>
      <c r="M89" s="37" t="s">
        <v>165</v>
      </c>
      <c r="Q89" t="b">
        <v>0</v>
      </c>
      <c r="S89" s="38">
        <v>72309</v>
      </c>
      <c r="U89" s="4" t="s">
        <v>535</v>
      </c>
      <c r="V89" s="4" t="s">
        <v>390</v>
      </c>
      <c r="W89" s="4">
        <v>10003</v>
      </c>
      <c r="X89" s="4" t="s">
        <v>167</v>
      </c>
      <c r="Y89" s="4">
        <v>102300</v>
      </c>
      <c r="Z89" s="4">
        <v>11023</v>
      </c>
      <c r="AA89" s="39">
        <v>2000000</v>
      </c>
      <c r="AB89" s="62" t="s">
        <v>495</v>
      </c>
      <c r="AC89" s="4">
        <v>333</v>
      </c>
      <c r="AD89" s="4">
        <v>3</v>
      </c>
      <c r="AE89" s="4" t="s">
        <v>168</v>
      </c>
      <c r="AF89" s="4" t="s">
        <v>536</v>
      </c>
      <c r="AG89" s="4" t="s">
        <v>170</v>
      </c>
      <c r="AH89" s="4" t="s">
        <v>537</v>
      </c>
      <c r="AI89" s="4" t="s">
        <v>172</v>
      </c>
      <c r="AJ89" s="4" t="s">
        <v>538</v>
      </c>
    </row>
    <row r="90" spans="1:36">
      <c r="A90" s="48">
        <v>100030310</v>
      </c>
      <c r="B90" s="48">
        <v>1</v>
      </c>
      <c r="C90" s="48" t="s">
        <v>44</v>
      </c>
      <c r="D90" s="4">
        <v>1000303</v>
      </c>
      <c r="E90" s="4">
        <v>10</v>
      </c>
      <c r="G90" s="4" t="s">
        <v>539</v>
      </c>
      <c r="J90" s="4">
        <v>333</v>
      </c>
      <c r="K90" s="36" t="s">
        <v>46</v>
      </c>
      <c r="L90" s="37">
        <v>11024</v>
      </c>
      <c r="M90" s="37" t="s">
        <v>175</v>
      </c>
      <c r="Q90" t="b">
        <v>0</v>
      </c>
      <c r="S90" s="38">
        <v>72310</v>
      </c>
      <c r="U90" s="4" t="s">
        <v>540</v>
      </c>
      <c r="V90" s="4" t="s">
        <v>390</v>
      </c>
      <c r="W90" s="4">
        <v>10003</v>
      </c>
      <c r="X90" s="4" t="s">
        <v>177</v>
      </c>
      <c r="Y90" s="4">
        <v>102400</v>
      </c>
      <c r="Z90" s="4">
        <v>11024</v>
      </c>
      <c r="AA90" s="39">
        <v>2000000</v>
      </c>
      <c r="AB90" s="62" t="s">
        <v>495</v>
      </c>
      <c r="AC90" s="4">
        <v>333</v>
      </c>
      <c r="AD90" s="4">
        <v>3</v>
      </c>
      <c r="AE90" s="4" t="s">
        <v>178</v>
      </c>
      <c r="AF90" s="4" t="s">
        <v>541</v>
      </c>
      <c r="AG90" s="4" t="s">
        <v>180</v>
      </c>
      <c r="AH90" s="4" t="s">
        <v>542</v>
      </c>
      <c r="AI90" s="4" t="s">
        <v>182</v>
      </c>
      <c r="AJ90" s="4" t="s">
        <v>543</v>
      </c>
    </row>
    <row r="91" spans="1:36">
      <c r="A91" s="48">
        <v>100030401</v>
      </c>
      <c r="B91" s="48">
        <v>1</v>
      </c>
      <c r="C91" s="48" t="s">
        <v>44</v>
      </c>
      <c r="D91" s="4">
        <v>1000304</v>
      </c>
      <c r="E91" s="4">
        <v>1</v>
      </c>
      <c r="G91" s="4" t="s">
        <v>544</v>
      </c>
      <c r="J91" s="4">
        <v>667</v>
      </c>
      <c r="K91" s="36" t="s">
        <v>46</v>
      </c>
      <c r="L91" s="37">
        <v>11007</v>
      </c>
      <c r="M91" s="37" t="s">
        <v>85</v>
      </c>
      <c r="O91" s="49"/>
      <c r="P91" s="49"/>
      <c r="Q91" t="b">
        <v>0</v>
      </c>
      <c r="R91" s="49"/>
      <c r="S91" s="49">
        <v>72401</v>
      </c>
      <c r="T91" s="49"/>
      <c r="U91" s="4" t="s">
        <v>545</v>
      </c>
      <c r="V91" s="4" t="s">
        <v>390</v>
      </c>
      <c r="W91" s="4">
        <v>10003</v>
      </c>
      <c r="X91" s="4" t="s">
        <v>88</v>
      </c>
      <c r="Y91" s="4">
        <v>100700</v>
      </c>
      <c r="Z91" s="4">
        <v>11007</v>
      </c>
      <c r="AA91" s="39">
        <v>4000000</v>
      </c>
      <c r="AB91" s="62" t="s">
        <v>546</v>
      </c>
      <c r="AC91" s="4">
        <v>667</v>
      </c>
      <c r="AD91" s="4">
        <v>4</v>
      </c>
      <c r="AE91" s="4" t="s">
        <v>90</v>
      </c>
      <c r="AF91" s="4" t="s">
        <v>547</v>
      </c>
      <c r="AG91" s="4" t="s">
        <v>92</v>
      </c>
      <c r="AH91" s="4" t="s">
        <v>548</v>
      </c>
      <c r="AI91" s="4" t="s">
        <v>94</v>
      </c>
      <c r="AJ91" s="4" t="s">
        <v>549</v>
      </c>
    </row>
    <row r="92" spans="1:36">
      <c r="A92" s="48">
        <v>100030402</v>
      </c>
      <c r="B92" s="48">
        <v>1</v>
      </c>
      <c r="C92" s="48" t="s">
        <v>44</v>
      </c>
      <c r="D92" s="4">
        <v>1000304</v>
      </c>
      <c r="E92" s="4">
        <v>2</v>
      </c>
      <c r="G92" s="4" t="s">
        <v>550</v>
      </c>
      <c r="J92" s="4">
        <v>667</v>
      </c>
      <c r="K92" s="36" t="s">
        <v>46</v>
      </c>
      <c r="L92" s="37">
        <v>11003</v>
      </c>
      <c r="M92" s="37" t="s">
        <v>97</v>
      </c>
      <c r="O92" s="49"/>
      <c r="P92" s="49"/>
      <c r="Q92" t="b">
        <v>0</v>
      </c>
      <c r="R92" s="49"/>
      <c r="S92" s="49">
        <v>72402</v>
      </c>
      <c r="T92" s="49"/>
      <c r="U92" s="4" t="s">
        <v>551</v>
      </c>
      <c r="V92" s="4" t="s">
        <v>390</v>
      </c>
      <c r="W92" s="4">
        <v>10003</v>
      </c>
      <c r="X92" s="4" t="s">
        <v>99</v>
      </c>
      <c r="Y92" s="4">
        <v>100300</v>
      </c>
      <c r="Z92" s="4">
        <v>11003</v>
      </c>
      <c r="AA92" s="39">
        <v>4000000</v>
      </c>
      <c r="AB92" s="62" t="s">
        <v>546</v>
      </c>
      <c r="AC92" s="4">
        <v>667</v>
      </c>
      <c r="AD92" s="4">
        <v>4</v>
      </c>
      <c r="AE92" s="4" t="s">
        <v>100</v>
      </c>
      <c r="AF92" s="4" t="s">
        <v>552</v>
      </c>
      <c r="AG92" s="4" t="s">
        <v>102</v>
      </c>
      <c r="AH92" s="4" t="s">
        <v>553</v>
      </c>
      <c r="AI92" s="4" t="s">
        <v>100</v>
      </c>
      <c r="AJ92" s="4" t="s">
        <v>554</v>
      </c>
    </row>
    <row r="93" spans="1:36">
      <c r="A93" s="48">
        <v>100030403</v>
      </c>
      <c r="B93" s="48">
        <v>1</v>
      </c>
      <c r="C93" s="48" t="s">
        <v>44</v>
      </c>
      <c r="D93" s="4">
        <v>1000304</v>
      </c>
      <c r="E93" s="4">
        <v>3</v>
      </c>
      <c r="G93" s="4" t="s">
        <v>555</v>
      </c>
      <c r="J93" s="4">
        <v>667</v>
      </c>
      <c r="K93" s="36" t="s">
        <v>46</v>
      </c>
      <c r="L93" s="37">
        <v>11012</v>
      </c>
      <c r="M93" s="37" t="s">
        <v>106</v>
      </c>
      <c r="O93" s="49"/>
      <c r="P93" s="49"/>
      <c r="Q93" t="b">
        <v>0</v>
      </c>
      <c r="R93" s="49"/>
      <c r="S93" s="49">
        <v>72403</v>
      </c>
      <c r="T93" s="49"/>
      <c r="U93" s="4" t="s">
        <v>556</v>
      </c>
      <c r="V93" s="4" t="s">
        <v>390</v>
      </c>
      <c r="W93" s="4">
        <v>10003</v>
      </c>
      <c r="X93" s="4" t="s">
        <v>108</v>
      </c>
      <c r="Y93" s="4">
        <v>101200</v>
      </c>
      <c r="Z93" s="4">
        <v>11012</v>
      </c>
      <c r="AA93" s="39">
        <v>4000000</v>
      </c>
      <c r="AB93" s="62" t="s">
        <v>546</v>
      </c>
      <c r="AC93" s="4">
        <v>667</v>
      </c>
      <c r="AD93" s="4">
        <v>4</v>
      </c>
      <c r="AE93" s="4" t="s">
        <v>109</v>
      </c>
      <c r="AF93" s="4" t="s">
        <v>557</v>
      </c>
      <c r="AG93" s="4" t="s">
        <v>111</v>
      </c>
      <c r="AH93" s="4" t="s">
        <v>558</v>
      </c>
      <c r="AI93" s="4" t="s">
        <v>109</v>
      </c>
      <c r="AJ93" s="4" t="s">
        <v>559</v>
      </c>
    </row>
    <row r="94" spans="1:36">
      <c r="A94" s="48">
        <v>100030404</v>
      </c>
      <c r="B94" s="48">
        <v>1</v>
      </c>
      <c r="C94" s="48" t="s">
        <v>44</v>
      </c>
      <c r="D94" s="4">
        <v>1000304</v>
      </c>
      <c r="E94" s="4">
        <v>4</v>
      </c>
      <c r="G94" s="4" t="s">
        <v>560</v>
      </c>
      <c r="J94" s="4">
        <v>667</v>
      </c>
      <c r="K94" s="36" t="s">
        <v>46</v>
      </c>
      <c r="L94" s="37">
        <v>11014</v>
      </c>
      <c r="M94" s="37" t="s">
        <v>115</v>
      </c>
      <c r="O94" s="49"/>
      <c r="P94" s="49"/>
      <c r="Q94" t="b">
        <v>0</v>
      </c>
      <c r="R94" s="49"/>
      <c r="S94" s="49">
        <v>72404</v>
      </c>
      <c r="T94" s="49"/>
      <c r="U94" s="4" t="s">
        <v>561</v>
      </c>
      <c r="V94" s="4" t="s">
        <v>390</v>
      </c>
      <c r="W94" s="4">
        <v>10003</v>
      </c>
      <c r="X94" s="4" t="s">
        <v>117</v>
      </c>
      <c r="Y94" s="4">
        <v>101400</v>
      </c>
      <c r="Z94" s="4">
        <v>11014</v>
      </c>
      <c r="AA94" s="39">
        <v>4000000</v>
      </c>
      <c r="AB94" s="62" t="s">
        <v>546</v>
      </c>
      <c r="AC94" s="4">
        <v>667</v>
      </c>
      <c r="AD94" s="4">
        <v>4</v>
      </c>
      <c r="AE94" s="4" t="s">
        <v>118</v>
      </c>
      <c r="AF94" s="4" t="s">
        <v>562</v>
      </c>
      <c r="AG94" s="4" t="s">
        <v>120</v>
      </c>
      <c r="AH94" s="4" t="s">
        <v>563</v>
      </c>
      <c r="AI94" s="4" t="s">
        <v>122</v>
      </c>
      <c r="AJ94" s="4" t="s">
        <v>564</v>
      </c>
    </row>
    <row r="95" spans="1:36">
      <c r="A95" s="48">
        <v>100030405</v>
      </c>
      <c r="B95" s="48">
        <v>1</v>
      </c>
      <c r="C95" s="48" t="s">
        <v>44</v>
      </c>
      <c r="D95" s="4">
        <v>1000304</v>
      </c>
      <c r="E95" s="4">
        <v>5</v>
      </c>
      <c r="G95" s="4" t="s">
        <v>565</v>
      </c>
      <c r="J95" s="4">
        <v>667</v>
      </c>
      <c r="K95" s="36" t="s">
        <v>46</v>
      </c>
      <c r="L95" s="37">
        <v>11003</v>
      </c>
      <c r="M95" s="37" t="s">
        <v>411</v>
      </c>
      <c r="O95" s="49"/>
      <c r="P95" s="49"/>
      <c r="Q95" t="b">
        <v>0</v>
      </c>
      <c r="R95" s="49"/>
      <c r="S95" s="49">
        <v>72405</v>
      </c>
      <c r="T95" s="49"/>
      <c r="U95" s="4" t="s">
        <v>566</v>
      </c>
      <c r="V95" s="4" t="s">
        <v>127</v>
      </c>
      <c r="W95" s="4">
        <v>10003</v>
      </c>
      <c r="X95" s="4" t="s">
        <v>413</v>
      </c>
      <c r="Y95" s="4">
        <v>0</v>
      </c>
      <c r="Z95" s="4">
        <v>11003</v>
      </c>
      <c r="AA95" s="39">
        <v>4000000</v>
      </c>
      <c r="AB95" s="62" t="s">
        <v>546</v>
      </c>
      <c r="AC95" s="4">
        <v>667</v>
      </c>
      <c r="AD95" s="4">
        <v>4</v>
      </c>
      <c r="AE95" s="4" t="s">
        <v>129</v>
      </c>
      <c r="AF95" s="4" t="s">
        <v>567</v>
      </c>
      <c r="AG95" s="4" t="s">
        <v>131</v>
      </c>
      <c r="AH95" s="4" t="s">
        <v>568</v>
      </c>
      <c r="AI95" s="4" t="s">
        <v>133</v>
      </c>
      <c r="AJ95" s="4" t="s">
        <v>569</v>
      </c>
    </row>
    <row r="96" spans="1:36">
      <c r="A96" s="48">
        <v>100030406</v>
      </c>
      <c r="B96" s="48">
        <v>1</v>
      </c>
      <c r="C96" s="48" t="s">
        <v>44</v>
      </c>
      <c r="D96" s="4">
        <v>1000304</v>
      </c>
      <c r="E96" s="4">
        <v>6</v>
      </c>
      <c r="G96" s="4" t="s">
        <v>570</v>
      </c>
      <c r="J96" s="4">
        <v>667</v>
      </c>
      <c r="K96" s="36" t="s">
        <v>46</v>
      </c>
      <c r="L96" s="37">
        <v>11017</v>
      </c>
      <c r="M96" s="37" t="s">
        <v>136</v>
      </c>
      <c r="Q96" t="b">
        <v>0</v>
      </c>
      <c r="S96" s="38">
        <v>72406</v>
      </c>
      <c r="U96" s="4" t="s">
        <v>571</v>
      </c>
      <c r="V96" s="4" t="s">
        <v>390</v>
      </c>
      <c r="W96" s="4">
        <v>10003</v>
      </c>
      <c r="X96" s="4" t="s">
        <v>138</v>
      </c>
      <c r="Y96" s="4">
        <v>101700</v>
      </c>
      <c r="Z96" s="4">
        <v>11017</v>
      </c>
      <c r="AA96" s="39">
        <v>4000000</v>
      </c>
      <c r="AB96" s="62" t="s">
        <v>546</v>
      </c>
      <c r="AC96" s="4">
        <v>667</v>
      </c>
      <c r="AD96" s="4">
        <v>4</v>
      </c>
      <c r="AE96" s="4" t="s">
        <v>139</v>
      </c>
      <c r="AF96" s="4" t="s">
        <v>572</v>
      </c>
      <c r="AG96" s="4" t="s">
        <v>141</v>
      </c>
      <c r="AH96" s="4" t="s">
        <v>573</v>
      </c>
      <c r="AI96" s="4" t="s">
        <v>143</v>
      </c>
      <c r="AJ96" s="4" t="s">
        <v>574</v>
      </c>
    </row>
    <row r="97" spans="1:36">
      <c r="A97" s="48">
        <v>100030407</v>
      </c>
      <c r="B97" s="48">
        <v>1</v>
      </c>
      <c r="C97" s="48" t="s">
        <v>44</v>
      </c>
      <c r="D97" s="4">
        <v>1000304</v>
      </c>
      <c r="E97" s="4">
        <v>7</v>
      </c>
      <c r="G97" s="4" t="s">
        <v>575</v>
      </c>
      <c r="J97" s="4">
        <v>667</v>
      </c>
      <c r="K97" s="36" t="s">
        <v>46</v>
      </c>
      <c r="L97" s="37">
        <v>11021</v>
      </c>
      <c r="M97" s="37" t="s">
        <v>146</v>
      </c>
      <c r="Q97" t="b">
        <v>0</v>
      </c>
      <c r="S97" s="38">
        <v>72407</v>
      </c>
      <c r="U97" s="4" t="s">
        <v>576</v>
      </c>
      <c r="V97" s="4" t="s">
        <v>390</v>
      </c>
      <c r="W97" s="4">
        <v>10003</v>
      </c>
      <c r="X97" s="4" t="s">
        <v>148</v>
      </c>
      <c r="Y97" s="4">
        <v>102100</v>
      </c>
      <c r="Z97" s="4">
        <v>11021</v>
      </c>
      <c r="AA97" s="39">
        <v>4000000</v>
      </c>
      <c r="AB97" s="62" t="s">
        <v>546</v>
      </c>
      <c r="AC97" s="4">
        <v>667</v>
      </c>
      <c r="AD97" s="4">
        <v>4</v>
      </c>
      <c r="AE97" s="4" t="s">
        <v>149</v>
      </c>
      <c r="AF97" s="4" t="s">
        <v>577</v>
      </c>
      <c r="AG97" s="4" t="s">
        <v>151</v>
      </c>
      <c r="AH97" s="4" t="s">
        <v>578</v>
      </c>
      <c r="AI97" s="4" t="s">
        <v>153</v>
      </c>
      <c r="AJ97" s="4" t="s">
        <v>579</v>
      </c>
    </row>
    <row r="98" spans="1:36">
      <c r="A98" s="48">
        <v>100030408</v>
      </c>
      <c r="B98" s="48">
        <v>1</v>
      </c>
      <c r="C98" s="48" t="s">
        <v>44</v>
      </c>
      <c r="D98" s="4">
        <v>1000304</v>
      </c>
      <c r="E98" s="4">
        <v>8</v>
      </c>
      <c r="G98" s="4" t="s">
        <v>580</v>
      </c>
      <c r="J98" s="4">
        <v>667</v>
      </c>
      <c r="K98" s="36" t="s">
        <v>46</v>
      </c>
      <c r="L98" s="37">
        <v>11022</v>
      </c>
      <c r="M98" s="37" t="s">
        <v>156</v>
      </c>
      <c r="Q98" t="b">
        <v>0</v>
      </c>
      <c r="S98" s="38">
        <v>72408</v>
      </c>
      <c r="U98" s="4" t="s">
        <v>581</v>
      </c>
      <c r="V98" s="4" t="s">
        <v>390</v>
      </c>
      <c r="W98" s="4">
        <v>10003</v>
      </c>
      <c r="X98" s="4" t="s">
        <v>158</v>
      </c>
      <c r="Y98" s="4">
        <v>102200</v>
      </c>
      <c r="Z98" s="4">
        <v>11022</v>
      </c>
      <c r="AA98" s="39">
        <v>4000000</v>
      </c>
      <c r="AB98" s="62" t="s">
        <v>546</v>
      </c>
      <c r="AC98" s="4">
        <v>667</v>
      </c>
      <c r="AD98" s="4">
        <v>4</v>
      </c>
      <c r="AE98" s="4" t="s">
        <v>159</v>
      </c>
      <c r="AF98" s="4" t="s">
        <v>582</v>
      </c>
      <c r="AG98" s="4" t="s">
        <v>161</v>
      </c>
      <c r="AH98" s="4" t="s">
        <v>583</v>
      </c>
      <c r="AI98" s="4" t="s">
        <v>159</v>
      </c>
      <c r="AJ98" s="4" t="s">
        <v>584</v>
      </c>
    </row>
    <row r="99" spans="1:36">
      <c r="A99" s="48">
        <v>100030409</v>
      </c>
      <c r="B99" s="48">
        <v>1</v>
      </c>
      <c r="C99" s="48" t="s">
        <v>44</v>
      </c>
      <c r="D99" s="4">
        <v>1000304</v>
      </c>
      <c r="E99" s="4">
        <v>9</v>
      </c>
      <c r="G99" s="4" t="s">
        <v>585</v>
      </c>
      <c r="J99" s="4">
        <v>667</v>
      </c>
      <c r="K99" s="36" t="s">
        <v>46</v>
      </c>
      <c r="L99" s="37">
        <v>11023</v>
      </c>
      <c r="M99" s="37" t="s">
        <v>165</v>
      </c>
      <c r="Q99" t="b">
        <v>0</v>
      </c>
      <c r="S99" s="38">
        <v>72409</v>
      </c>
      <c r="U99" s="4" t="s">
        <v>586</v>
      </c>
      <c r="V99" s="4" t="s">
        <v>390</v>
      </c>
      <c r="W99" s="4">
        <v>10003</v>
      </c>
      <c r="X99" s="4" t="s">
        <v>167</v>
      </c>
      <c r="Y99" s="4">
        <v>102300</v>
      </c>
      <c r="Z99" s="4">
        <v>11023</v>
      </c>
      <c r="AA99" s="39">
        <v>4000000</v>
      </c>
      <c r="AB99" s="62" t="s">
        <v>546</v>
      </c>
      <c r="AC99" s="4">
        <v>667</v>
      </c>
      <c r="AD99" s="4">
        <v>4</v>
      </c>
      <c r="AE99" s="4" t="s">
        <v>168</v>
      </c>
      <c r="AF99" s="4" t="s">
        <v>587</v>
      </c>
      <c r="AG99" s="4" t="s">
        <v>170</v>
      </c>
      <c r="AH99" s="4" t="s">
        <v>588</v>
      </c>
      <c r="AI99" s="4" t="s">
        <v>172</v>
      </c>
      <c r="AJ99" s="4" t="s">
        <v>589</v>
      </c>
    </row>
    <row r="100" spans="1:36">
      <c r="A100" s="48">
        <v>100030410</v>
      </c>
      <c r="B100" s="48">
        <v>1</v>
      </c>
      <c r="C100" s="48" t="s">
        <v>44</v>
      </c>
      <c r="D100" s="4">
        <v>1000304</v>
      </c>
      <c r="E100" s="4">
        <v>10</v>
      </c>
      <c r="G100" s="4" t="s">
        <v>590</v>
      </c>
      <c r="J100" s="4">
        <v>667</v>
      </c>
      <c r="K100" s="36" t="s">
        <v>46</v>
      </c>
      <c r="L100" s="37">
        <v>11024</v>
      </c>
      <c r="M100" s="37" t="s">
        <v>175</v>
      </c>
      <c r="Q100" t="b">
        <v>0</v>
      </c>
      <c r="S100" s="38">
        <v>72410</v>
      </c>
      <c r="U100" s="4" t="s">
        <v>591</v>
      </c>
      <c r="V100" s="4" t="s">
        <v>390</v>
      </c>
      <c r="W100" s="4">
        <v>10003</v>
      </c>
      <c r="X100" s="4" t="s">
        <v>177</v>
      </c>
      <c r="Y100" s="4">
        <v>102400</v>
      </c>
      <c r="Z100" s="4">
        <v>11024</v>
      </c>
      <c r="AA100" s="39">
        <v>4000000</v>
      </c>
      <c r="AB100" s="62" t="s">
        <v>546</v>
      </c>
      <c r="AC100" s="4">
        <v>667</v>
      </c>
      <c r="AD100" s="4">
        <v>4</v>
      </c>
      <c r="AE100" s="4" t="s">
        <v>178</v>
      </c>
      <c r="AF100" s="4" t="s">
        <v>592</v>
      </c>
      <c r="AG100" s="4" t="s">
        <v>180</v>
      </c>
      <c r="AH100" s="4" t="s">
        <v>593</v>
      </c>
      <c r="AI100" s="4" t="s">
        <v>182</v>
      </c>
      <c r="AJ100" s="4" t="s">
        <v>594</v>
      </c>
    </row>
    <row r="101" spans="1:36">
      <c r="A101" s="48">
        <v>100010101</v>
      </c>
      <c r="B101" s="48">
        <v>1</v>
      </c>
      <c r="C101" s="48" t="s">
        <v>44</v>
      </c>
      <c r="D101" s="4">
        <v>1000101</v>
      </c>
      <c r="E101" s="4">
        <v>1</v>
      </c>
      <c r="G101" s="4" t="s">
        <v>595</v>
      </c>
      <c r="J101" s="4">
        <v>300</v>
      </c>
      <c r="K101" s="36" t="s">
        <v>46</v>
      </c>
      <c r="L101" s="37">
        <v>11007</v>
      </c>
      <c r="M101" s="37" t="s">
        <v>85</v>
      </c>
      <c r="O101" s="49"/>
      <c r="P101" s="49"/>
      <c r="Q101" t="b">
        <v>0</v>
      </c>
      <c r="R101" s="49"/>
      <c r="S101" s="49">
        <v>73001</v>
      </c>
      <c r="T101" s="49"/>
      <c r="U101" s="4" t="s">
        <v>596</v>
      </c>
      <c r="V101" s="4" t="s">
        <v>597</v>
      </c>
      <c r="W101" s="4">
        <v>10001</v>
      </c>
      <c r="X101" s="4" t="s">
        <v>88</v>
      </c>
      <c r="Y101" s="4">
        <v>100700</v>
      </c>
      <c r="Z101" s="4">
        <v>11007</v>
      </c>
      <c r="AA101" s="39">
        <v>1000</v>
      </c>
      <c r="AB101" s="62" t="s">
        <v>598</v>
      </c>
      <c r="AC101" s="4">
        <v>300</v>
      </c>
      <c r="AD101" s="4">
        <v>1</v>
      </c>
      <c r="AE101" s="4" t="s">
        <v>90</v>
      </c>
      <c r="AF101" s="4" t="s">
        <v>599</v>
      </c>
      <c r="AG101" s="4" t="s">
        <v>92</v>
      </c>
      <c r="AH101" s="4" t="s">
        <v>600</v>
      </c>
      <c r="AI101" s="4" t="s">
        <v>94</v>
      </c>
      <c r="AJ101" s="4" t="s">
        <v>601</v>
      </c>
    </row>
    <row r="102" spans="1:36">
      <c r="A102" s="48">
        <v>100010102</v>
      </c>
      <c r="B102" s="48">
        <v>1</v>
      </c>
      <c r="C102" s="48" t="s">
        <v>44</v>
      </c>
      <c r="D102" s="4">
        <v>1000101</v>
      </c>
      <c r="E102" s="4">
        <v>2</v>
      </c>
      <c r="G102" s="4" t="s">
        <v>602</v>
      </c>
      <c r="J102" s="4">
        <v>300</v>
      </c>
      <c r="K102" s="36" t="s">
        <v>46</v>
      </c>
      <c r="L102" s="37">
        <v>11003</v>
      </c>
      <c r="M102" s="37" t="s">
        <v>97</v>
      </c>
      <c r="O102" s="49"/>
      <c r="P102" s="49"/>
      <c r="Q102" t="b">
        <v>0</v>
      </c>
      <c r="R102" s="49"/>
      <c r="S102" s="49">
        <v>73002</v>
      </c>
      <c r="T102" s="49"/>
      <c r="U102" s="4" t="s">
        <v>603</v>
      </c>
      <c r="V102" s="4" t="s">
        <v>597</v>
      </c>
      <c r="W102" s="4">
        <v>10001</v>
      </c>
      <c r="X102" s="4" t="s">
        <v>99</v>
      </c>
      <c r="Y102" s="4">
        <v>100300</v>
      </c>
      <c r="Z102" s="4">
        <v>11003</v>
      </c>
      <c r="AA102" s="39">
        <v>1000</v>
      </c>
      <c r="AB102" s="62" t="s">
        <v>598</v>
      </c>
      <c r="AC102" s="4">
        <v>300</v>
      </c>
      <c r="AD102" s="4">
        <v>1</v>
      </c>
      <c r="AE102" s="4" t="s">
        <v>100</v>
      </c>
      <c r="AF102" s="4" t="s">
        <v>604</v>
      </c>
      <c r="AG102" s="4" t="s">
        <v>102</v>
      </c>
      <c r="AH102" s="4" t="s">
        <v>605</v>
      </c>
      <c r="AI102" s="4" t="s">
        <v>100</v>
      </c>
      <c r="AJ102" s="4" t="s">
        <v>606</v>
      </c>
    </row>
    <row r="103" spans="1:36">
      <c r="A103" s="48">
        <v>100010103</v>
      </c>
      <c r="B103" s="48">
        <v>1</v>
      </c>
      <c r="C103" s="48" t="s">
        <v>44</v>
      </c>
      <c r="D103" s="4">
        <v>1000101</v>
      </c>
      <c r="E103" s="4">
        <v>3</v>
      </c>
      <c r="G103" s="4" t="s">
        <v>607</v>
      </c>
      <c r="J103" s="4">
        <v>300</v>
      </c>
      <c r="K103" s="36" t="s">
        <v>46</v>
      </c>
      <c r="L103" s="37">
        <v>11012</v>
      </c>
      <c r="M103" s="37" t="s">
        <v>106</v>
      </c>
      <c r="O103" s="49"/>
      <c r="P103" s="49"/>
      <c r="Q103" t="b">
        <v>0</v>
      </c>
      <c r="R103" s="49"/>
      <c r="S103" s="49">
        <v>73003</v>
      </c>
      <c r="T103" s="49"/>
      <c r="U103" s="4" t="s">
        <v>608</v>
      </c>
      <c r="V103" s="4" t="s">
        <v>597</v>
      </c>
      <c r="W103" s="4">
        <v>10001</v>
      </c>
      <c r="X103" s="4" t="s">
        <v>108</v>
      </c>
      <c r="Y103" s="4">
        <v>101200</v>
      </c>
      <c r="Z103" s="4">
        <v>11012</v>
      </c>
      <c r="AA103" s="39">
        <v>1000</v>
      </c>
      <c r="AB103" s="62" t="s">
        <v>598</v>
      </c>
      <c r="AC103" s="4">
        <v>300</v>
      </c>
      <c r="AD103" s="4">
        <v>1</v>
      </c>
      <c r="AE103" s="4" t="s">
        <v>109</v>
      </c>
      <c r="AF103" s="4" t="s">
        <v>609</v>
      </c>
      <c r="AG103" s="4" t="s">
        <v>111</v>
      </c>
      <c r="AH103" s="4" t="s">
        <v>610</v>
      </c>
      <c r="AI103" s="4" t="s">
        <v>109</v>
      </c>
      <c r="AJ103" s="4" t="s">
        <v>611</v>
      </c>
    </row>
    <row r="104" spans="1:36">
      <c r="A104" s="48">
        <v>100010104</v>
      </c>
      <c r="B104" s="48">
        <v>1</v>
      </c>
      <c r="C104" s="48" t="s">
        <v>44</v>
      </c>
      <c r="D104" s="4">
        <v>1000101</v>
      </c>
      <c r="E104" s="4">
        <v>4</v>
      </c>
      <c r="G104" s="4" t="s">
        <v>612</v>
      </c>
      <c r="J104" s="4">
        <v>300</v>
      </c>
      <c r="K104" s="36" t="s">
        <v>46</v>
      </c>
      <c r="L104" s="37">
        <v>11014</v>
      </c>
      <c r="M104" s="37" t="s">
        <v>115</v>
      </c>
      <c r="O104" s="49"/>
      <c r="P104" s="49"/>
      <c r="Q104" t="b">
        <v>0</v>
      </c>
      <c r="R104" s="49"/>
      <c r="S104" s="49">
        <v>73004</v>
      </c>
      <c r="T104" s="49"/>
      <c r="U104" s="4" t="s">
        <v>613</v>
      </c>
      <c r="V104" s="4" t="s">
        <v>597</v>
      </c>
      <c r="W104" s="4">
        <v>10001</v>
      </c>
      <c r="X104" s="4" t="s">
        <v>117</v>
      </c>
      <c r="Y104" s="4">
        <v>101400</v>
      </c>
      <c r="Z104" s="4">
        <v>11014</v>
      </c>
      <c r="AA104" s="39">
        <v>1000</v>
      </c>
      <c r="AB104" s="62" t="s">
        <v>598</v>
      </c>
      <c r="AC104" s="4">
        <v>300</v>
      </c>
      <c r="AD104" s="4">
        <v>1</v>
      </c>
      <c r="AE104" s="4" t="s">
        <v>118</v>
      </c>
      <c r="AF104" s="4" t="s">
        <v>614</v>
      </c>
      <c r="AG104" s="4" t="s">
        <v>120</v>
      </c>
      <c r="AH104" s="4" t="s">
        <v>615</v>
      </c>
      <c r="AI104" s="4" t="s">
        <v>122</v>
      </c>
      <c r="AJ104" s="4" t="s">
        <v>616</v>
      </c>
    </row>
    <row r="105" spans="1:36">
      <c r="A105" s="48">
        <v>100010105</v>
      </c>
      <c r="B105" s="48">
        <v>1</v>
      </c>
      <c r="C105" s="48" t="s">
        <v>44</v>
      </c>
      <c r="D105" s="4">
        <v>1000101</v>
      </c>
      <c r="E105" s="4">
        <v>5</v>
      </c>
      <c r="G105" s="4" t="s">
        <v>617</v>
      </c>
      <c r="J105" s="4">
        <v>300</v>
      </c>
      <c r="K105" s="36" t="s">
        <v>46</v>
      </c>
      <c r="L105" s="37">
        <v>11003</v>
      </c>
      <c r="M105" s="37" t="s">
        <v>618</v>
      </c>
      <c r="O105" s="49"/>
      <c r="P105" s="49"/>
      <c r="Q105" t="b">
        <v>0</v>
      </c>
      <c r="R105" s="49"/>
      <c r="S105" s="49">
        <v>73005</v>
      </c>
      <c r="T105" s="49"/>
      <c r="U105" s="4" t="s">
        <v>619</v>
      </c>
      <c r="V105" s="4" t="s">
        <v>620</v>
      </c>
      <c r="W105" s="4">
        <v>10001</v>
      </c>
      <c r="Y105" s="4">
        <v>0</v>
      </c>
      <c r="Z105" s="4">
        <v>11003</v>
      </c>
      <c r="AA105" s="39">
        <v>1000</v>
      </c>
      <c r="AB105" s="62" t="s">
        <v>598</v>
      </c>
      <c r="AC105" s="4">
        <v>300</v>
      </c>
      <c r="AD105" s="4">
        <v>1</v>
      </c>
      <c r="AE105" s="4" t="s">
        <v>129</v>
      </c>
      <c r="AF105" s="4" t="s">
        <v>621</v>
      </c>
      <c r="AG105" s="4" t="s">
        <v>131</v>
      </c>
      <c r="AH105" s="4" t="s">
        <v>622</v>
      </c>
      <c r="AI105" s="4" t="s">
        <v>133</v>
      </c>
      <c r="AJ105" s="4" t="s">
        <v>623</v>
      </c>
    </row>
    <row r="106" spans="1:36">
      <c r="A106" s="48">
        <v>100010106</v>
      </c>
      <c r="B106" s="48">
        <v>1</v>
      </c>
      <c r="C106" s="48" t="s">
        <v>44</v>
      </c>
      <c r="D106" s="4">
        <v>1000101</v>
      </c>
      <c r="E106" s="4">
        <v>6</v>
      </c>
      <c r="G106" s="4" t="s">
        <v>624</v>
      </c>
      <c r="J106" s="4">
        <v>300</v>
      </c>
      <c r="K106" s="36" t="s">
        <v>46</v>
      </c>
      <c r="L106" s="37">
        <v>11017</v>
      </c>
      <c r="M106" s="37" t="s">
        <v>136</v>
      </c>
      <c r="Q106" t="b">
        <v>0</v>
      </c>
      <c r="S106" s="38">
        <v>73006</v>
      </c>
      <c r="U106" s="4" t="s">
        <v>625</v>
      </c>
      <c r="V106" s="4" t="s">
        <v>597</v>
      </c>
      <c r="W106" s="4">
        <v>12001</v>
      </c>
      <c r="X106" s="4" t="s">
        <v>138</v>
      </c>
      <c r="Y106" s="4">
        <v>101700</v>
      </c>
      <c r="Z106" s="4">
        <v>11017</v>
      </c>
      <c r="AA106" s="39">
        <v>1000</v>
      </c>
      <c r="AB106" s="62" t="s">
        <v>598</v>
      </c>
      <c r="AC106" s="4">
        <v>300</v>
      </c>
      <c r="AD106" s="4">
        <v>1</v>
      </c>
      <c r="AE106" s="4" t="s">
        <v>139</v>
      </c>
      <c r="AF106" s="4" t="s">
        <v>626</v>
      </c>
      <c r="AG106" s="4" t="s">
        <v>141</v>
      </c>
      <c r="AH106" s="4" t="s">
        <v>627</v>
      </c>
      <c r="AI106" s="4" t="s">
        <v>143</v>
      </c>
      <c r="AJ106" s="4" t="s">
        <v>628</v>
      </c>
    </row>
    <row r="107" spans="1:36">
      <c r="A107" s="48">
        <v>100010107</v>
      </c>
      <c r="B107" s="48">
        <v>1</v>
      </c>
      <c r="C107" s="48" t="s">
        <v>44</v>
      </c>
      <c r="D107" s="4">
        <v>1000101</v>
      </c>
      <c r="E107" s="4">
        <v>7</v>
      </c>
      <c r="G107" s="4" t="s">
        <v>629</v>
      </c>
      <c r="J107" s="4">
        <v>300</v>
      </c>
      <c r="K107" s="36" t="s">
        <v>46</v>
      </c>
      <c r="L107" s="37">
        <v>11021</v>
      </c>
      <c r="M107" s="37" t="s">
        <v>146</v>
      </c>
      <c r="Q107" t="b">
        <v>0</v>
      </c>
      <c r="S107" s="38">
        <v>73007</v>
      </c>
      <c r="U107" s="4" t="s">
        <v>630</v>
      </c>
      <c r="V107" s="4" t="s">
        <v>597</v>
      </c>
      <c r="W107" s="4">
        <v>12001</v>
      </c>
      <c r="X107" s="4" t="s">
        <v>148</v>
      </c>
      <c r="Y107" s="4">
        <v>102100</v>
      </c>
      <c r="Z107" s="4">
        <v>11021</v>
      </c>
      <c r="AA107" s="39">
        <v>1000</v>
      </c>
      <c r="AB107" s="62" t="s">
        <v>598</v>
      </c>
      <c r="AC107" s="4">
        <v>300</v>
      </c>
      <c r="AD107" s="4">
        <v>1</v>
      </c>
      <c r="AE107" s="4" t="s">
        <v>149</v>
      </c>
      <c r="AF107" s="4" t="s">
        <v>631</v>
      </c>
      <c r="AG107" s="4" t="s">
        <v>151</v>
      </c>
      <c r="AH107" s="4" t="s">
        <v>632</v>
      </c>
      <c r="AI107" s="4" t="s">
        <v>153</v>
      </c>
      <c r="AJ107" s="4" t="s">
        <v>633</v>
      </c>
    </row>
    <row r="108" spans="1:36">
      <c r="A108" s="48">
        <v>100010108</v>
      </c>
      <c r="B108" s="48">
        <v>1</v>
      </c>
      <c r="C108" s="48" t="s">
        <v>44</v>
      </c>
      <c r="D108" s="4">
        <v>1000101</v>
      </c>
      <c r="E108" s="4">
        <v>8</v>
      </c>
      <c r="G108" s="4" t="s">
        <v>634</v>
      </c>
      <c r="J108" s="4">
        <v>300</v>
      </c>
      <c r="K108" s="36" t="s">
        <v>46</v>
      </c>
      <c r="L108" s="37">
        <v>11022</v>
      </c>
      <c r="M108" s="37" t="s">
        <v>156</v>
      </c>
      <c r="Q108" t="b">
        <v>0</v>
      </c>
      <c r="S108" s="38">
        <v>73008</v>
      </c>
      <c r="U108" s="4" t="s">
        <v>635</v>
      </c>
      <c r="V108" s="4" t="s">
        <v>597</v>
      </c>
      <c r="W108" s="4">
        <v>12001</v>
      </c>
      <c r="X108" s="4" t="s">
        <v>158</v>
      </c>
      <c r="Y108" s="4">
        <v>102200</v>
      </c>
      <c r="Z108" s="4">
        <v>11022</v>
      </c>
      <c r="AA108" s="39">
        <v>1000</v>
      </c>
      <c r="AB108" s="62" t="s">
        <v>598</v>
      </c>
      <c r="AC108" s="4">
        <v>300</v>
      </c>
      <c r="AD108" s="4">
        <v>1</v>
      </c>
      <c r="AE108" s="4" t="s">
        <v>159</v>
      </c>
      <c r="AF108" s="4" t="s">
        <v>636</v>
      </c>
      <c r="AG108" s="4" t="s">
        <v>161</v>
      </c>
      <c r="AH108" s="4" t="s">
        <v>637</v>
      </c>
      <c r="AI108" s="4" t="s">
        <v>159</v>
      </c>
      <c r="AJ108" s="4" t="s">
        <v>638</v>
      </c>
    </row>
    <row r="109" spans="1:36">
      <c r="A109" s="48">
        <v>100010109</v>
      </c>
      <c r="B109" s="48">
        <v>1</v>
      </c>
      <c r="C109" s="48" t="s">
        <v>44</v>
      </c>
      <c r="D109" s="4">
        <v>1000101</v>
      </c>
      <c r="E109" s="4">
        <v>9</v>
      </c>
      <c r="G109" s="4" t="s">
        <v>639</v>
      </c>
      <c r="J109" s="4">
        <v>300</v>
      </c>
      <c r="K109" s="36" t="s">
        <v>46</v>
      </c>
      <c r="L109" s="37">
        <v>11023</v>
      </c>
      <c r="M109" s="37" t="s">
        <v>165</v>
      </c>
      <c r="Q109" t="b">
        <v>0</v>
      </c>
      <c r="S109" s="38">
        <v>73009</v>
      </c>
      <c r="U109" s="4" t="s">
        <v>640</v>
      </c>
      <c r="V109" s="4" t="s">
        <v>597</v>
      </c>
      <c r="W109" s="4">
        <v>12001</v>
      </c>
      <c r="X109" s="4" t="s">
        <v>167</v>
      </c>
      <c r="Y109" s="4">
        <v>102300</v>
      </c>
      <c r="Z109" s="4">
        <v>11023</v>
      </c>
      <c r="AA109" s="39">
        <v>1000</v>
      </c>
      <c r="AB109" s="62" t="s">
        <v>598</v>
      </c>
      <c r="AC109" s="4">
        <v>300</v>
      </c>
      <c r="AD109" s="4">
        <v>1</v>
      </c>
      <c r="AE109" s="4" t="s">
        <v>168</v>
      </c>
      <c r="AF109" s="4" t="s">
        <v>641</v>
      </c>
      <c r="AG109" s="4" t="s">
        <v>170</v>
      </c>
      <c r="AH109" s="4" t="s">
        <v>642</v>
      </c>
      <c r="AI109" s="4" t="s">
        <v>172</v>
      </c>
      <c r="AJ109" s="4" t="s">
        <v>643</v>
      </c>
    </row>
    <row r="110" spans="1:36">
      <c r="A110" s="48">
        <v>100010110</v>
      </c>
      <c r="B110" s="48">
        <v>1</v>
      </c>
      <c r="C110" s="48" t="s">
        <v>44</v>
      </c>
      <c r="D110" s="4">
        <v>1000101</v>
      </c>
      <c r="E110" s="4">
        <v>10</v>
      </c>
      <c r="G110" s="4" t="s">
        <v>644</v>
      </c>
      <c r="J110" s="4">
        <v>300</v>
      </c>
      <c r="K110" s="36" t="s">
        <v>46</v>
      </c>
      <c r="L110" s="37">
        <v>11024</v>
      </c>
      <c r="M110" s="37" t="s">
        <v>175</v>
      </c>
      <c r="Q110" t="b">
        <v>0</v>
      </c>
      <c r="S110" s="38">
        <v>73010</v>
      </c>
      <c r="U110" s="4" t="s">
        <v>645</v>
      </c>
      <c r="V110" s="4" t="s">
        <v>597</v>
      </c>
      <c r="W110" s="4">
        <v>12001</v>
      </c>
      <c r="X110" s="4" t="s">
        <v>177</v>
      </c>
      <c r="Y110" s="4">
        <v>102400</v>
      </c>
      <c r="Z110" s="4">
        <v>11024</v>
      </c>
      <c r="AA110" s="39">
        <v>1000</v>
      </c>
      <c r="AB110" s="62" t="s">
        <v>598</v>
      </c>
      <c r="AC110" s="4">
        <v>300</v>
      </c>
      <c r="AD110" s="4">
        <v>1</v>
      </c>
      <c r="AE110" s="4" t="s">
        <v>178</v>
      </c>
      <c r="AF110" s="4" t="s">
        <v>646</v>
      </c>
      <c r="AG110" s="4" t="s">
        <v>180</v>
      </c>
      <c r="AH110" s="4" t="s">
        <v>647</v>
      </c>
      <c r="AI110" s="4" t="s">
        <v>182</v>
      </c>
      <c r="AJ110" s="4" t="s">
        <v>648</v>
      </c>
    </row>
    <row r="111" spans="1:36">
      <c r="A111" s="12">
        <v>100020001</v>
      </c>
      <c r="B111" s="12">
        <v>2</v>
      </c>
      <c r="C111" s="12" t="s">
        <v>649</v>
      </c>
      <c r="D111" s="12"/>
      <c r="E111" s="12"/>
      <c r="F111" s="12">
        <v>100020002</v>
      </c>
      <c r="G111" s="12" t="s">
        <v>650</v>
      </c>
      <c r="H111" s="12">
        <v>110</v>
      </c>
      <c r="I111" s="12" t="s">
        <v>651</v>
      </c>
      <c r="J111" s="12"/>
      <c r="K111" s="13"/>
      <c r="L111" s="10"/>
      <c r="M111" s="10" t="s">
        <v>175</v>
      </c>
      <c r="N111" s="8"/>
      <c r="O111" s="6"/>
      <c r="P111" s="6"/>
      <c r="Q111" t="b">
        <v>0</v>
      </c>
      <c r="R111" s="6"/>
      <c r="S111" s="6">
        <v>74001</v>
      </c>
      <c r="T111" s="6"/>
      <c r="U111" s="4" t="s">
        <v>652</v>
      </c>
    </row>
    <row r="112" spans="1:36">
      <c r="A112" s="12">
        <v>100020002</v>
      </c>
      <c r="B112" s="12">
        <v>2</v>
      </c>
      <c r="C112" s="12" t="s">
        <v>649</v>
      </c>
      <c r="D112" s="12"/>
      <c r="E112" s="12"/>
      <c r="F112" s="12">
        <v>100020003</v>
      </c>
      <c r="G112" s="12" t="s">
        <v>653</v>
      </c>
      <c r="H112" s="12"/>
      <c r="I112" s="12" t="s">
        <v>654</v>
      </c>
      <c r="J112" s="12"/>
      <c r="K112" s="13"/>
      <c r="L112" s="10"/>
      <c r="M112" s="10" t="s">
        <v>175</v>
      </c>
      <c r="N112" s="8"/>
      <c r="O112" s="6"/>
      <c r="P112" s="6"/>
      <c r="Q112" t="b">
        <v>0</v>
      </c>
      <c r="R112" s="6"/>
      <c r="S112" s="6">
        <v>74002</v>
      </c>
      <c r="T112" s="6"/>
      <c r="U112" s="4" t="s">
        <v>655</v>
      </c>
    </row>
    <row r="113" spans="1:21">
      <c r="A113" s="12">
        <v>100020003</v>
      </c>
      <c r="B113" s="12">
        <v>2</v>
      </c>
      <c r="C113" s="12" t="s">
        <v>649</v>
      </c>
      <c r="D113" s="12"/>
      <c r="E113" s="12"/>
      <c r="F113" s="12">
        <v>100020004</v>
      </c>
      <c r="G113" s="12" t="s">
        <v>656</v>
      </c>
      <c r="H113" s="12">
        <v>111</v>
      </c>
      <c r="I113" s="12" t="s">
        <v>657</v>
      </c>
      <c r="J113" s="12"/>
      <c r="K113" s="13"/>
      <c r="L113" s="10"/>
      <c r="M113" s="10" t="s">
        <v>175</v>
      </c>
      <c r="N113" s="8"/>
      <c r="O113" s="6"/>
      <c r="P113" s="6"/>
      <c r="Q113" t="b">
        <v>0</v>
      </c>
      <c r="R113" s="6"/>
      <c r="S113" s="6">
        <v>74003</v>
      </c>
      <c r="T113" s="6"/>
      <c r="U113" s="4" t="s">
        <v>658</v>
      </c>
    </row>
    <row r="114" spans="1:21">
      <c r="A114" s="12">
        <v>100020004</v>
      </c>
      <c r="B114" s="12">
        <v>2</v>
      </c>
      <c r="C114" s="12" t="s">
        <v>649</v>
      </c>
      <c r="D114" s="12"/>
      <c r="E114" s="12"/>
      <c r="F114" s="12">
        <v>100020005</v>
      </c>
      <c r="G114" s="12" t="s">
        <v>659</v>
      </c>
      <c r="H114" s="12"/>
      <c r="I114" s="12" t="s">
        <v>660</v>
      </c>
      <c r="J114" s="12"/>
      <c r="K114" s="13"/>
      <c r="L114" s="10"/>
      <c r="M114" s="10" t="s">
        <v>175</v>
      </c>
      <c r="N114" s="8"/>
      <c r="O114" s="6"/>
      <c r="P114" s="6"/>
      <c r="Q114" t="b">
        <v>0</v>
      </c>
      <c r="R114" s="6"/>
      <c r="S114" s="6">
        <v>74004</v>
      </c>
      <c r="T114" s="6"/>
      <c r="U114" s="4" t="s">
        <v>661</v>
      </c>
    </row>
    <row r="115" spans="1:21">
      <c r="A115" s="12">
        <v>100020005</v>
      </c>
      <c r="B115" s="12">
        <v>2</v>
      </c>
      <c r="C115" s="12" t="s">
        <v>649</v>
      </c>
      <c r="D115" s="12"/>
      <c r="E115" s="12"/>
      <c r="F115" s="12">
        <v>100020006</v>
      </c>
      <c r="G115" s="12" t="s">
        <v>662</v>
      </c>
      <c r="H115" s="12"/>
      <c r="I115" s="12" t="s">
        <v>663</v>
      </c>
      <c r="J115" s="12"/>
      <c r="K115" s="13"/>
      <c r="L115" s="10"/>
      <c r="M115" s="10" t="s">
        <v>175</v>
      </c>
      <c r="N115" s="8"/>
      <c r="O115" s="6"/>
      <c r="P115" s="6"/>
      <c r="Q115" t="b">
        <v>0</v>
      </c>
      <c r="R115" s="6"/>
      <c r="S115" s="6">
        <v>74005</v>
      </c>
      <c r="T115" s="6"/>
      <c r="U115" s="4" t="s">
        <v>664</v>
      </c>
    </row>
    <row r="116" spans="1:21">
      <c r="A116" s="12">
        <v>100020006</v>
      </c>
      <c r="B116" s="12">
        <v>2</v>
      </c>
      <c r="C116" s="12" t="s">
        <v>649</v>
      </c>
      <c r="D116" s="12"/>
      <c r="E116" s="12"/>
      <c r="F116" s="12">
        <v>100020007</v>
      </c>
      <c r="G116" s="12" t="s">
        <v>665</v>
      </c>
      <c r="H116" s="12"/>
      <c r="I116" s="12" t="s">
        <v>666</v>
      </c>
      <c r="J116" s="12"/>
      <c r="K116" s="13"/>
      <c r="L116" s="10"/>
      <c r="M116" s="10" t="s">
        <v>175</v>
      </c>
      <c r="N116" s="8"/>
      <c r="O116" s="6"/>
      <c r="P116" s="6"/>
      <c r="Q116" t="b">
        <v>0</v>
      </c>
      <c r="R116" s="6"/>
      <c r="S116" s="6">
        <v>74006</v>
      </c>
      <c r="T116" s="6"/>
      <c r="U116" s="4" t="s">
        <v>667</v>
      </c>
    </row>
    <row r="117" spans="1:21">
      <c r="A117" s="12">
        <v>100020007</v>
      </c>
      <c r="B117" s="12">
        <v>2</v>
      </c>
      <c r="C117" s="12" t="s">
        <v>649</v>
      </c>
      <c r="D117" s="12"/>
      <c r="E117" s="12"/>
      <c r="F117" s="12">
        <v>100020008</v>
      </c>
      <c r="G117" s="12" t="s">
        <v>668</v>
      </c>
      <c r="H117" s="12">
        <v>103</v>
      </c>
      <c r="I117" s="12" t="s">
        <v>669</v>
      </c>
      <c r="J117" s="12"/>
      <c r="K117" s="13"/>
      <c r="L117" s="10"/>
      <c r="M117" s="10" t="s">
        <v>175</v>
      </c>
      <c r="N117" s="8"/>
      <c r="O117" s="6"/>
      <c r="P117" s="6"/>
      <c r="Q117" t="b">
        <v>0</v>
      </c>
      <c r="R117" s="6"/>
      <c r="S117" s="6">
        <v>74007</v>
      </c>
      <c r="T117" s="6"/>
      <c r="U117" s="4" t="s">
        <v>670</v>
      </c>
    </row>
    <row r="118" spans="1:21">
      <c r="A118" s="12">
        <v>100020008</v>
      </c>
      <c r="B118" s="12">
        <v>2</v>
      </c>
      <c r="C118" s="12" t="s">
        <v>649</v>
      </c>
      <c r="D118" s="12"/>
      <c r="E118" s="12"/>
      <c r="F118" s="12">
        <v>100020009</v>
      </c>
      <c r="G118" s="12" t="s">
        <v>671</v>
      </c>
      <c r="H118" s="12"/>
      <c r="I118" s="12" t="s">
        <v>672</v>
      </c>
      <c r="J118" s="12"/>
      <c r="K118" s="13"/>
      <c r="L118" s="10"/>
      <c r="M118" s="10" t="s">
        <v>175</v>
      </c>
      <c r="N118" s="8"/>
      <c r="O118" s="6"/>
      <c r="P118" s="6"/>
      <c r="Q118" t="b">
        <v>0</v>
      </c>
      <c r="R118" s="6"/>
      <c r="S118" s="6">
        <v>74008</v>
      </c>
      <c r="T118" s="6"/>
      <c r="U118" s="4" t="s">
        <v>673</v>
      </c>
    </row>
    <row r="119" spans="1:21">
      <c r="A119" s="12">
        <v>100020009</v>
      </c>
      <c r="B119" s="12">
        <v>2</v>
      </c>
      <c r="C119" s="12" t="s">
        <v>649</v>
      </c>
      <c r="D119" s="12"/>
      <c r="E119" s="12"/>
      <c r="F119" s="12">
        <v>100020010</v>
      </c>
      <c r="G119" s="12" t="s">
        <v>674</v>
      </c>
      <c r="H119" s="12"/>
      <c r="I119" s="12" t="s">
        <v>675</v>
      </c>
      <c r="J119" s="12"/>
      <c r="K119" s="13"/>
      <c r="L119" s="10"/>
      <c r="M119" s="10" t="s">
        <v>175</v>
      </c>
      <c r="N119" s="8"/>
      <c r="O119" s="6"/>
      <c r="P119" s="6"/>
      <c r="Q119" t="b">
        <v>0</v>
      </c>
      <c r="R119" s="6"/>
      <c r="S119" s="6">
        <v>74009</v>
      </c>
      <c r="T119" s="6"/>
      <c r="U119" s="4" t="s">
        <v>676</v>
      </c>
    </row>
    <row r="120" spans="1:21">
      <c r="A120" s="12">
        <v>100020010</v>
      </c>
      <c r="B120" s="12">
        <v>2</v>
      </c>
      <c r="C120" s="12" t="s">
        <v>649</v>
      </c>
      <c r="D120" s="12"/>
      <c r="E120" s="12"/>
      <c r="F120" s="12"/>
      <c r="G120" s="12" t="s">
        <v>677</v>
      </c>
      <c r="H120" s="12">
        <v>104</v>
      </c>
      <c r="I120" s="12" t="s">
        <v>678</v>
      </c>
      <c r="J120" s="12"/>
      <c r="K120" s="13"/>
      <c r="L120" s="10"/>
      <c r="M120" s="10" t="s">
        <v>175</v>
      </c>
      <c r="N120" s="8"/>
      <c r="O120" s="6"/>
      <c r="P120" s="6"/>
      <c r="Q120" t="b">
        <v>0</v>
      </c>
      <c r="R120" s="6"/>
      <c r="S120" s="6">
        <v>74010</v>
      </c>
      <c r="T120" s="6"/>
      <c r="U120" s="4" t="s">
        <v>679</v>
      </c>
    </row>
    <row r="121" spans="1:21">
      <c r="A121" s="52">
        <v>100030001</v>
      </c>
      <c r="B121" s="52">
        <v>3</v>
      </c>
      <c r="C121" s="52" t="s">
        <v>680</v>
      </c>
      <c r="D121" s="52">
        <v>30001</v>
      </c>
      <c r="E121" s="52"/>
      <c r="F121" s="52">
        <v>100030002</v>
      </c>
      <c r="G121" s="52" t="s">
        <v>650</v>
      </c>
      <c r="H121" s="52"/>
      <c r="I121" s="52" t="s">
        <v>651</v>
      </c>
      <c r="J121" s="52"/>
      <c r="K121" s="53"/>
      <c r="L121" s="54"/>
      <c r="M121" s="54" t="s">
        <v>175</v>
      </c>
      <c r="N121" s="55"/>
      <c r="O121" s="56"/>
      <c r="P121" s="56"/>
      <c r="Q121" t="b">
        <v>0</v>
      </c>
      <c r="R121" s="56"/>
      <c r="S121" s="56">
        <v>75001</v>
      </c>
      <c r="T121" s="56"/>
      <c r="U121" s="4" t="s">
        <v>652</v>
      </c>
    </row>
    <row r="122" spans="1:21">
      <c r="A122" s="52">
        <v>100030002</v>
      </c>
      <c r="B122" s="52">
        <v>3</v>
      </c>
      <c r="C122" s="52" t="s">
        <v>680</v>
      </c>
      <c r="D122" s="52">
        <v>30001</v>
      </c>
      <c r="E122" s="52"/>
      <c r="F122" s="52">
        <v>100030003</v>
      </c>
      <c r="G122" s="52" t="s">
        <v>653</v>
      </c>
      <c r="H122" s="52"/>
      <c r="I122" s="52" t="s">
        <v>654</v>
      </c>
      <c r="J122" s="52"/>
      <c r="K122" s="53"/>
      <c r="L122" s="54"/>
      <c r="M122" s="54" t="s">
        <v>175</v>
      </c>
      <c r="N122" s="55"/>
      <c r="O122" s="56"/>
      <c r="P122" s="56"/>
      <c r="Q122" t="b">
        <v>0</v>
      </c>
      <c r="R122" s="56"/>
      <c r="S122" s="56">
        <v>75002</v>
      </c>
      <c r="T122" s="56"/>
      <c r="U122" s="4" t="s">
        <v>655</v>
      </c>
    </row>
    <row r="123" spans="1:21">
      <c r="A123" s="52">
        <v>100030003</v>
      </c>
      <c r="B123" s="52">
        <v>3</v>
      </c>
      <c r="C123" s="52" t="s">
        <v>680</v>
      </c>
      <c r="D123" s="52">
        <v>30001</v>
      </c>
      <c r="E123" s="52"/>
      <c r="F123" s="52">
        <v>100030004</v>
      </c>
      <c r="G123" s="52" t="s">
        <v>656</v>
      </c>
      <c r="H123" s="52"/>
      <c r="I123" s="52" t="s">
        <v>657</v>
      </c>
      <c r="J123" s="52"/>
      <c r="K123" s="53"/>
      <c r="L123" s="54"/>
      <c r="M123" s="54" t="s">
        <v>175</v>
      </c>
      <c r="N123" s="55"/>
      <c r="O123" s="56"/>
      <c r="P123" s="56"/>
      <c r="Q123" t="b">
        <v>0</v>
      </c>
      <c r="R123" s="56"/>
      <c r="S123" s="56">
        <v>75003</v>
      </c>
      <c r="T123" s="56"/>
      <c r="U123" s="4" t="s">
        <v>658</v>
      </c>
    </row>
    <row r="124" spans="1:21">
      <c r="A124" s="52">
        <v>100030004</v>
      </c>
      <c r="B124" s="52">
        <v>3</v>
      </c>
      <c r="C124" s="52" t="s">
        <v>680</v>
      </c>
      <c r="D124" s="52">
        <v>30001</v>
      </c>
      <c r="E124" s="52"/>
      <c r="F124" s="52">
        <v>100030005</v>
      </c>
      <c r="G124" s="52" t="s">
        <v>659</v>
      </c>
      <c r="H124" s="52"/>
      <c r="I124" s="52" t="s">
        <v>660</v>
      </c>
      <c r="J124" s="52"/>
      <c r="K124" s="53"/>
      <c r="L124" s="54"/>
      <c r="M124" s="54" t="s">
        <v>175</v>
      </c>
      <c r="N124" s="55"/>
      <c r="O124" s="56"/>
      <c r="P124" s="56"/>
      <c r="Q124" t="b">
        <v>0</v>
      </c>
      <c r="R124" s="56"/>
      <c r="S124" s="56">
        <v>75004</v>
      </c>
      <c r="T124" s="56"/>
      <c r="U124" s="4" t="s">
        <v>661</v>
      </c>
    </row>
    <row r="125" spans="1:21">
      <c r="A125" s="52">
        <v>100030005</v>
      </c>
      <c r="B125" s="52">
        <v>3</v>
      </c>
      <c r="C125" s="52" t="s">
        <v>680</v>
      </c>
      <c r="D125" s="52">
        <v>30001</v>
      </c>
      <c r="E125" s="52"/>
      <c r="F125" s="52">
        <v>100030006</v>
      </c>
      <c r="G125" s="52" t="s">
        <v>681</v>
      </c>
      <c r="H125" s="52"/>
      <c r="I125" s="52" t="s">
        <v>663</v>
      </c>
      <c r="J125" s="52"/>
      <c r="K125" s="53"/>
      <c r="L125" s="54"/>
      <c r="M125" s="54" t="s">
        <v>175</v>
      </c>
      <c r="N125" s="55"/>
      <c r="O125" s="56"/>
      <c r="P125" s="56"/>
      <c r="Q125" t="b">
        <v>0</v>
      </c>
      <c r="R125" s="56"/>
      <c r="S125" s="56">
        <v>75005</v>
      </c>
      <c r="T125" s="56"/>
      <c r="U125" s="4" t="s">
        <v>664</v>
      </c>
    </row>
    <row r="126" spans="1:21">
      <c r="A126" s="52">
        <v>100030006</v>
      </c>
      <c r="B126" s="52">
        <v>3</v>
      </c>
      <c r="C126" s="52" t="s">
        <v>680</v>
      </c>
      <c r="D126" s="52">
        <v>30001</v>
      </c>
      <c r="E126" s="52"/>
      <c r="F126" s="52"/>
      <c r="G126" s="52" t="s">
        <v>665</v>
      </c>
      <c r="H126" s="52"/>
      <c r="I126" s="52" t="s">
        <v>682</v>
      </c>
      <c r="J126" s="52"/>
      <c r="K126" s="53"/>
      <c r="L126" s="54"/>
      <c r="M126" s="54" t="s">
        <v>175</v>
      </c>
      <c r="N126" s="55"/>
      <c r="O126" s="56"/>
      <c r="P126" s="56"/>
      <c r="Q126" t="b">
        <v>0</v>
      </c>
      <c r="R126" s="56"/>
      <c r="S126" s="56">
        <v>75006</v>
      </c>
      <c r="T126" s="56"/>
      <c r="U126" s="4" t="s">
        <v>667</v>
      </c>
    </row>
    <row r="127" spans="1:21">
      <c r="A127" s="57">
        <v>100030011</v>
      </c>
      <c r="B127" s="57">
        <v>3</v>
      </c>
      <c r="C127" s="57" t="s">
        <v>680</v>
      </c>
      <c r="D127" s="57">
        <v>30011</v>
      </c>
      <c r="E127" s="57"/>
      <c r="F127" s="57">
        <v>100030012</v>
      </c>
      <c r="G127" s="57" t="s">
        <v>683</v>
      </c>
      <c r="H127" s="57"/>
      <c r="I127" s="57" t="s">
        <v>651</v>
      </c>
      <c r="J127" s="57"/>
      <c r="K127" s="58"/>
      <c r="L127" s="59"/>
      <c r="M127" s="59" t="s">
        <v>175</v>
      </c>
      <c r="N127" s="60"/>
      <c r="O127" s="61"/>
      <c r="P127" s="61"/>
      <c r="Q127" t="b">
        <v>0</v>
      </c>
      <c r="R127" s="61"/>
      <c r="S127" s="61">
        <v>75011</v>
      </c>
      <c r="T127" s="61"/>
      <c r="U127" s="4" t="s">
        <v>684</v>
      </c>
    </row>
    <row r="128" spans="1:21">
      <c r="A128" s="57">
        <v>100030012</v>
      </c>
      <c r="B128" s="57">
        <v>3</v>
      </c>
      <c r="C128" s="57" t="s">
        <v>680</v>
      </c>
      <c r="D128" s="57">
        <v>30011</v>
      </c>
      <c r="E128" s="57"/>
      <c r="F128" s="57">
        <v>100030013</v>
      </c>
      <c r="G128" s="57" t="s">
        <v>685</v>
      </c>
      <c r="H128" s="57"/>
      <c r="I128" s="57" t="s">
        <v>654</v>
      </c>
      <c r="J128" s="57"/>
      <c r="K128" s="58"/>
      <c r="L128" s="59"/>
      <c r="M128" s="59" t="s">
        <v>175</v>
      </c>
      <c r="N128" s="60"/>
      <c r="O128" s="61"/>
      <c r="P128" s="61"/>
      <c r="Q128" t="b">
        <v>0</v>
      </c>
      <c r="R128" s="61"/>
      <c r="S128" s="61">
        <v>75012</v>
      </c>
      <c r="T128" s="61"/>
      <c r="U128" s="4" t="s">
        <v>686</v>
      </c>
    </row>
    <row r="129" spans="1:21">
      <c r="A129" s="57">
        <v>100030013</v>
      </c>
      <c r="B129" s="57">
        <v>3</v>
      </c>
      <c r="C129" s="57" t="s">
        <v>680</v>
      </c>
      <c r="D129" s="57">
        <v>30011</v>
      </c>
      <c r="E129" s="57"/>
      <c r="F129" s="57">
        <v>100030014</v>
      </c>
      <c r="G129" s="57" t="s">
        <v>687</v>
      </c>
      <c r="H129" s="57"/>
      <c r="I129" s="57" t="s">
        <v>657</v>
      </c>
      <c r="J129" s="57"/>
      <c r="K129" s="58"/>
      <c r="L129" s="59"/>
      <c r="M129" s="59" t="s">
        <v>175</v>
      </c>
      <c r="N129" s="60"/>
      <c r="O129" s="61"/>
      <c r="P129" s="61"/>
      <c r="Q129" t="b">
        <v>0</v>
      </c>
      <c r="R129" s="61"/>
      <c r="S129" s="61">
        <v>75013</v>
      </c>
      <c r="T129" s="61"/>
      <c r="U129" s="4" t="s">
        <v>688</v>
      </c>
    </row>
    <row r="130" spans="1:21">
      <c r="A130" s="57">
        <v>100030014</v>
      </c>
      <c r="B130" s="57">
        <v>3</v>
      </c>
      <c r="C130" s="57" t="s">
        <v>680</v>
      </c>
      <c r="D130" s="57">
        <v>30011</v>
      </c>
      <c r="E130" s="57"/>
      <c r="F130" s="57">
        <v>100030015</v>
      </c>
      <c r="G130" s="57" t="s">
        <v>689</v>
      </c>
      <c r="H130" s="57"/>
      <c r="I130" s="57" t="s">
        <v>660</v>
      </c>
      <c r="J130" s="57"/>
      <c r="K130" s="58"/>
      <c r="L130" s="59"/>
      <c r="M130" s="59" t="s">
        <v>175</v>
      </c>
      <c r="N130" s="60"/>
      <c r="O130" s="61"/>
      <c r="P130" s="61"/>
      <c r="Q130" t="b">
        <v>0</v>
      </c>
      <c r="R130" s="61"/>
      <c r="S130" s="61">
        <v>75014</v>
      </c>
      <c r="T130" s="61"/>
      <c r="U130" s="4" t="s">
        <v>690</v>
      </c>
    </row>
    <row r="131" spans="1:21">
      <c r="A131" s="57">
        <v>100030015</v>
      </c>
      <c r="B131" s="57">
        <v>3</v>
      </c>
      <c r="C131" s="57" t="s">
        <v>680</v>
      </c>
      <c r="D131" s="57">
        <v>30011</v>
      </c>
      <c r="E131" s="57"/>
      <c r="F131" s="57">
        <v>100030016</v>
      </c>
      <c r="G131" s="57" t="s">
        <v>691</v>
      </c>
      <c r="H131" s="57"/>
      <c r="I131" s="57" t="s">
        <v>663</v>
      </c>
      <c r="J131" s="57"/>
      <c r="K131" s="58"/>
      <c r="L131" s="59"/>
      <c r="M131" s="59" t="s">
        <v>175</v>
      </c>
      <c r="N131" s="60"/>
      <c r="O131" s="61"/>
      <c r="P131" s="61"/>
      <c r="Q131" t="b">
        <v>0</v>
      </c>
      <c r="R131" s="61"/>
      <c r="S131" s="61">
        <v>75015</v>
      </c>
      <c r="T131" s="61"/>
      <c r="U131" s="4" t="s">
        <v>692</v>
      </c>
    </row>
    <row r="132" spans="1:21">
      <c r="A132" s="57">
        <v>100030016</v>
      </c>
      <c r="B132" s="57">
        <v>3</v>
      </c>
      <c r="C132" s="57" t="s">
        <v>680</v>
      </c>
      <c r="D132" s="57">
        <v>30011</v>
      </c>
      <c r="E132" s="57"/>
      <c r="F132" s="57"/>
      <c r="G132" s="57" t="s">
        <v>693</v>
      </c>
      <c r="H132" s="57"/>
      <c r="I132" s="57" t="s">
        <v>694</v>
      </c>
      <c r="J132" s="57"/>
      <c r="K132" s="58"/>
      <c r="L132" s="59"/>
      <c r="M132" s="59" t="s">
        <v>175</v>
      </c>
      <c r="N132" s="60"/>
      <c r="O132" s="61"/>
      <c r="P132" s="61"/>
      <c r="Q132" t="b">
        <v>0</v>
      </c>
      <c r="R132" s="61"/>
      <c r="S132" s="61">
        <v>75016</v>
      </c>
      <c r="T132" s="61"/>
      <c r="U132" s="4" t="s">
        <v>695</v>
      </c>
    </row>
    <row r="133" spans="1:21">
      <c r="A133" s="4">
        <v>100040001</v>
      </c>
      <c r="B133" s="4">
        <v>4</v>
      </c>
      <c r="C133" s="4" t="s">
        <v>696</v>
      </c>
      <c r="G133" s="4" t="s">
        <v>697</v>
      </c>
      <c r="I133" s="4" t="s">
        <v>651</v>
      </c>
      <c r="N133" s="37"/>
      <c r="O133" s="37">
        <v>1</v>
      </c>
      <c r="P133" s="37"/>
      <c r="Q133" t="b">
        <v>0</v>
      </c>
      <c r="R133" s="37"/>
      <c r="S133" s="49"/>
      <c r="T133" s="49" t="s">
        <v>698</v>
      </c>
      <c r="U133" s="4" t="s">
        <v>699</v>
      </c>
    </row>
    <row r="134" spans="1:21">
      <c r="A134" s="4">
        <v>100040002</v>
      </c>
      <c r="B134" s="4">
        <v>4</v>
      </c>
      <c r="C134" s="4" t="s">
        <v>696</v>
      </c>
      <c r="G134" s="4" t="s">
        <v>700</v>
      </c>
      <c r="I134" s="4" t="s">
        <v>654</v>
      </c>
      <c r="N134" s="37"/>
      <c r="O134" s="37">
        <v>2</v>
      </c>
      <c r="P134" s="37"/>
      <c r="Q134" t="b">
        <v>0</v>
      </c>
      <c r="R134" s="37"/>
      <c r="S134" s="49"/>
      <c r="T134" s="49" t="s">
        <v>701</v>
      </c>
      <c r="U134" s="4" t="s">
        <v>702</v>
      </c>
    </row>
    <row r="135" spans="1:21">
      <c r="A135" s="4">
        <v>100040003</v>
      </c>
      <c r="B135" s="4">
        <v>4</v>
      </c>
      <c r="C135" s="4" t="s">
        <v>696</v>
      </c>
      <c r="G135" s="4" t="s">
        <v>703</v>
      </c>
      <c r="I135" s="4" t="s">
        <v>657</v>
      </c>
      <c r="N135" s="37"/>
      <c r="O135" s="37">
        <v>3</v>
      </c>
      <c r="P135" s="37"/>
      <c r="Q135" t="b">
        <v>0</v>
      </c>
      <c r="R135" s="37"/>
      <c r="S135" s="49"/>
      <c r="T135" s="49" t="s">
        <v>662</v>
      </c>
      <c r="U135" s="4" t="s">
        <v>704</v>
      </c>
    </row>
    <row r="136" spans="1:21">
      <c r="A136" s="4">
        <v>100040004</v>
      </c>
      <c r="B136" s="4">
        <v>4</v>
      </c>
      <c r="C136" s="4" t="s">
        <v>696</v>
      </c>
      <c r="G136" s="4" t="s">
        <v>705</v>
      </c>
      <c r="I136" s="4" t="s">
        <v>651</v>
      </c>
      <c r="N136" s="37"/>
      <c r="O136" s="37">
        <v>1</v>
      </c>
      <c r="P136" s="37"/>
      <c r="Q136" t="b">
        <v>0</v>
      </c>
      <c r="R136" s="37"/>
      <c r="S136" s="49"/>
      <c r="T136" s="49" t="s">
        <v>698</v>
      </c>
      <c r="U136" s="4" t="s">
        <v>706</v>
      </c>
    </row>
    <row r="137" spans="1:21">
      <c r="A137" s="4">
        <v>100040005</v>
      </c>
      <c r="B137" s="4">
        <v>4</v>
      </c>
      <c r="C137" s="4" t="s">
        <v>696</v>
      </c>
      <c r="G137" s="4" t="s">
        <v>707</v>
      </c>
      <c r="I137" s="4" t="s">
        <v>654</v>
      </c>
      <c r="N137" s="37"/>
      <c r="O137" s="37">
        <v>2</v>
      </c>
      <c r="P137" s="37"/>
      <c r="Q137" t="b">
        <v>0</v>
      </c>
      <c r="R137" s="37"/>
      <c r="S137" s="49"/>
      <c r="T137" s="49" t="s">
        <v>701</v>
      </c>
      <c r="U137" s="4" t="s">
        <v>708</v>
      </c>
    </row>
    <row r="138" spans="1:21">
      <c r="A138" s="4">
        <v>100040006</v>
      </c>
      <c r="B138" s="4">
        <v>4</v>
      </c>
      <c r="C138" s="4" t="s">
        <v>696</v>
      </c>
      <c r="G138" s="4" t="s">
        <v>709</v>
      </c>
      <c r="I138" s="4" t="s">
        <v>657</v>
      </c>
      <c r="N138" s="37"/>
      <c r="O138" s="37">
        <v>3</v>
      </c>
      <c r="P138" s="37"/>
      <c r="Q138" t="b">
        <v>0</v>
      </c>
      <c r="R138" s="37"/>
      <c r="S138" s="49"/>
      <c r="T138" s="49" t="s">
        <v>662</v>
      </c>
      <c r="U138" s="4" t="s">
        <v>710</v>
      </c>
    </row>
    <row r="139" spans="1:21">
      <c r="A139" s="4">
        <v>100040007</v>
      </c>
      <c r="B139" s="4">
        <v>4</v>
      </c>
      <c r="C139" s="4" t="s">
        <v>696</v>
      </c>
      <c r="G139" s="4" t="s">
        <v>711</v>
      </c>
      <c r="I139" s="4" t="s">
        <v>651</v>
      </c>
      <c r="N139" s="37"/>
      <c r="O139" s="37">
        <v>1</v>
      </c>
      <c r="P139" s="37"/>
      <c r="Q139" t="b">
        <v>0</v>
      </c>
      <c r="R139" s="37"/>
      <c r="S139" s="49"/>
      <c r="T139" s="49" t="s">
        <v>698</v>
      </c>
      <c r="U139" s="4" t="s">
        <v>712</v>
      </c>
    </row>
    <row r="140" spans="1:21">
      <c r="A140" s="4">
        <v>100040008</v>
      </c>
      <c r="B140" s="4">
        <v>4</v>
      </c>
      <c r="C140" s="4" t="s">
        <v>696</v>
      </c>
      <c r="G140" s="4" t="s">
        <v>713</v>
      </c>
      <c r="I140" s="4" t="s">
        <v>654</v>
      </c>
      <c r="N140" s="37"/>
      <c r="O140" s="37">
        <v>2</v>
      </c>
      <c r="P140" s="37"/>
      <c r="Q140" t="b">
        <v>0</v>
      </c>
      <c r="R140" s="37"/>
      <c r="S140" s="49"/>
      <c r="T140" s="49" t="s">
        <v>701</v>
      </c>
      <c r="U140" s="4" t="s">
        <v>714</v>
      </c>
    </row>
    <row r="141" spans="1:21">
      <c r="A141" s="4">
        <v>100040009</v>
      </c>
      <c r="B141" s="4">
        <v>4</v>
      </c>
      <c r="C141" s="4" t="s">
        <v>696</v>
      </c>
      <c r="G141" s="4" t="s">
        <v>715</v>
      </c>
      <c r="I141" s="4" t="s">
        <v>657</v>
      </c>
      <c r="N141" s="37"/>
      <c r="O141" s="37">
        <v>3</v>
      </c>
      <c r="P141" s="37"/>
      <c r="Q141" t="b">
        <v>0</v>
      </c>
      <c r="R141" s="37"/>
      <c r="S141" s="49"/>
      <c r="T141" s="49" t="s">
        <v>662</v>
      </c>
      <c r="U141" s="4" t="s">
        <v>716</v>
      </c>
    </row>
    <row r="142" spans="1:21">
      <c r="A142" s="4">
        <v>100040010</v>
      </c>
      <c r="B142" s="4">
        <v>4</v>
      </c>
      <c r="C142" s="4" t="s">
        <v>696</v>
      </c>
      <c r="G142" s="4" t="s">
        <v>717</v>
      </c>
      <c r="I142" s="4" t="s">
        <v>651</v>
      </c>
      <c r="N142" s="37"/>
      <c r="O142" s="37">
        <v>1</v>
      </c>
      <c r="P142" s="37"/>
      <c r="Q142" t="b">
        <v>0</v>
      </c>
      <c r="R142" s="37"/>
      <c r="S142" s="49"/>
      <c r="T142" s="49" t="s">
        <v>698</v>
      </c>
      <c r="U142" s="4" t="s">
        <v>718</v>
      </c>
    </row>
    <row r="143" spans="1:21">
      <c r="A143" s="4">
        <v>100040011</v>
      </c>
      <c r="B143" s="4">
        <v>4</v>
      </c>
      <c r="C143" s="4" t="s">
        <v>696</v>
      </c>
      <c r="G143" s="4" t="s">
        <v>719</v>
      </c>
      <c r="I143" s="4" t="s">
        <v>654</v>
      </c>
      <c r="N143" s="37"/>
      <c r="O143" s="37">
        <v>2</v>
      </c>
      <c r="P143" s="37"/>
      <c r="Q143" t="b">
        <v>0</v>
      </c>
      <c r="R143" s="37"/>
      <c r="S143" s="49"/>
      <c r="T143" s="49" t="s">
        <v>701</v>
      </c>
      <c r="U143" s="4" t="s">
        <v>720</v>
      </c>
    </row>
    <row r="144" spans="1:21">
      <c r="A144" s="4">
        <v>100040012</v>
      </c>
      <c r="B144" s="4">
        <v>4</v>
      </c>
      <c r="C144" s="4" t="s">
        <v>696</v>
      </c>
      <c r="G144" s="4" t="s">
        <v>721</v>
      </c>
      <c r="I144" s="4" t="s">
        <v>657</v>
      </c>
      <c r="N144" s="37"/>
      <c r="O144" s="37">
        <v>3</v>
      </c>
      <c r="P144" s="37"/>
      <c r="Q144" t="b">
        <v>0</v>
      </c>
      <c r="R144" s="37"/>
      <c r="S144" s="49"/>
      <c r="T144" s="49" t="s">
        <v>662</v>
      </c>
      <c r="U144" s="4" t="s">
        <v>722</v>
      </c>
    </row>
    <row r="145" spans="1:21">
      <c r="A145" s="4">
        <v>100040013</v>
      </c>
      <c r="B145" s="4">
        <v>4</v>
      </c>
      <c r="C145" s="4" t="s">
        <v>696</v>
      </c>
      <c r="G145" s="4" t="s">
        <v>723</v>
      </c>
      <c r="I145" s="4" t="s">
        <v>651</v>
      </c>
      <c r="N145" s="37"/>
      <c r="O145" s="37">
        <v>1</v>
      </c>
      <c r="P145" s="37"/>
      <c r="Q145" t="b">
        <v>0</v>
      </c>
      <c r="R145" s="37"/>
      <c r="S145" s="49"/>
      <c r="T145" s="49" t="s">
        <v>698</v>
      </c>
      <c r="U145" s="4" t="s">
        <v>724</v>
      </c>
    </row>
    <row r="146" spans="1:21">
      <c r="A146" s="4">
        <v>100040014</v>
      </c>
      <c r="B146" s="4">
        <v>4</v>
      </c>
      <c r="C146" s="4" t="s">
        <v>696</v>
      </c>
      <c r="G146" s="4" t="s">
        <v>725</v>
      </c>
      <c r="I146" s="4" t="s">
        <v>654</v>
      </c>
      <c r="N146" s="37"/>
      <c r="O146" s="37">
        <v>2</v>
      </c>
      <c r="P146" s="37"/>
      <c r="Q146" t="b">
        <v>0</v>
      </c>
      <c r="R146" s="37"/>
      <c r="S146" s="49"/>
      <c r="T146" s="49" t="s">
        <v>701</v>
      </c>
      <c r="U146" s="4" t="s">
        <v>726</v>
      </c>
    </row>
    <row r="147" spans="1:21">
      <c r="A147" s="4">
        <v>100040015</v>
      </c>
      <c r="B147" s="4">
        <v>4</v>
      </c>
      <c r="C147" s="4" t="s">
        <v>696</v>
      </c>
      <c r="G147" s="4" t="s">
        <v>727</v>
      </c>
      <c r="I147" s="4" t="s">
        <v>657</v>
      </c>
      <c r="N147" s="37"/>
      <c r="O147" s="37">
        <v>3</v>
      </c>
      <c r="P147" s="37"/>
      <c r="Q147" t="b">
        <v>0</v>
      </c>
      <c r="R147" s="37"/>
      <c r="S147" s="49"/>
      <c r="T147" s="49" t="s">
        <v>662</v>
      </c>
      <c r="U147" s="4" t="s">
        <v>728</v>
      </c>
    </row>
    <row r="148" spans="1:21">
      <c r="A148" s="4">
        <v>100040016</v>
      </c>
      <c r="B148" s="4">
        <v>4</v>
      </c>
      <c r="C148" s="4" t="s">
        <v>696</v>
      </c>
      <c r="G148" s="4" t="s">
        <v>729</v>
      </c>
      <c r="I148" s="4" t="s">
        <v>651</v>
      </c>
      <c r="N148" s="37"/>
      <c r="O148" s="37">
        <v>1</v>
      </c>
      <c r="P148" s="37"/>
      <c r="Q148" t="b">
        <v>0</v>
      </c>
      <c r="R148" s="37"/>
      <c r="S148" s="49"/>
      <c r="T148" s="49" t="s">
        <v>698</v>
      </c>
      <c r="U148" s="4" t="s">
        <v>730</v>
      </c>
    </row>
    <row r="149" spans="1:21">
      <c r="A149" s="4">
        <v>100040017</v>
      </c>
      <c r="B149" s="4">
        <v>4</v>
      </c>
      <c r="C149" s="4" t="s">
        <v>696</v>
      </c>
      <c r="G149" s="4" t="s">
        <v>731</v>
      </c>
      <c r="I149" s="4" t="s">
        <v>654</v>
      </c>
      <c r="N149" s="37"/>
      <c r="O149" s="37">
        <v>2</v>
      </c>
      <c r="P149" s="37"/>
      <c r="Q149" t="b">
        <v>0</v>
      </c>
      <c r="R149" s="37"/>
      <c r="S149" s="49"/>
      <c r="T149" s="49" t="s">
        <v>701</v>
      </c>
      <c r="U149" s="4" t="s">
        <v>732</v>
      </c>
    </row>
    <row r="150" spans="1:21">
      <c r="A150" s="4">
        <v>100040018</v>
      </c>
      <c r="B150" s="4">
        <v>4</v>
      </c>
      <c r="C150" s="4" t="s">
        <v>696</v>
      </c>
      <c r="G150" s="4" t="s">
        <v>733</v>
      </c>
      <c r="I150" s="4" t="s">
        <v>657</v>
      </c>
      <c r="N150" s="37"/>
      <c r="O150" s="37">
        <v>3</v>
      </c>
      <c r="P150" s="37"/>
      <c r="Q150" t="b">
        <v>0</v>
      </c>
      <c r="R150" s="37"/>
      <c r="S150" s="49"/>
      <c r="T150" s="49" t="s">
        <v>662</v>
      </c>
      <c r="U150" s="4" t="s">
        <v>734</v>
      </c>
    </row>
    <row r="151" spans="1:21">
      <c r="A151" s="4">
        <v>100040019</v>
      </c>
      <c r="B151" s="4">
        <v>4</v>
      </c>
      <c r="C151" s="4" t="s">
        <v>696</v>
      </c>
      <c r="G151" s="4" t="s">
        <v>735</v>
      </c>
      <c r="I151" s="4" t="s">
        <v>651</v>
      </c>
      <c r="N151" s="37"/>
      <c r="O151" s="37">
        <v>1</v>
      </c>
      <c r="P151" s="37"/>
      <c r="Q151" t="b">
        <v>0</v>
      </c>
      <c r="R151" s="37"/>
      <c r="S151" s="49"/>
      <c r="T151" s="49" t="s">
        <v>698</v>
      </c>
      <c r="U151" s="4" t="s">
        <v>736</v>
      </c>
    </row>
    <row r="152" spans="1:21">
      <c r="A152" s="4">
        <v>100040020</v>
      </c>
      <c r="B152" s="4">
        <v>4</v>
      </c>
      <c r="C152" s="4" t="s">
        <v>696</v>
      </c>
      <c r="G152" s="4" t="s">
        <v>737</v>
      </c>
      <c r="I152" s="4" t="s">
        <v>654</v>
      </c>
      <c r="N152" s="37"/>
      <c r="O152" s="37">
        <v>2</v>
      </c>
      <c r="P152" s="37"/>
      <c r="Q152" t="b">
        <v>0</v>
      </c>
      <c r="R152" s="37"/>
      <c r="S152" s="49"/>
      <c r="T152" s="49" t="s">
        <v>701</v>
      </c>
      <c r="U152" s="4" t="s">
        <v>738</v>
      </c>
    </row>
    <row r="153" spans="1:21">
      <c r="A153" s="4">
        <v>100040021</v>
      </c>
      <c r="B153" s="4">
        <v>4</v>
      </c>
      <c r="C153" s="4" t="s">
        <v>696</v>
      </c>
      <c r="G153" s="4" t="s">
        <v>739</v>
      </c>
      <c r="I153" s="4" t="s">
        <v>657</v>
      </c>
      <c r="N153" s="37"/>
      <c r="O153" s="37">
        <v>3</v>
      </c>
      <c r="P153" s="37"/>
      <c r="Q153" t="b">
        <v>0</v>
      </c>
      <c r="R153" s="37"/>
      <c r="S153" s="49"/>
      <c r="T153" s="49" t="s">
        <v>662</v>
      </c>
      <c r="U153" s="4" t="s">
        <v>740</v>
      </c>
    </row>
    <row r="154" spans="1:21">
      <c r="A154" s="4">
        <v>100040022</v>
      </c>
      <c r="B154" s="4">
        <v>4</v>
      </c>
      <c r="C154" s="4" t="s">
        <v>696</v>
      </c>
      <c r="G154" s="4" t="s">
        <v>741</v>
      </c>
      <c r="I154" s="4" t="s">
        <v>651</v>
      </c>
      <c r="N154" s="37"/>
      <c r="O154" s="37">
        <v>1</v>
      </c>
      <c r="P154" s="37"/>
      <c r="Q154" t="b">
        <v>0</v>
      </c>
      <c r="R154" s="37"/>
      <c r="S154" s="49"/>
      <c r="T154" s="49" t="s">
        <v>698</v>
      </c>
      <c r="U154" s="4" t="s">
        <v>742</v>
      </c>
    </row>
    <row r="155" spans="1:21">
      <c r="A155" s="4">
        <v>100040023</v>
      </c>
      <c r="B155" s="4">
        <v>4</v>
      </c>
      <c r="C155" s="4" t="s">
        <v>696</v>
      </c>
      <c r="G155" s="4" t="s">
        <v>743</v>
      </c>
      <c r="I155" s="4" t="s">
        <v>654</v>
      </c>
      <c r="N155" s="37"/>
      <c r="O155" s="37">
        <v>2</v>
      </c>
      <c r="P155" s="37"/>
      <c r="Q155" t="b">
        <v>0</v>
      </c>
      <c r="R155" s="37"/>
      <c r="S155" s="49"/>
      <c r="T155" s="49" t="s">
        <v>701</v>
      </c>
      <c r="U155" s="4" t="s">
        <v>744</v>
      </c>
    </row>
    <row r="156" spans="1:21">
      <c r="A156" s="4">
        <v>100040024</v>
      </c>
      <c r="B156" s="4">
        <v>4</v>
      </c>
      <c r="C156" s="4" t="s">
        <v>696</v>
      </c>
      <c r="G156" s="4" t="s">
        <v>745</v>
      </c>
      <c r="I156" s="4" t="s">
        <v>657</v>
      </c>
      <c r="N156" s="37"/>
      <c r="O156" s="37">
        <v>3</v>
      </c>
      <c r="P156" s="37"/>
      <c r="Q156" t="b">
        <v>0</v>
      </c>
      <c r="R156" s="37"/>
      <c r="S156" s="49"/>
      <c r="T156" s="49" t="s">
        <v>662</v>
      </c>
      <c r="U156" s="4" t="s">
        <v>746</v>
      </c>
    </row>
    <row r="157" spans="1:21">
      <c r="A157" s="4">
        <v>100040025</v>
      </c>
      <c r="B157" s="4">
        <v>4</v>
      </c>
      <c r="C157" s="4" t="s">
        <v>696</v>
      </c>
      <c r="G157" s="4" t="s">
        <v>747</v>
      </c>
      <c r="I157" s="4" t="s">
        <v>651</v>
      </c>
      <c r="N157" s="37"/>
      <c r="O157" s="37">
        <v>1</v>
      </c>
      <c r="P157" s="37"/>
      <c r="Q157" t="b">
        <v>0</v>
      </c>
      <c r="R157" s="37"/>
      <c r="S157" s="49"/>
      <c r="T157" s="49" t="s">
        <v>698</v>
      </c>
      <c r="U157" s="4" t="s">
        <v>748</v>
      </c>
    </row>
    <row r="158" spans="1:21">
      <c r="A158" s="4">
        <v>100040026</v>
      </c>
      <c r="B158" s="4">
        <v>4</v>
      </c>
      <c r="C158" s="4" t="s">
        <v>696</v>
      </c>
      <c r="G158" s="4" t="s">
        <v>749</v>
      </c>
      <c r="I158" s="4" t="s">
        <v>654</v>
      </c>
      <c r="N158" s="37"/>
      <c r="O158" s="37">
        <v>2</v>
      </c>
      <c r="P158" s="37"/>
      <c r="Q158" t="b">
        <v>0</v>
      </c>
      <c r="R158" s="37"/>
      <c r="S158" s="49"/>
      <c r="T158" s="49" t="s">
        <v>701</v>
      </c>
      <c r="U158" s="4" t="s">
        <v>750</v>
      </c>
    </row>
    <row r="159" spans="1:21">
      <c r="A159" s="4">
        <v>100040027</v>
      </c>
      <c r="B159" s="4">
        <v>4</v>
      </c>
      <c r="C159" s="4" t="s">
        <v>696</v>
      </c>
      <c r="G159" s="4" t="s">
        <v>751</v>
      </c>
      <c r="I159" s="4" t="s">
        <v>657</v>
      </c>
      <c r="N159" s="37"/>
      <c r="O159" s="37">
        <v>3</v>
      </c>
      <c r="P159" s="37"/>
      <c r="Q159" t="b">
        <v>0</v>
      </c>
      <c r="R159" s="37"/>
      <c r="S159" s="49"/>
      <c r="T159" s="49" t="s">
        <v>662</v>
      </c>
      <c r="U159" s="4" t="s">
        <v>752</v>
      </c>
    </row>
    <row r="160" spans="1:21">
      <c r="A160" s="4">
        <v>100040028</v>
      </c>
      <c r="B160" s="4">
        <v>4</v>
      </c>
      <c r="C160" s="4" t="s">
        <v>696</v>
      </c>
      <c r="G160" s="4" t="s">
        <v>753</v>
      </c>
      <c r="I160" s="4" t="s">
        <v>651</v>
      </c>
      <c r="N160" s="37"/>
      <c r="O160" s="37">
        <v>1</v>
      </c>
      <c r="P160" s="37"/>
      <c r="Q160" t="b">
        <v>0</v>
      </c>
      <c r="R160" s="37"/>
      <c r="S160" s="49"/>
      <c r="T160" s="49" t="s">
        <v>698</v>
      </c>
      <c r="U160" s="4" t="s">
        <v>754</v>
      </c>
    </row>
    <row r="161" spans="1:21">
      <c r="A161" s="4">
        <v>100040029</v>
      </c>
      <c r="B161" s="4">
        <v>4</v>
      </c>
      <c r="C161" s="4" t="s">
        <v>696</v>
      </c>
      <c r="G161" s="4" t="s">
        <v>755</v>
      </c>
      <c r="I161" s="4" t="s">
        <v>654</v>
      </c>
      <c r="N161" s="37"/>
      <c r="O161" s="37">
        <v>2</v>
      </c>
      <c r="P161" s="37"/>
      <c r="Q161" t="b">
        <v>0</v>
      </c>
      <c r="R161" s="37"/>
      <c r="S161" s="49"/>
      <c r="T161" s="49" t="s">
        <v>701</v>
      </c>
      <c r="U161" s="4" t="s">
        <v>756</v>
      </c>
    </row>
    <row r="162" spans="1:21">
      <c r="A162" s="4">
        <v>100040030</v>
      </c>
      <c r="B162" s="4">
        <v>4</v>
      </c>
      <c r="C162" s="4" t="s">
        <v>696</v>
      </c>
      <c r="G162" s="4" t="s">
        <v>757</v>
      </c>
      <c r="I162" s="4" t="s">
        <v>657</v>
      </c>
      <c r="N162" s="37"/>
      <c r="O162" s="37">
        <v>3</v>
      </c>
      <c r="P162" s="37"/>
      <c r="Q162" t="b">
        <v>0</v>
      </c>
      <c r="R162" s="37"/>
      <c r="S162" s="49"/>
      <c r="T162" s="49" t="s">
        <v>662</v>
      </c>
      <c r="U162" s="4" t="s">
        <v>758</v>
      </c>
    </row>
    <row r="163" spans="1:21">
      <c r="A163" s="4">
        <v>100040031</v>
      </c>
      <c r="B163" s="4">
        <v>4</v>
      </c>
      <c r="C163" s="4" t="s">
        <v>696</v>
      </c>
      <c r="G163" s="4" t="s">
        <v>759</v>
      </c>
      <c r="I163" s="4" t="s">
        <v>651</v>
      </c>
      <c r="N163" s="37"/>
      <c r="O163" s="37">
        <v>1</v>
      </c>
      <c r="P163" s="37"/>
      <c r="Q163" t="b">
        <v>0</v>
      </c>
      <c r="R163" s="37"/>
      <c r="S163" s="49"/>
      <c r="T163" s="49" t="s">
        <v>698</v>
      </c>
      <c r="U163" s="4" t="s">
        <v>760</v>
      </c>
    </row>
    <row r="164" spans="1:21">
      <c r="A164" s="4">
        <v>100040032</v>
      </c>
      <c r="B164" s="4">
        <v>4</v>
      </c>
      <c r="C164" s="4" t="s">
        <v>696</v>
      </c>
      <c r="G164" s="4" t="s">
        <v>761</v>
      </c>
      <c r="I164" s="4" t="s">
        <v>654</v>
      </c>
      <c r="N164" s="37"/>
      <c r="O164" s="37">
        <v>2</v>
      </c>
      <c r="P164" s="37"/>
      <c r="Q164" t="b">
        <v>0</v>
      </c>
      <c r="R164" s="37"/>
      <c r="S164" s="49"/>
      <c r="T164" s="49" t="s">
        <v>701</v>
      </c>
      <c r="U164" s="4" t="s">
        <v>762</v>
      </c>
    </row>
    <row r="165" spans="1:21">
      <c r="A165" s="4">
        <v>100040033</v>
      </c>
      <c r="B165" s="4">
        <v>4</v>
      </c>
      <c r="C165" s="4" t="s">
        <v>696</v>
      </c>
      <c r="G165" s="4" t="s">
        <v>763</v>
      </c>
      <c r="I165" s="4" t="s">
        <v>657</v>
      </c>
      <c r="N165" s="37"/>
      <c r="O165" s="37">
        <v>3</v>
      </c>
      <c r="P165" s="37"/>
      <c r="Q165" t="b">
        <v>0</v>
      </c>
      <c r="R165" s="37"/>
      <c r="S165" s="49"/>
      <c r="T165" s="49" t="s">
        <v>662</v>
      </c>
      <c r="U165" s="4" t="s">
        <v>764</v>
      </c>
    </row>
    <row r="166" spans="1:21">
      <c r="A166" s="4">
        <v>100040034</v>
      </c>
      <c r="B166" s="4">
        <v>4</v>
      </c>
      <c r="C166" s="4" t="s">
        <v>696</v>
      </c>
      <c r="G166" s="4" t="s">
        <v>765</v>
      </c>
      <c r="I166" s="4" t="s">
        <v>651</v>
      </c>
      <c r="N166" s="37"/>
      <c r="O166" s="37">
        <v>1</v>
      </c>
      <c r="P166" s="37"/>
      <c r="Q166" t="b">
        <v>0</v>
      </c>
      <c r="R166" s="37"/>
      <c r="S166" s="49"/>
      <c r="T166" s="49" t="s">
        <v>698</v>
      </c>
      <c r="U166" s="4" t="s">
        <v>766</v>
      </c>
    </row>
    <row r="167" spans="1:21">
      <c r="A167" s="4">
        <v>100040035</v>
      </c>
      <c r="B167" s="4">
        <v>4</v>
      </c>
      <c r="C167" s="4" t="s">
        <v>696</v>
      </c>
      <c r="G167" s="4" t="s">
        <v>767</v>
      </c>
      <c r="I167" s="4" t="s">
        <v>654</v>
      </c>
      <c r="N167" s="37"/>
      <c r="O167" s="37">
        <v>2</v>
      </c>
      <c r="P167" s="37"/>
      <c r="Q167" t="b">
        <v>0</v>
      </c>
      <c r="R167" s="37"/>
      <c r="S167" s="49"/>
      <c r="T167" s="49" t="s">
        <v>701</v>
      </c>
      <c r="U167" s="4" t="s">
        <v>768</v>
      </c>
    </row>
    <row r="168" spans="1:21">
      <c r="A168" s="4">
        <v>100040036</v>
      </c>
      <c r="B168" s="4">
        <v>4</v>
      </c>
      <c r="C168" s="4" t="s">
        <v>696</v>
      </c>
      <c r="G168" s="4" t="s">
        <v>769</v>
      </c>
      <c r="I168" s="4" t="s">
        <v>657</v>
      </c>
      <c r="N168" s="37"/>
      <c r="O168" s="37">
        <v>3</v>
      </c>
      <c r="P168" s="37"/>
      <c r="Q168" t="b">
        <v>0</v>
      </c>
      <c r="R168" s="37"/>
      <c r="S168" s="49"/>
      <c r="T168" s="49" t="s">
        <v>662</v>
      </c>
      <c r="U168" s="4" t="s">
        <v>770</v>
      </c>
    </row>
    <row r="169" spans="1:21">
      <c r="A169" s="4">
        <v>100040037</v>
      </c>
      <c r="B169" s="4">
        <v>4</v>
      </c>
      <c r="C169" s="4" t="s">
        <v>696</v>
      </c>
      <c r="G169" s="4" t="s">
        <v>771</v>
      </c>
      <c r="I169" s="4" t="s">
        <v>651</v>
      </c>
      <c r="N169" s="37"/>
      <c r="O169" s="37">
        <v>1</v>
      </c>
      <c r="P169" s="37"/>
      <c r="Q169" t="b">
        <v>0</v>
      </c>
      <c r="R169" s="37"/>
      <c r="S169" s="49"/>
      <c r="T169" s="49" t="s">
        <v>698</v>
      </c>
      <c r="U169" s="4" t="s">
        <v>772</v>
      </c>
    </row>
    <row r="170" spans="1:21">
      <c r="A170" s="4">
        <v>100040038</v>
      </c>
      <c r="B170" s="4">
        <v>4</v>
      </c>
      <c r="C170" s="4" t="s">
        <v>696</v>
      </c>
      <c r="G170" s="4" t="s">
        <v>773</v>
      </c>
      <c r="I170" s="4" t="s">
        <v>654</v>
      </c>
      <c r="N170" s="37"/>
      <c r="O170" s="37">
        <v>2</v>
      </c>
      <c r="P170" s="37"/>
      <c r="Q170" t="b">
        <v>0</v>
      </c>
      <c r="R170" s="37"/>
      <c r="S170" s="49"/>
      <c r="T170" s="49" t="s">
        <v>701</v>
      </c>
      <c r="U170" s="4" t="s">
        <v>774</v>
      </c>
    </row>
    <row r="171" spans="1:21">
      <c r="A171" s="4">
        <v>100040039</v>
      </c>
      <c r="B171" s="4">
        <v>4</v>
      </c>
      <c r="C171" s="4" t="s">
        <v>696</v>
      </c>
      <c r="G171" s="4" t="s">
        <v>775</v>
      </c>
      <c r="I171" s="4" t="s">
        <v>657</v>
      </c>
      <c r="N171" s="37"/>
      <c r="O171" s="37">
        <v>3</v>
      </c>
      <c r="P171" s="37"/>
      <c r="Q171" t="b">
        <v>0</v>
      </c>
      <c r="R171" s="37"/>
      <c r="S171" s="49"/>
      <c r="T171" s="49" t="s">
        <v>662</v>
      </c>
      <c r="U171" s="4" t="s">
        <v>776</v>
      </c>
    </row>
    <row r="172" spans="1:21">
      <c r="A172" s="4">
        <v>100040040</v>
      </c>
      <c r="B172" s="4">
        <v>4</v>
      </c>
      <c r="C172" s="4" t="s">
        <v>696</v>
      </c>
      <c r="G172" s="4" t="s">
        <v>777</v>
      </c>
      <c r="I172" s="4" t="s">
        <v>651</v>
      </c>
      <c r="N172" s="37"/>
      <c r="O172" s="37">
        <v>1</v>
      </c>
      <c r="P172" s="37"/>
      <c r="Q172" t="b">
        <v>0</v>
      </c>
      <c r="R172" s="37"/>
      <c r="S172" s="49"/>
      <c r="T172" s="49" t="s">
        <v>698</v>
      </c>
      <c r="U172" s="4" t="s">
        <v>778</v>
      </c>
    </row>
    <row r="173" spans="1:21">
      <c r="A173" s="4">
        <v>100040041</v>
      </c>
      <c r="B173" s="4">
        <v>4</v>
      </c>
      <c r="C173" s="4" t="s">
        <v>696</v>
      </c>
      <c r="G173" s="4" t="s">
        <v>779</v>
      </c>
      <c r="I173" s="4" t="s">
        <v>654</v>
      </c>
      <c r="N173" s="37"/>
      <c r="O173" s="37">
        <v>2</v>
      </c>
      <c r="P173" s="37"/>
      <c r="Q173" t="b">
        <v>0</v>
      </c>
      <c r="R173" s="37"/>
      <c r="S173" s="49"/>
      <c r="T173" s="49" t="s">
        <v>701</v>
      </c>
      <c r="U173" s="4" t="s">
        <v>780</v>
      </c>
    </row>
    <row r="174" spans="1:21">
      <c r="A174" s="4">
        <v>100040042</v>
      </c>
      <c r="B174" s="4">
        <v>4</v>
      </c>
      <c r="C174" s="4" t="s">
        <v>696</v>
      </c>
      <c r="G174" s="4" t="s">
        <v>781</v>
      </c>
      <c r="I174" s="4" t="s">
        <v>657</v>
      </c>
      <c r="N174" s="37"/>
      <c r="O174" s="37">
        <v>3</v>
      </c>
      <c r="P174" s="37"/>
      <c r="Q174" t="b">
        <v>0</v>
      </c>
      <c r="R174" s="37"/>
      <c r="S174" s="49"/>
      <c r="T174" s="49" t="s">
        <v>662</v>
      </c>
      <c r="U174" s="4" t="s">
        <v>782</v>
      </c>
    </row>
    <row r="175" spans="1:21">
      <c r="A175" s="4">
        <v>100040043</v>
      </c>
      <c r="B175" s="4">
        <v>4</v>
      </c>
      <c r="C175" s="4" t="s">
        <v>696</v>
      </c>
      <c r="G175" s="4" t="s">
        <v>783</v>
      </c>
      <c r="I175" s="4" t="s">
        <v>651</v>
      </c>
      <c r="N175" s="37"/>
      <c r="O175" s="37">
        <v>1</v>
      </c>
      <c r="P175" s="37"/>
      <c r="Q175" t="b">
        <v>0</v>
      </c>
      <c r="R175" s="37"/>
      <c r="S175" s="49"/>
      <c r="T175" s="49" t="s">
        <v>698</v>
      </c>
      <c r="U175" s="4" t="s">
        <v>784</v>
      </c>
    </row>
    <row r="176" spans="1:21">
      <c r="A176" s="4">
        <v>100040044</v>
      </c>
      <c r="B176" s="4">
        <v>4</v>
      </c>
      <c r="C176" s="4" t="s">
        <v>696</v>
      </c>
      <c r="G176" s="4" t="s">
        <v>785</v>
      </c>
      <c r="I176" s="4" t="s">
        <v>654</v>
      </c>
      <c r="N176" s="37"/>
      <c r="O176" s="37">
        <v>2</v>
      </c>
      <c r="P176" s="37"/>
      <c r="Q176" t="b">
        <v>0</v>
      </c>
      <c r="R176" s="37"/>
      <c r="S176" s="49"/>
      <c r="T176" s="49" t="s">
        <v>701</v>
      </c>
      <c r="U176" s="4" t="s">
        <v>786</v>
      </c>
    </row>
    <row r="177" spans="1:21">
      <c r="A177" s="4">
        <v>100040045</v>
      </c>
      <c r="B177" s="4">
        <v>4</v>
      </c>
      <c r="C177" s="4" t="s">
        <v>696</v>
      </c>
      <c r="G177" s="4" t="s">
        <v>787</v>
      </c>
      <c r="I177" s="4" t="s">
        <v>657</v>
      </c>
      <c r="N177" s="37"/>
      <c r="O177" s="37">
        <v>3</v>
      </c>
      <c r="P177" s="37"/>
      <c r="Q177" t="b">
        <v>0</v>
      </c>
      <c r="R177" s="37"/>
      <c r="S177" s="49"/>
      <c r="T177" s="49" t="s">
        <v>662</v>
      </c>
      <c r="U177" s="4" t="s">
        <v>788</v>
      </c>
    </row>
    <row r="178" spans="1:21">
      <c r="A178" s="4">
        <v>100040046</v>
      </c>
      <c r="B178" s="4">
        <v>4</v>
      </c>
      <c r="C178" s="4" t="s">
        <v>696</v>
      </c>
      <c r="G178" s="4" t="s">
        <v>789</v>
      </c>
      <c r="I178" s="4" t="s">
        <v>651</v>
      </c>
      <c r="N178" s="37"/>
      <c r="O178" s="37">
        <v>1</v>
      </c>
      <c r="P178" s="37"/>
      <c r="Q178" t="b">
        <v>0</v>
      </c>
      <c r="R178" s="37"/>
      <c r="S178" s="49"/>
      <c r="T178" s="49" t="s">
        <v>698</v>
      </c>
      <c r="U178" s="4" t="s">
        <v>790</v>
      </c>
    </row>
    <row r="179" spans="1:21">
      <c r="A179" s="4">
        <v>100040047</v>
      </c>
      <c r="B179" s="4">
        <v>4</v>
      </c>
      <c r="C179" s="4" t="s">
        <v>696</v>
      </c>
      <c r="G179" s="4" t="s">
        <v>791</v>
      </c>
      <c r="I179" s="4" t="s">
        <v>654</v>
      </c>
      <c r="N179" s="37"/>
      <c r="O179" s="37">
        <v>2</v>
      </c>
      <c r="P179" s="37"/>
      <c r="Q179" t="b">
        <v>0</v>
      </c>
      <c r="R179" s="37"/>
      <c r="S179" s="49"/>
      <c r="T179" s="49" t="s">
        <v>701</v>
      </c>
      <c r="U179" s="4" t="s">
        <v>792</v>
      </c>
    </row>
    <row r="180" spans="1:21">
      <c r="A180" s="4">
        <v>100040048</v>
      </c>
      <c r="B180" s="4">
        <v>4</v>
      </c>
      <c r="C180" s="4" t="s">
        <v>696</v>
      </c>
      <c r="G180" s="4" t="s">
        <v>793</v>
      </c>
      <c r="I180" s="4" t="s">
        <v>657</v>
      </c>
      <c r="N180" s="37"/>
      <c r="O180" s="37">
        <v>3</v>
      </c>
      <c r="P180" s="37"/>
      <c r="Q180" t="b">
        <v>0</v>
      </c>
      <c r="R180" s="37"/>
      <c r="S180" s="49"/>
      <c r="T180" s="49" t="s">
        <v>662</v>
      </c>
      <c r="U180" s="4" t="s">
        <v>794</v>
      </c>
    </row>
    <row r="181" spans="1:21">
      <c r="A181" s="4">
        <v>100040049</v>
      </c>
      <c r="B181" s="4">
        <v>4</v>
      </c>
      <c r="C181" s="4" t="s">
        <v>696</v>
      </c>
      <c r="G181" s="4" t="s">
        <v>795</v>
      </c>
      <c r="I181" s="4" t="s">
        <v>651</v>
      </c>
      <c r="N181" s="37"/>
      <c r="O181" s="37">
        <v>1</v>
      </c>
      <c r="P181" s="37"/>
      <c r="Q181" t="b">
        <v>0</v>
      </c>
      <c r="R181" s="37"/>
      <c r="S181" s="49"/>
      <c r="T181" s="49" t="s">
        <v>698</v>
      </c>
      <c r="U181" s="4" t="s">
        <v>796</v>
      </c>
    </row>
    <row r="182" spans="1:21">
      <c r="A182" s="4">
        <v>100040050</v>
      </c>
      <c r="B182" s="4">
        <v>4</v>
      </c>
      <c r="C182" s="4" t="s">
        <v>696</v>
      </c>
      <c r="G182" s="4" t="s">
        <v>797</v>
      </c>
      <c r="I182" s="4" t="s">
        <v>654</v>
      </c>
      <c r="N182" s="37"/>
      <c r="O182" s="37">
        <v>2</v>
      </c>
      <c r="P182" s="37"/>
      <c r="Q182" t="b">
        <v>0</v>
      </c>
      <c r="R182" s="37"/>
      <c r="S182" s="49"/>
      <c r="T182" s="49" t="s">
        <v>701</v>
      </c>
      <c r="U182" s="4" t="s">
        <v>798</v>
      </c>
    </row>
    <row r="183" spans="1:21">
      <c r="A183" s="4">
        <v>100040051</v>
      </c>
      <c r="B183" s="4">
        <v>4</v>
      </c>
      <c r="C183" s="4" t="s">
        <v>696</v>
      </c>
      <c r="G183" s="4" t="s">
        <v>799</v>
      </c>
      <c r="I183" s="4" t="s">
        <v>657</v>
      </c>
      <c r="N183" s="37"/>
      <c r="O183" s="37">
        <v>3</v>
      </c>
      <c r="P183" s="37"/>
      <c r="Q183" t="b">
        <v>0</v>
      </c>
      <c r="R183" s="37"/>
      <c r="S183" s="49"/>
      <c r="T183" s="49" t="s">
        <v>662</v>
      </c>
      <c r="U183" s="4" t="s">
        <v>800</v>
      </c>
    </row>
    <row r="184" spans="1:21">
      <c r="A184" s="4">
        <v>100040052</v>
      </c>
      <c r="B184" s="4">
        <v>4</v>
      </c>
      <c r="C184" s="4" t="s">
        <v>696</v>
      </c>
      <c r="G184" s="4" t="s">
        <v>801</v>
      </c>
      <c r="I184" s="4" t="s">
        <v>651</v>
      </c>
      <c r="N184" s="37"/>
      <c r="O184" s="37">
        <v>1</v>
      </c>
      <c r="P184" s="37"/>
      <c r="Q184" t="b">
        <v>0</v>
      </c>
      <c r="R184" s="37"/>
      <c r="S184" s="49"/>
      <c r="T184" s="49" t="s">
        <v>698</v>
      </c>
      <c r="U184" s="4" t="s">
        <v>802</v>
      </c>
    </row>
    <row r="185" spans="1:21">
      <c r="A185" s="4">
        <v>100040053</v>
      </c>
      <c r="B185" s="4">
        <v>4</v>
      </c>
      <c r="C185" s="4" t="s">
        <v>696</v>
      </c>
      <c r="G185" s="4" t="s">
        <v>803</v>
      </c>
      <c r="I185" s="4" t="s">
        <v>654</v>
      </c>
      <c r="N185" s="37"/>
      <c r="O185" s="37">
        <v>2</v>
      </c>
      <c r="P185" s="37"/>
      <c r="Q185" t="b">
        <v>0</v>
      </c>
      <c r="R185" s="37"/>
      <c r="S185" s="49"/>
      <c r="T185" s="49" t="s">
        <v>701</v>
      </c>
      <c r="U185" s="4" t="s">
        <v>804</v>
      </c>
    </row>
    <row r="186" spans="1:21">
      <c r="A186" s="4">
        <v>100040054</v>
      </c>
      <c r="B186" s="4">
        <v>4</v>
      </c>
      <c r="C186" s="4" t="s">
        <v>696</v>
      </c>
      <c r="G186" s="4" t="s">
        <v>805</v>
      </c>
      <c r="I186" s="4" t="s">
        <v>657</v>
      </c>
      <c r="N186" s="37"/>
      <c r="O186" s="37">
        <v>3</v>
      </c>
      <c r="P186" s="37"/>
      <c r="Q186" t="b">
        <v>0</v>
      </c>
      <c r="R186" s="37"/>
      <c r="S186" s="49"/>
      <c r="T186" s="49" t="s">
        <v>662</v>
      </c>
      <c r="U186" s="4" t="s">
        <v>806</v>
      </c>
    </row>
    <row r="187" spans="1:21">
      <c r="A187" s="4">
        <v>100040055</v>
      </c>
      <c r="B187" s="4">
        <v>4</v>
      </c>
      <c r="C187" s="4" t="s">
        <v>696</v>
      </c>
      <c r="G187" s="4" t="s">
        <v>807</v>
      </c>
      <c r="I187" s="4" t="s">
        <v>651</v>
      </c>
      <c r="N187" s="37"/>
      <c r="O187" s="37">
        <v>1</v>
      </c>
      <c r="P187" s="37"/>
      <c r="Q187" t="b">
        <v>0</v>
      </c>
      <c r="R187" s="37"/>
      <c r="S187" s="49"/>
      <c r="T187" s="49" t="s">
        <v>698</v>
      </c>
      <c r="U187" s="4" t="s">
        <v>808</v>
      </c>
    </row>
    <row r="188" spans="1:21">
      <c r="A188" s="4">
        <v>100040056</v>
      </c>
      <c r="B188" s="4">
        <v>4</v>
      </c>
      <c r="C188" s="4" t="s">
        <v>696</v>
      </c>
      <c r="G188" s="4" t="s">
        <v>809</v>
      </c>
      <c r="I188" s="4" t="s">
        <v>654</v>
      </c>
      <c r="N188" s="37"/>
      <c r="O188" s="37">
        <v>2</v>
      </c>
      <c r="P188" s="37"/>
      <c r="Q188" t="b">
        <v>0</v>
      </c>
      <c r="R188" s="37"/>
      <c r="S188" s="49"/>
      <c r="T188" s="49" t="s">
        <v>701</v>
      </c>
      <c r="U188" s="4" t="s">
        <v>810</v>
      </c>
    </row>
    <row r="189" spans="1:21">
      <c r="A189" s="4">
        <v>100040057</v>
      </c>
      <c r="B189" s="4">
        <v>4</v>
      </c>
      <c r="C189" s="4" t="s">
        <v>696</v>
      </c>
      <c r="G189" s="4" t="s">
        <v>811</v>
      </c>
      <c r="I189" s="4" t="s">
        <v>657</v>
      </c>
      <c r="N189" s="37"/>
      <c r="O189" s="37">
        <v>3</v>
      </c>
      <c r="P189" s="37"/>
      <c r="Q189" t="b">
        <v>0</v>
      </c>
      <c r="R189" s="37"/>
      <c r="S189" s="49"/>
      <c r="T189" s="49" t="s">
        <v>662</v>
      </c>
      <c r="U189" s="4" t="s">
        <v>812</v>
      </c>
    </row>
    <row r="190" spans="1:21">
      <c r="A190" s="4">
        <v>100040058</v>
      </c>
      <c r="B190" s="4">
        <v>4</v>
      </c>
      <c r="C190" s="4" t="s">
        <v>696</v>
      </c>
      <c r="G190" s="4" t="s">
        <v>813</v>
      </c>
      <c r="I190" s="4" t="s">
        <v>651</v>
      </c>
      <c r="N190" s="37"/>
      <c r="O190" s="37">
        <v>1</v>
      </c>
      <c r="P190" s="37"/>
      <c r="Q190" t="b">
        <v>0</v>
      </c>
      <c r="R190" s="37"/>
      <c r="S190" s="49"/>
      <c r="T190" s="49" t="s">
        <v>698</v>
      </c>
      <c r="U190" s="4" t="s">
        <v>814</v>
      </c>
    </row>
    <row r="191" spans="1:21">
      <c r="A191" s="4">
        <v>100040059</v>
      </c>
      <c r="B191" s="4">
        <v>4</v>
      </c>
      <c r="C191" s="4" t="s">
        <v>696</v>
      </c>
      <c r="G191" s="4" t="s">
        <v>815</v>
      </c>
      <c r="I191" s="4" t="s">
        <v>654</v>
      </c>
      <c r="N191" s="37"/>
      <c r="O191" s="37">
        <v>2</v>
      </c>
      <c r="P191" s="37"/>
      <c r="Q191" t="b">
        <v>0</v>
      </c>
      <c r="R191" s="37"/>
      <c r="S191" s="49"/>
      <c r="T191" s="49" t="s">
        <v>701</v>
      </c>
      <c r="U191" s="4" t="s">
        <v>816</v>
      </c>
    </row>
    <row r="192" spans="1:21">
      <c r="A192" s="4">
        <v>100040060</v>
      </c>
      <c r="B192" s="4">
        <v>4</v>
      </c>
      <c r="C192" s="4" t="s">
        <v>696</v>
      </c>
      <c r="G192" s="4" t="s">
        <v>817</v>
      </c>
      <c r="I192" s="4" t="s">
        <v>657</v>
      </c>
      <c r="N192" s="37"/>
      <c r="O192" s="37">
        <v>3</v>
      </c>
      <c r="P192" s="37"/>
      <c r="Q192" t="b">
        <v>0</v>
      </c>
      <c r="R192" s="37"/>
      <c r="S192" s="49"/>
      <c r="T192" s="49" t="s">
        <v>662</v>
      </c>
      <c r="U192" s="4" t="s">
        <v>818</v>
      </c>
    </row>
    <row r="193" spans="1:21">
      <c r="A193" s="4">
        <v>100040061</v>
      </c>
      <c r="B193" s="4">
        <v>4</v>
      </c>
      <c r="C193" s="4" t="s">
        <v>696</v>
      </c>
      <c r="G193" s="4" t="s">
        <v>819</v>
      </c>
      <c r="I193" s="4" t="s">
        <v>651</v>
      </c>
      <c r="N193" s="37"/>
      <c r="O193" s="37">
        <v>1</v>
      </c>
      <c r="P193" s="37"/>
      <c r="Q193" t="b">
        <v>0</v>
      </c>
      <c r="R193" s="37"/>
      <c r="S193" s="49"/>
      <c r="T193" s="49" t="s">
        <v>698</v>
      </c>
      <c r="U193" s="4" t="s">
        <v>820</v>
      </c>
    </row>
    <row r="194" spans="1:21">
      <c r="A194" s="4">
        <v>100040062</v>
      </c>
      <c r="B194" s="4">
        <v>4</v>
      </c>
      <c r="C194" s="4" t="s">
        <v>696</v>
      </c>
      <c r="G194" s="4" t="s">
        <v>821</v>
      </c>
      <c r="I194" s="4" t="s">
        <v>654</v>
      </c>
      <c r="N194" s="37"/>
      <c r="O194" s="37">
        <v>2</v>
      </c>
      <c r="P194" s="37"/>
      <c r="Q194" t="b">
        <v>0</v>
      </c>
      <c r="R194" s="37"/>
      <c r="S194" s="49"/>
      <c r="T194" s="49" t="s">
        <v>701</v>
      </c>
      <c r="U194" s="4" t="s">
        <v>822</v>
      </c>
    </row>
    <row r="195" spans="1:21">
      <c r="A195" s="4">
        <v>100040063</v>
      </c>
      <c r="B195" s="4">
        <v>4</v>
      </c>
      <c r="C195" s="4" t="s">
        <v>696</v>
      </c>
      <c r="G195" s="4" t="s">
        <v>823</v>
      </c>
      <c r="I195" s="4" t="s">
        <v>657</v>
      </c>
      <c r="N195" s="37"/>
      <c r="O195" s="37">
        <v>3</v>
      </c>
      <c r="P195" s="37"/>
      <c r="Q195" t="b">
        <v>0</v>
      </c>
      <c r="R195" s="37"/>
      <c r="S195" s="49"/>
      <c r="T195" s="49" t="s">
        <v>662</v>
      </c>
      <c r="U195" s="4" t="s">
        <v>824</v>
      </c>
    </row>
    <row r="196" spans="1:21">
      <c r="A196" s="4">
        <v>100040064</v>
      </c>
      <c r="B196" s="4">
        <v>4</v>
      </c>
      <c r="C196" s="4" t="s">
        <v>696</v>
      </c>
      <c r="G196" s="4" t="s">
        <v>825</v>
      </c>
      <c r="I196" s="4" t="s">
        <v>651</v>
      </c>
      <c r="N196" s="37"/>
      <c r="O196" s="37">
        <v>1</v>
      </c>
      <c r="P196" s="37"/>
      <c r="Q196" t="b">
        <v>0</v>
      </c>
      <c r="R196" s="37"/>
      <c r="S196" s="49"/>
      <c r="T196" s="49" t="s">
        <v>698</v>
      </c>
      <c r="U196" s="4" t="s">
        <v>826</v>
      </c>
    </row>
    <row r="197" spans="1:21">
      <c r="A197" s="4">
        <v>100040065</v>
      </c>
      <c r="B197" s="4">
        <v>4</v>
      </c>
      <c r="C197" s="4" t="s">
        <v>696</v>
      </c>
      <c r="G197" s="4" t="s">
        <v>827</v>
      </c>
      <c r="I197" s="4" t="s">
        <v>654</v>
      </c>
      <c r="N197" s="37"/>
      <c r="O197" s="37">
        <v>2</v>
      </c>
      <c r="P197" s="37"/>
      <c r="Q197" t="b">
        <v>0</v>
      </c>
      <c r="R197" s="37"/>
      <c r="S197" s="49"/>
      <c r="T197" s="49" t="s">
        <v>701</v>
      </c>
      <c r="U197" s="4" t="s">
        <v>828</v>
      </c>
    </row>
    <row r="198" spans="1:21">
      <c r="A198" s="4">
        <v>100040066</v>
      </c>
      <c r="B198" s="4">
        <v>4</v>
      </c>
      <c r="C198" s="4" t="s">
        <v>696</v>
      </c>
      <c r="G198" s="4" t="s">
        <v>829</v>
      </c>
      <c r="I198" s="4" t="s">
        <v>657</v>
      </c>
      <c r="N198" s="37"/>
      <c r="O198" s="37">
        <v>3</v>
      </c>
      <c r="P198" s="37"/>
      <c r="Q198" t="b">
        <v>0</v>
      </c>
      <c r="R198" s="37"/>
      <c r="S198" s="49"/>
      <c r="T198" s="49" t="s">
        <v>662</v>
      </c>
      <c r="U198" s="4" t="s">
        <v>830</v>
      </c>
    </row>
    <row r="199" spans="1:21">
      <c r="A199" s="4">
        <v>100040067</v>
      </c>
      <c r="B199" s="4">
        <v>4</v>
      </c>
      <c r="C199" s="4" t="s">
        <v>696</v>
      </c>
      <c r="G199" s="4" t="s">
        <v>831</v>
      </c>
      <c r="I199" s="4" t="s">
        <v>651</v>
      </c>
      <c r="N199" s="37"/>
      <c r="O199" s="37">
        <v>1</v>
      </c>
      <c r="P199" s="37"/>
      <c r="Q199" t="b">
        <v>0</v>
      </c>
      <c r="R199" s="37"/>
      <c r="S199" s="49"/>
      <c r="T199" s="49" t="s">
        <v>698</v>
      </c>
      <c r="U199" s="4" t="s">
        <v>832</v>
      </c>
    </row>
    <row r="200" spans="1:21">
      <c r="A200" s="4">
        <v>100040068</v>
      </c>
      <c r="B200" s="4">
        <v>4</v>
      </c>
      <c r="C200" s="4" t="s">
        <v>696</v>
      </c>
      <c r="G200" s="4" t="s">
        <v>833</v>
      </c>
      <c r="I200" s="4" t="s">
        <v>654</v>
      </c>
      <c r="N200" s="37"/>
      <c r="O200" s="37">
        <v>2</v>
      </c>
      <c r="P200" s="37"/>
      <c r="Q200" t="b">
        <v>0</v>
      </c>
      <c r="R200" s="37"/>
      <c r="S200" s="49"/>
      <c r="T200" s="49" t="s">
        <v>701</v>
      </c>
      <c r="U200" s="4" t="s">
        <v>834</v>
      </c>
    </row>
    <row r="201" spans="1:21">
      <c r="A201" s="4">
        <v>100040069</v>
      </c>
      <c r="B201" s="4">
        <v>4</v>
      </c>
      <c r="C201" s="4" t="s">
        <v>696</v>
      </c>
      <c r="G201" s="4" t="s">
        <v>835</v>
      </c>
      <c r="I201" s="4" t="s">
        <v>657</v>
      </c>
      <c r="N201" s="37"/>
      <c r="O201" s="37">
        <v>3</v>
      </c>
      <c r="P201" s="37"/>
      <c r="Q201" t="b">
        <v>0</v>
      </c>
      <c r="R201" s="37"/>
      <c r="S201" s="49"/>
      <c r="T201" s="49" t="s">
        <v>662</v>
      </c>
      <c r="U201" s="4" t="s">
        <v>836</v>
      </c>
    </row>
    <row r="202" spans="1:21">
      <c r="A202" s="4">
        <v>100040070</v>
      </c>
      <c r="B202" s="4">
        <v>4</v>
      </c>
      <c r="C202" s="4" t="s">
        <v>696</v>
      </c>
      <c r="G202" s="4" t="s">
        <v>837</v>
      </c>
      <c r="I202" s="4" t="s">
        <v>651</v>
      </c>
      <c r="N202" s="37"/>
      <c r="O202" s="37">
        <v>1</v>
      </c>
      <c r="P202" s="37"/>
      <c r="Q202" t="b">
        <v>0</v>
      </c>
      <c r="R202" s="37"/>
      <c r="S202" s="49"/>
      <c r="T202" s="49" t="s">
        <v>698</v>
      </c>
      <c r="U202" s="4" t="s">
        <v>838</v>
      </c>
    </row>
    <row r="203" spans="1:21">
      <c r="A203" s="4">
        <v>100040071</v>
      </c>
      <c r="B203" s="4">
        <v>4</v>
      </c>
      <c r="C203" s="4" t="s">
        <v>696</v>
      </c>
      <c r="G203" s="4" t="s">
        <v>839</v>
      </c>
      <c r="I203" s="4" t="s">
        <v>654</v>
      </c>
      <c r="N203" s="37"/>
      <c r="O203" s="37">
        <v>2</v>
      </c>
      <c r="P203" s="37"/>
      <c r="Q203" t="b">
        <v>0</v>
      </c>
      <c r="R203" s="37"/>
      <c r="S203" s="49"/>
      <c r="T203" s="49" t="s">
        <v>701</v>
      </c>
      <c r="U203" s="4" t="s">
        <v>840</v>
      </c>
    </row>
    <row r="204" spans="1:21">
      <c r="A204" s="4">
        <v>100040072</v>
      </c>
      <c r="B204" s="4">
        <v>4</v>
      </c>
      <c r="C204" s="4" t="s">
        <v>696</v>
      </c>
      <c r="G204" s="4" t="s">
        <v>841</v>
      </c>
      <c r="I204" s="4" t="s">
        <v>657</v>
      </c>
      <c r="N204" s="37"/>
      <c r="O204" s="37">
        <v>3</v>
      </c>
      <c r="P204" s="37"/>
      <c r="Q204" t="b">
        <v>0</v>
      </c>
      <c r="R204" s="37"/>
      <c r="S204" s="49"/>
      <c r="T204" s="49" t="s">
        <v>662</v>
      </c>
      <c r="U204" s="4" t="s">
        <v>842</v>
      </c>
    </row>
    <row r="205" spans="1:21">
      <c r="A205" s="4">
        <v>100040073</v>
      </c>
      <c r="B205" s="4">
        <v>4</v>
      </c>
      <c r="C205" s="4" t="s">
        <v>696</v>
      </c>
      <c r="G205" s="4" t="s">
        <v>843</v>
      </c>
      <c r="I205" s="4" t="s">
        <v>651</v>
      </c>
      <c r="N205" s="37"/>
      <c r="O205" s="37">
        <v>1</v>
      </c>
      <c r="P205" s="37"/>
      <c r="Q205" t="b">
        <v>0</v>
      </c>
      <c r="R205" s="37"/>
      <c r="S205" s="49"/>
      <c r="T205" s="49" t="s">
        <v>698</v>
      </c>
      <c r="U205" s="4" t="s">
        <v>844</v>
      </c>
    </row>
    <row r="206" spans="1:21">
      <c r="A206" s="4">
        <v>100040074</v>
      </c>
      <c r="B206" s="4">
        <v>4</v>
      </c>
      <c r="C206" s="4" t="s">
        <v>696</v>
      </c>
      <c r="G206" s="4" t="s">
        <v>845</v>
      </c>
      <c r="I206" s="4" t="s">
        <v>654</v>
      </c>
      <c r="N206" s="37"/>
      <c r="O206" s="37">
        <v>2</v>
      </c>
      <c r="P206" s="37"/>
      <c r="Q206" t="b">
        <v>0</v>
      </c>
      <c r="R206" s="37"/>
      <c r="S206" s="49"/>
      <c r="T206" s="49" t="s">
        <v>701</v>
      </c>
      <c r="U206" s="4" t="s">
        <v>846</v>
      </c>
    </row>
    <row r="207" spans="1:21">
      <c r="A207" s="4">
        <v>100040075</v>
      </c>
      <c r="B207" s="4">
        <v>4</v>
      </c>
      <c r="C207" s="4" t="s">
        <v>696</v>
      </c>
      <c r="G207" s="4" t="s">
        <v>847</v>
      </c>
      <c r="I207" s="4" t="s">
        <v>657</v>
      </c>
      <c r="N207" s="37"/>
      <c r="O207" s="37">
        <v>3</v>
      </c>
      <c r="P207" s="37"/>
      <c r="Q207" t="b">
        <v>0</v>
      </c>
      <c r="R207" s="37"/>
      <c r="S207" s="49"/>
      <c r="T207" s="49" t="s">
        <v>662</v>
      </c>
      <c r="U207" s="4" t="s">
        <v>848</v>
      </c>
    </row>
    <row r="208" spans="1:21">
      <c r="A208" s="4">
        <v>100040076</v>
      </c>
      <c r="B208" s="4">
        <v>4</v>
      </c>
      <c r="C208" s="4" t="s">
        <v>696</v>
      </c>
      <c r="G208" s="4" t="s">
        <v>849</v>
      </c>
      <c r="I208" s="4" t="s">
        <v>651</v>
      </c>
      <c r="N208" s="37"/>
      <c r="O208" s="37">
        <v>1</v>
      </c>
      <c r="P208" s="37"/>
      <c r="Q208" t="b">
        <v>0</v>
      </c>
      <c r="R208" s="37"/>
      <c r="S208" s="49"/>
      <c r="T208" s="49" t="s">
        <v>698</v>
      </c>
      <c r="U208" s="4" t="s">
        <v>850</v>
      </c>
    </row>
    <row r="209" spans="1:21">
      <c r="A209" s="4">
        <v>100040077</v>
      </c>
      <c r="B209" s="4">
        <v>4</v>
      </c>
      <c r="C209" s="4" t="s">
        <v>696</v>
      </c>
      <c r="G209" s="4" t="s">
        <v>851</v>
      </c>
      <c r="I209" s="4" t="s">
        <v>654</v>
      </c>
      <c r="N209" s="37"/>
      <c r="O209" s="37">
        <v>2</v>
      </c>
      <c r="P209" s="37"/>
      <c r="Q209" t="b">
        <v>0</v>
      </c>
      <c r="R209" s="37"/>
      <c r="S209" s="49"/>
      <c r="T209" s="49" t="s">
        <v>701</v>
      </c>
      <c r="U209" s="4" t="s">
        <v>852</v>
      </c>
    </row>
    <row r="210" spans="1:21">
      <c r="A210" s="4">
        <v>100040078</v>
      </c>
      <c r="B210" s="4">
        <v>4</v>
      </c>
      <c r="C210" s="4" t="s">
        <v>696</v>
      </c>
      <c r="G210" s="4" t="s">
        <v>853</v>
      </c>
      <c r="I210" s="4" t="s">
        <v>657</v>
      </c>
      <c r="N210" s="37"/>
      <c r="O210" s="37">
        <v>3</v>
      </c>
      <c r="P210" s="37"/>
      <c r="Q210" t="b">
        <v>0</v>
      </c>
      <c r="R210" s="37"/>
      <c r="S210" s="49"/>
      <c r="T210" s="49" t="s">
        <v>662</v>
      </c>
      <c r="U210" s="4" t="s">
        <v>854</v>
      </c>
    </row>
    <row r="211" spans="1:21">
      <c r="A211" s="4">
        <v>100040079</v>
      </c>
      <c r="B211" s="4">
        <v>4</v>
      </c>
      <c r="C211" s="4" t="s">
        <v>696</v>
      </c>
      <c r="G211" s="4" t="s">
        <v>855</v>
      </c>
      <c r="I211" s="4" t="s">
        <v>651</v>
      </c>
      <c r="N211" s="37"/>
      <c r="O211" s="37">
        <v>1</v>
      </c>
      <c r="P211" s="37"/>
      <c r="Q211" t="b">
        <v>0</v>
      </c>
      <c r="R211" s="37"/>
      <c r="S211" s="49"/>
      <c r="T211" s="49" t="s">
        <v>698</v>
      </c>
      <c r="U211" s="4" t="s">
        <v>856</v>
      </c>
    </row>
    <row r="212" spans="1:21">
      <c r="A212" s="4">
        <v>100040080</v>
      </c>
      <c r="B212" s="4">
        <v>4</v>
      </c>
      <c r="C212" s="4" t="s">
        <v>696</v>
      </c>
      <c r="G212" s="4" t="s">
        <v>857</v>
      </c>
      <c r="I212" s="4" t="s">
        <v>654</v>
      </c>
      <c r="N212" s="37"/>
      <c r="O212" s="37">
        <v>1</v>
      </c>
      <c r="P212" s="37"/>
      <c r="Q212" t="b">
        <v>0</v>
      </c>
      <c r="R212" s="37"/>
      <c r="S212" s="49"/>
      <c r="T212" s="49" t="s">
        <v>701</v>
      </c>
      <c r="U212" s="4" t="s">
        <v>858</v>
      </c>
    </row>
    <row r="213" spans="1:21">
      <c r="A213" s="4">
        <v>100040081</v>
      </c>
      <c r="B213" s="4">
        <v>4</v>
      </c>
      <c r="C213" s="4" t="s">
        <v>696</v>
      </c>
      <c r="G213" s="4" t="s">
        <v>859</v>
      </c>
      <c r="I213" s="4" t="s">
        <v>657</v>
      </c>
      <c r="N213" s="37"/>
      <c r="O213" s="37">
        <v>1</v>
      </c>
      <c r="P213" s="37"/>
      <c r="Q213" t="b">
        <v>0</v>
      </c>
      <c r="R213" s="37"/>
      <c r="S213" s="49"/>
      <c r="T213" s="49" t="s">
        <v>662</v>
      </c>
      <c r="U213" s="4" t="s">
        <v>860</v>
      </c>
    </row>
    <row r="214" spans="1:21">
      <c r="A214" s="4">
        <v>100040082</v>
      </c>
      <c r="B214" s="4">
        <v>4</v>
      </c>
      <c r="C214" s="4" t="s">
        <v>696</v>
      </c>
      <c r="G214" s="4" t="s">
        <v>861</v>
      </c>
      <c r="I214" s="4" t="s">
        <v>651</v>
      </c>
      <c r="N214" s="37"/>
      <c r="O214" s="37">
        <v>2</v>
      </c>
      <c r="P214" s="37"/>
      <c r="Q214" t="b">
        <v>0</v>
      </c>
      <c r="R214" s="37"/>
      <c r="S214" s="49"/>
      <c r="T214" s="49" t="s">
        <v>698</v>
      </c>
      <c r="U214" s="4" t="s">
        <v>862</v>
      </c>
    </row>
    <row r="215" spans="1:21">
      <c r="A215" s="4">
        <v>100040083</v>
      </c>
      <c r="B215" s="4">
        <v>4</v>
      </c>
      <c r="C215" s="4" t="s">
        <v>696</v>
      </c>
      <c r="G215" s="4" t="s">
        <v>863</v>
      </c>
      <c r="I215" s="4" t="s">
        <v>654</v>
      </c>
      <c r="N215" s="37"/>
      <c r="O215" s="37">
        <v>2</v>
      </c>
      <c r="P215" s="37"/>
      <c r="Q215" t="b">
        <v>0</v>
      </c>
      <c r="R215" s="37"/>
      <c r="S215" s="49"/>
      <c r="T215" s="49" t="s">
        <v>701</v>
      </c>
      <c r="U215" s="4" t="s">
        <v>864</v>
      </c>
    </row>
    <row r="216" spans="1:21">
      <c r="A216" s="4">
        <v>100040084</v>
      </c>
      <c r="B216" s="4">
        <v>4</v>
      </c>
      <c r="C216" s="4" t="s">
        <v>696</v>
      </c>
      <c r="G216" s="4" t="s">
        <v>865</v>
      </c>
      <c r="I216" s="4" t="s">
        <v>657</v>
      </c>
      <c r="N216" s="37"/>
      <c r="O216" s="37">
        <v>2</v>
      </c>
      <c r="P216" s="37"/>
      <c r="Q216" t="b">
        <v>0</v>
      </c>
      <c r="R216" s="37"/>
      <c r="S216" s="49"/>
      <c r="T216" s="49" t="s">
        <v>662</v>
      </c>
      <c r="U216" s="4" t="s">
        <v>866</v>
      </c>
    </row>
    <row r="217" spans="1:21">
      <c r="A217" s="4">
        <v>100040085</v>
      </c>
      <c r="B217" s="4">
        <v>4</v>
      </c>
      <c r="C217" s="4" t="s">
        <v>696</v>
      </c>
      <c r="G217" s="4" t="s">
        <v>867</v>
      </c>
      <c r="I217" s="4" t="s">
        <v>651</v>
      </c>
      <c r="N217" s="37"/>
      <c r="O217" s="37">
        <v>3</v>
      </c>
      <c r="P217" s="37"/>
      <c r="Q217" t="b">
        <v>0</v>
      </c>
      <c r="R217" s="37"/>
      <c r="S217" s="49"/>
      <c r="T217" s="49" t="s">
        <v>698</v>
      </c>
      <c r="U217" s="4" t="s">
        <v>868</v>
      </c>
    </row>
    <row r="218" spans="1:21">
      <c r="A218" s="4">
        <v>100040086</v>
      </c>
      <c r="B218" s="4">
        <v>4</v>
      </c>
      <c r="C218" s="4" t="s">
        <v>696</v>
      </c>
      <c r="G218" s="4" t="s">
        <v>869</v>
      </c>
      <c r="I218" s="4" t="s">
        <v>654</v>
      </c>
      <c r="N218" s="37"/>
      <c r="O218" s="37">
        <v>3</v>
      </c>
      <c r="P218" s="37"/>
      <c r="Q218" t="b">
        <v>0</v>
      </c>
      <c r="R218" s="37"/>
      <c r="S218" s="49"/>
      <c r="T218" s="49" t="s">
        <v>701</v>
      </c>
      <c r="U218" s="4" t="s">
        <v>870</v>
      </c>
    </row>
    <row r="219" spans="1:21">
      <c r="A219" s="4">
        <v>100040087</v>
      </c>
      <c r="B219" s="4">
        <v>4</v>
      </c>
      <c r="C219" s="4" t="s">
        <v>696</v>
      </c>
      <c r="G219" s="4" t="s">
        <v>871</v>
      </c>
      <c r="I219" s="4" t="s">
        <v>657</v>
      </c>
      <c r="N219" s="37"/>
      <c r="O219" s="37">
        <v>3</v>
      </c>
      <c r="P219" s="37"/>
      <c r="Q219" t="b">
        <v>0</v>
      </c>
      <c r="R219" s="37"/>
      <c r="S219" s="49"/>
      <c r="T219" s="49" t="s">
        <v>662</v>
      </c>
      <c r="U219" s="4" t="s">
        <v>872</v>
      </c>
    </row>
    <row r="220" spans="1:21">
      <c r="A220" s="4">
        <v>100040088</v>
      </c>
      <c r="B220" s="4">
        <v>4</v>
      </c>
      <c r="C220" s="4" t="s">
        <v>696</v>
      </c>
      <c r="G220" s="4" t="s">
        <v>873</v>
      </c>
      <c r="I220" s="4" t="s">
        <v>651</v>
      </c>
      <c r="N220" s="37"/>
      <c r="O220" s="37">
        <v>1</v>
      </c>
      <c r="P220" s="37"/>
      <c r="Q220" t="b">
        <v>0</v>
      </c>
      <c r="R220" s="37"/>
      <c r="S220" s="49"/>
      <c r="T220" s="49" t="s">
        <v>698</v>
      </c>
      <c r="U220" s="4" t="s">
        <v>874</v>
      </c>
    </row>
    <row r="221" spans="1:21">
      <c r="A221" s="4">
        <v>100040089</v>
      </c>
      <c r="B221" s="4">
        <v>4</v>
      </c>
      <c r="C221" s="4" t="s">
        <v>696</v>
      </c>
      <c r="G221" s="4" t="s">
        <v>875</v>
      </c>
      <c r="I221" s="4" t="s">
        <v>654</v>
      </c>
      <c r="N221" s="37"/>
      <c r="O221" s="37">
        <v>1</v>
      </c>
      <c r="P221" s="37"/>
      <c r="Q221" t="b">
        <v>0</v>
      </c>
      <c r="R221" s="37"/>
      <c r="S221" s="49"/>
      <c r="T221" s="49" t="s">
        <v>701</v>
      </c>
      <c r="U221" s="4" t="s">
        <v>876</v>
      </c>
    </row>
    <row r="222" spans="1:21">
      <c r="A222" s="4">
        <v>100040090</v>
      </c>
      <c r="B222" s="4">
        <v>4</v>
      </c>
      <c r="C222" s="4" t="s">
        <v>696</v>
      </c>
      <c r="G222" s="4" t="s">
        <v>877</v>
      </c>
      <c r="I222" s="4" t="s">
        <v>657</v>
      </c>
      <c r="N222" s="37"/>
      <c r="O222" s="37">
        <v>1</v>
      </c>
      <c r="P222" s="37"/>
      <c r="Q222" t="b">
        <v>0</v>
      </c>
      <c r="R222" s="37"/>
      <c r="S222" s="49"/>
      <c r="T222" s="49" t="s">
        <v>662</v>
      </c>
      <c r="U222" s="4" t="s">
        <v>878</v>
      </c>
    </row>
    <row r="223" spans="1:21">
      <c r="A223" s="4">
        <v>100040091</v>
      </c>
      <c r="B223" s="4">
        <v>4</v>
      </c>
      <c r="C223" s="4" t="s">
        <v>696</v>
      </c>
      <c r="G223" s="4" t="s">
        <v>879</v>
      </c>
      <c r="I223" s="4" t="s">
        <v>651</v>
      </c>
      <c r="N223" s="37"/>
      <c r="O223" s="37">
        <v>2</v>
      </c>
      <c r="P223" s="37"/>
      <c r="Q223" t="b">
        <v>0</v>
      </c>
      <c r="R223" s="37"/>
      <c r="S223" s="49"/>
      <c r="T223" s="49" t="s">
        <v>698</v>
      </c>
      <c r="U223" s="4" t="s">
        <v>880</v>
      </c>
    </row>
    <row r="224" spans="1:21">
      <c r="A224" s="4">
        <v>100040092</v>
      </c>
      <c r="B224" s="4">
        <v>4</v>
      </c>
      <c r="C224" s="4" t="s">
        <v>696</v>
      </c>
      <c r="G224" s="4" t="s">
        <v>881</v>
      </c>
      <c r="I224" s="4" t="s">
        <v>654</v>
      </c>
      <c r="N224" s="37"/>
      <c r="O224" s="37">
        <v>2</v>
      </c>
      <c r="P224" s="37"/>
      <c r="Q224" t="b">
        <v>0</v>
      </c>
      <c r="R224" s="37"/>
      <c r="S224" s="49"/>
      <c r="T224" s="49" t="s">
        <v>701</v>
      </c>
      <c r="U224" s="4" t="s">
        <v>882</v>
      </c>
    </row>
    <row r="225" spans="1:21">
      <c r="A225" s="4">
        <v>100040093</v>
      </c>
      <c r="B225" s="4">
        <v>4</v>
      </c>
      <c r="C225" s="4" t="s">
        <v>696</v>
      </c>
      <c r="G225" s="4" t="s">
        <v>883</v>
      </c>
      <c r="I225" s="4" t="s">
        <v>657</v>
      </c>
      <c r="N225" s="37"/>
      <c r="O225" s="37">
        <v>2</v>
      </c>
      <c r="P225" s="37"/>
      <c r="Q225" t="b">
        <v>0</v>
      </c>
      <c r="R225" s="37"/>
      <c r="S225" s="49"/>
      <c r="T225" s="49" t="s">
        <v>662</v>
      </c>
      <c r="U225" s="4" t="s">
        <v>884</v>
      </c>
    </row>
    <row r="226" spans="1:21">
      <c r="A226" s="4">
        <v>100040094</v>
      </c>
      <c r="B226" s="4">
        <v>4</v>
      </c>
      <c r="C226" s="4" t="s">
        <v>696</v>
      </c>
      <c r="G226" s="4" t="s">
        <v>885</v>
      </c>
      <c r="I226" s="4" t="s">
        <v>651</v>
      </c>
      <c r="N226" s="37"/>
      <c r="O226" s="37">
        <v>3</v>
      </c>
      <c r="P226" s="37"/>
      <c r="Q226" t="b">
        <v>0</v>
      </c>
      <c r="R226" s="37"/>
      <c r="S226" s="49"/>
      <c r="T226" s="49" t="s">
        <v>698</v>
      </c>
      <c r="U226" s="4" t="s">
        <v>886</v>
      </c>
    </row>
    <row r="227" spans="1:21">
      <c r="A227" s="4">
        <v>100040095</v>
      </c>
      <c r="B227" s="4">
        <v>4</v>
      </c>
      <c r="C227" s="4" t="s">
        <v>696</v>
      </c>
      <c r="G227" s="4" t="s">
        <v>887</v>
      </c>
      <c r="I227" s="4" t="s">
        <v>654</v>
      </c>
      <c r="N227" s="37"/>
      <c r="O227" s="37">
        <v>3</v>
      </c>
      <c r="P227" s="37"/>
      <c r="Q227" t="b">
        <v>0</v>
      </c>
      <c r="R227" s="37"/>
      <c r="S227" s="49"/>
      <c r="T227" s="49" t="s">
        <v>701</v>
      </c>
      <c r="U227" s="4" t="s">
        <v>888</v>
      </c>
    </row>
    <row r="228" spans="1:21">
      <c r="A228" s="4">
        <v>100040096</v>
      </c>
      <c r="B228" s="4">
        <v>4</v>
      </c>
      <c r="C228" s="4" t="s">
        <v>696</v>
      </c>
      <c r="G228" s="4" t="s">
        <v>889</v>
      </c>
      <c r="I228" s="4" t="s">
        <v>657</v>
      </c>
      <c r="N228" s="37"/>
      <c r="O228" s="37">
        <v>3</v>
      </c>
      <c r="P228" s="37"/>
      <c r="Q228" t="b">
        <v>0</v>
      </c>
      <c r="R228" s="37"/>
      <c r="S228" s="49"/>
      <c r="T228" s="49" t="s">
        <v>662</v>
      </c>
      <c r="U228" s="4" t="s">
        <v>890</v>
      </c>
    </row>
    <row r="229" spans="1:21">
      <c r="A229" s="4">
        <v>100040097</v>
      </c>
      <c r="B229" s="4">
        <v>4</v>
      </c>
      <c r="C229" s="4" t="s">
        <v>696</v>
      </c>
      <c r="G229" s="4" t="s">
        <v>891</v>
      </c>
      <c r="I229" s="4" t="s">
        <v>651</v>
      </c>
      <c r="N229" s="37"/>
      <c r="O229" s="37">
        <v>1</v>
      </c>
      <c r="P229" s="37"/>
      <c r="Q229" t="b">
        <v>0</v>
      </c>
      <c r="R229" s="37"/>
      <c r="S229" s="49"/>
      <c r="T229" s="49" t="s">
        <v>698</v>
      </c>
      <c r="U229" s="4" t="s">
        <v>892</v>
      </c>
    </row>
    <row r="230" spans="1:21">
      <c r="A230" s="4">
        <v>100040098</v>
      </c>
      <c r="B230" s="4">
        <v>4</v>
      </c>
      <c r="C230" s="4" t="s">
        <v>696</v>
      </c>
      <c r="G230" s="4" t="s">
        <v>893</v>
      </c>
      <c r="I230" s="4" t="s">
        <v>654</v>
      </c>
      <c r="N230" s="37"/>
      <c r="O230" s="37">
        <v>1</v>
      </c>
      <c r="P230" s="37"/>
      <c r="Q230" t="b">
        <v>0</v>
      </c>
      <c r="R230" s="37"/>
      <c r="S230" s="49"/>
      <c r="T230" s="49" t="s">
        <v>701</v>
      </c>
      <c r="U230" s="4" t="s">
        <v>894</v>
      </c>
    </row>
    <row r="231" spans="1:21">
      <c r="A231" s="4">
        <v>100040099</v>
      </c>
      <c r="B231" s="4">
        <v>4</v>
      </c>
      <c r="C231" s="4" t="s">
        <v>696</v>
      </c>
      <c r="G231" s="4" t="s">
        <v>895</v>
      </c>
      <c r="I231" s="4" t="s">
        <v>657</v>
      </c>
      <c r="N231" s="37"/>
      <c r="O231" s="37">
        <v>1</v>
      </c>
      <c r="P231" s="37"/>
      <c r="Q231" t="b">
        <v>0</v>
      </c>
      <c r="R231" s="37"/>
      <c r="S231" s="49"/>
      <c r="T231" s="49" t="s">
        <v>662</v>
      </c>
      <c r="U231" s="4" t="s">
        <v>896</v>
      </c>
    </row>
    <row r="232" spans="1:21">
      <c r="A232" s="4">
        <v>100040100</v>
      </c>
      <c r="B232" s="4">
        <v>4</v>
      </c>
      <c r="C232" s="4" t="s">
        <v>696</v>
      </c>
      <c r="G232" s="4" t="s">
        <v>897</v>
      </c>
      <c r="I232" s="4" t="s">
        <v>651</v>
      </c>
      <c r="N232" s="37"/>
      <c r="O232" s="37">
        <v>2</v>
      </c>
      <c r="P232" s="37"/>
      <c r="Q232" t="b">
        <v>0</v>
      </c>
      <c r="R232" s="37"/>
      <c r="S232" s="49"/>
      <c r="T232" s="49" t="s">
        <v>698</v>
      </c>
      <c r="U232" s="4" t="s">
        <v>898</v>
      </c>
    </row>
    <row r="233" spans="1:21">
      <c r="A233" s="4">
        <v>100040101</v>
      </c>
      <c r="B233" s="4">
        <v>4</v>
      </c>
      <c r="C233" s="4" t="s">
        <v>696</v>
      </c>
      <c r="G233" s="4" t="s">
        <v>899</v>
      </c>
      <c r="I233" s="4" t="s">
        <v>654</v>
      </c>
      <c r="N233" s="37"/>
      <c r="O233" s="37">
        <v>2</v>
      </c>
      <c r="P233" s="37"/>
      <c r="Q233" t="b">
        <v>0</v>
      </c>
      <c r="R233" s="37"/>
      <c r="S233" s="49"/>
      <c r="T233" s="49" t="s">
        <v>701</v>
      </c>
      <c r="U233" s="4" t="s">
        <v>900</v>
      </c>
    </row>
    <row r="234" spans="1:21">
      <c r="A234" s="4">
        <v>100040102</v>
      </c>
      <c r="B234" s="4">
        <v>4</v>
      </c>
      <c r="C234" s="4" t="s">
        <v>696</v>
      </c>
      <c r="G234" s="4" t="s">
        <v>901</v>
      </c>
      <c r="I234" s="4" t="s">
        <v>657</v>
      </c>
      <c r="N234" s="37"/>
      <c r="O234" s="37">
        <v>2</v>
      </c>
      <c r="P234" s="37"/>
      <c r="Q234" t="b">
        <v>0</v>
      </c>
      <c r="R234" s="37"/>
      <c r="S234" s="49"/>
      <c r="T234" s="49" t="s">
        <v>662</v>
      </c>
      <c r="U234" s="4" t="s">
        <v>902</v>
      </c>
    </row>
    <row r="235" spans="1:21">
      <c r="A235" s="4">
        <v>100040103</v>
      </c>
      <c r="B235" s="4">
        <v>4</v>
      </c>
      <c r="C235" s="4" t="s">
        <v>696</v>
      </c>
      <c r="G235" s="4" t="s">
        <v>903</v>
      </c>
      <c r="I235" s="4" t="s">
        <v>651</v>
      </c>
      <c r="N235" s="37"/>
      <c r="O235" s="37">
        <v>3</v>
      </c>
      <c r="P235" s="37"/>
      <c r="Q235" t="b">
        <v>0</v>
      </c>
      <c r="R235" s="37"/>
      <c r="S235" s="49"/>
      <c r="T235" s="49" t="s">
        <v>698</v>
      </c>
      <c r="U235" s="4" t="s">
        <v>904</v>
      </c>
    </row>
    <row r="236" spans="1:21">
      <c r="A236" s="4">
        <v>100040104</v>
      </c>
      <c r="B236" s="4">
        <v>4</v>
      </c>
      <c r="C236" s="4" t="s">
        <v>696</v>
      </c>
      <c r="G236" s="4" t="s">
        <v>905</v>
      </c>
      <c r="I236" s="4" t="s">
        <v>654</v>
      </c>
      <c r="N236" s="37"/>
      <c r="O236" s="37">
        <v>3</v>
      </c>
      <c r="P236" s="37"/>
      <c r="Q236" t="b">
        <v>0</v>
      </c>
      <c r="R236" s="37"/>
      <c r="S236" s="49"/>
      <c r="T236" s="49" t="s">
        <v>701</v>
      </c>
      <c r="U236" s="4" t="s">
        <v>906</v>
      </c>
    </row>
    <row r="237" spans="1:21">
      <c r="A237" s="4">
        <v>100040105</v>
      </c>
      <c r="B237" s="4">
        <v>4</v>
      </c>
      <c r="C237" s="4" t="s">
        <v>696</v>
      </c>
      <c r="G237" s="4" t="s">
        <v>907</v>
      </c>
      <c r="I237" s="4" t="s">
        <v>657</v>
      </c>
      <c r="N237" s="37"/>
      <c r="O237" s="37">
        <v>3</v>
      </c>
      <c r="P237" s="37"/>
      <c r="Q237" t="b">
        <v>0</v>
      </c>
      <c r="R237" s="37"/>
      <c r="S237" s="49"/>
      <c r="T237" s="49" t="s">
        <v>662</v>
      </c>
      <c r="U237" s="4" t="s">
        <v>908</v>
      </c>
    </row>
    <row r="238" spans="1:21">
      <c r="A238" s="4">
        <v>100040106</v>
      </c>
      <c r="B238" s="4">
        <v>4</v>
      </c>
      <c r="C238" s="4" t="s">
        <v>696</v>
      </c>
      <c r="G238" s="4" t="s">
        <v>909</v>
      </c>
      <c r="I238" s="4" t="s">
        <v>651</v>
      </c>
      <c r="N238" s="37"/>
      <c r="O238" s="37">
        <v>2</v>
      </c>
      <c r="P238" s="37"/>
      <c r="Q238" t="b">
        <v>0</v>
      </c>
      <c r="R238" s="37"/>
      <c r="S238" s="49"/>
      <c r="T238" s="49" t="s">
        <v>698</v>
      </c>
      <c r="U238" s="4" t="s">
        <v>910</v>
      </c>
    </row>
    <row r="239" spans="1:21">
      <c r="A239" s="4">
        <v>100040107</v>
      </c>
      <c r="B239" s="4">
        <v>4</v>
      </c>
      <c r="C239" s="4" t="s">
        <v>696</v>
      </c>
      <c r="G239" s="4" t="s">
        <v>911</v>
      </c>
      <c r="I239" s="4" t="s">
        <v>654</v>
      </c>
      <c r="N239" s="37"/>
      <c r="O239" s="37">
        <v>2</v>
      </c>
      <c r="P239" s="37"/>
      <c r="Q239" t="b">
        <v>0</v>
      </c>
      <c r="R239" s="37"/>
      <c r="S239" s="49"/>
      <c r="T239" s="49" t="s">
        <v>701</v>
      </c>
      <c r="U239" s="4" t="s">
        <v>912</v>
      </c>
    </row>
    <row r="240" spans="1:21">
      <c r="A240" s="4">
        <v>100040108</v>
      </c>
      <c r="B240" s="4">
        <v>4</v>
      </c>
      <c r="C240" s="4" t="s">
        <v>696</v>
      </c>
      <c r="G240" s="4" t="s">
        <v>913</v>
      </c>
      <c r="I240" s="4" t="s">
        <v>657</v>
      </c>
      <c r="N240" s="37"/>
      <c r="O240" s="37">
        <v>2</v>
      </c>
      <c r="P240" s="37"/>
      <c r="Q240" t="b">
        <v>0</v>
      </c>
      <c r="R240" s="37"/>
      <c r="S240" s="49"/>
      <c r="T240" s="49" t="s">
        <v>662</v>
      </c>
      <c r="U240" s="4" t="s">
        <v>914</v>
      </c>
    </row>
    <row r="241" spans="1:21">
      <c r="A241" s="4">
        <v>100040109</v>
      </c>
      <c r="B241" s="4">
        <v>4</v>
      </c>
      <c r="C241" s="4" t="s">
        <v>696</v>
      </c>
      <c r="G241" s="4" t="s">
        <v>915</v>
      </c>
      <c r="I241" s="4" t="s">
        <v>651</v>
      </c>
      <c r="N241" s="37"/>
      <c r="O241" s="37">
        <v>3</v>
      </c>
      <c r="P241" s="37"/>
      <c r="Q241" t="b">
        <v>0</v>
      </c>
      <c r="R241" s="37"/>
      <c r="S241" s="49"/>
      <c r="T241" s="49" t="s">
        <v>698</v>
      </c>
      <c r="U241" s="4" t="s">
        <v>916</v>
      </c>
    </row>
    <row r="242" spans="1:21">
      <c r="A242" s="4">
        <v>100040110</v>
      </c>
      <c r="B242" s="4">
        <v>4</v>
      </c>
      <c r="C242" s="4" t="s">
        <v>696</v>
      </c>
      <c r="G242" s="4" t="s">
        <v>917</v>
      </c>
      <c r="I242" s="4" t="s">
        <v>654</v>
      </c>
      <c r="N242" s="37"/>
      <c r="O242" s="37">
        <v>3</v>
      </c>
      <c r="P242" s="37"/>
      <c r="Q242" t="b">
        <v>0</v>
      </c>
      <c r="R242" s="37"/>
      <c r="S242" s="49"/>
      <c r="T242" s="49" t="s">
        <v>701</v>
      </c>
      <c r="U242" s="4" t="s">
        <v>918</v>
      </c>
    </row>
    <row r="243" spans="1:21">
      <c r="A243" s="4">
        <v>100040111</v>
      </c>
      <c r="B243" s="4">
        <v>4</v>
      </c>
      <c r="C243" s="4" t="s">
        <v>696</v>
      </c>
      <c r="G243" s="4" t="s">
        <v>919</v>
      </c>
      <c r="I243" s="4" t="s">
        <v>657</v>
      </c>
      <c r="N243" s="37"/>
      <c r="O243" s="37">
        <v>3</v>
      </c>
      <c r="P243" s="37"/>
      <c r="Q243" t="b">
        <v>0</v>
      </c>
      <c r="R243" s="37"/>
      <c r="S243" s="49"/>
      <c r="T243" s="49" t="s">
        <v>662</v>
      </c>
      <c r="U243" s="4" t="s">
        <v>920</v>
      </c>
    </row>
    <row r="244" spans="1:21">
      <c r="A244" s="4">
        <v>100040112</v>
      </c>
      <c r="B244" s="4">
        <v>4</v>
      </c>
      <c r="C244" s="4" t="s">
        <v>696</v>
      </c>
      <c r="G244" s="4" t="s">
        <v>921</v>
      </c>
      <c r="I244" s="4" t="s">
        <v>651</v>
      </c>
      <c r="N244" s="37"/>
      <c r="O244" s="37">
        <v>1</v>
      </c>
      <c r="P244" s="37"/>
      <c r="Q244" t="b">
        <v>0</v>
      </c>
      <c r="R244" s="37"/>
      <c r="S244" s="49"/>
      <c r="T244" s="49" t="s">
        <v>922</v>
      </c>
      <c r="U244" s="4" t="s">
        <v>923</v>
      </c>
    </row>
    <row r="245" spans="1:21">
      <c r="A245" s="4">
        <v>100040113</v>
      </c>
      <c r="B245" s="4">
        <v>4</v>
      </c>
      <c r="C245" s="4" t="s">
        <v>696</v>
      </c>
      <c r="G245" s="4" t="s">
        <v>924</v>
      </c>
      <c r="I245" s="4" t="s">
        <v>654</v>
      </c>
      <c r="N245" s="37"/>
      <c r="O245" s="37">
        <v>1</v>
      </c>
      <c r="P245" s="37"/>
      <c r="Q245" t="b">
        <v>0</v>
      </c>
      <c r="R245" s="37"/>
      <c r="S245" s="49"/>
      <c r="T245" s="49" t="s">
        <v>698</v>
      </c>
      <c r="U245" s="4" t="s">
        <v>925</v>
      </c>
    </row>
    <row r="246" spans="1:21">
      <c r="A246" s="4">
        <v>100040114</v>
      </c>
      <c r="B246" s="4">
        <v>4</v>
      </c>
      <c r="C246" s="4" t="s">
        <v>696</v>
      </c>
      <c r="G246" s="4" t="s">
        <v>926</v>
      </c>
      <c r="I246" s="4" t="s">
        <v>657</v>
      </c>
      <c r="N246" s="37"/>
      <c r="O246" s="37">
        <v>1</v>
      </c>
      <c r="P246" s="37"/>
      <c r="Q246" t="b">
        <v>0</v>
      </c>
      <c r="R246" s="37"/>
      <c r="S246" s="49"/>
      <c r="T246" s="49" t="s">
        <v>701</v>
      </c>
      <c r="U246" s="4" t="s">
        <v>927</v>
      </c>
    </row>
    <row r="247" spans="1:21">
      <c r="A247" s="4">
        <v>100040115</v>
      </c>
      <c r="B247" s="4">
        <v>4</v>
      </c>
      <c r="C247" s="4" t="s">
        <v>696</v>
      </c>
      <c r="G247" s="4" t="s">
        <v>928</v>
      </c>
      <c r="I247" s="4" t="s">
        <v>651</v>
      </c>
      <c r="N247" s="37"/>
      <c r="O247" s="37">
        <v>2</v>
      </c>
      <c r="P247" s="37"/>
      <c r="Q247" t="b">
        <v>0</v>
      </c>
      <c r="R247" s="37"/>
      <c r="S247" s="49"/>
      <c r="T247" s="49" t="s">
        <v>922</v>
      </c>
      <c r="U247" s="4" t="s">
        <v>929</v>
      </c>
    </row>
    <row r="248" spans="1:21">
      <c r="A248" s="4">
        <v>100040116</v>
      </c>
      <c r="B248" s="4">
        <v>4</v>
      </c>
      <c r="C248" s="4" t="s">
        <v>696</v>
      </c>
      <c r="G248" s="4" t="s">
        <v>930</v>
      </c>
      <c r="I248" s="4" t="s">
        <v>654</v>
      </c>
      <c r="N248" s="37"/>
      <c r="O248" s="37">
        <v>2</v>
      </c>
      <c r="P248" s="37"/>
      <c r="Q248" t="b">
        <v>0</v>
      </c>
      <c r="R248" s="37"/>
      <c r="S248" s="49"/>
      <c r="T248" s="49" t="s">
        <v>698</v>
      </c>
      <c r="U248" s="4" t="s">
        <v>931</v>
      </c>
    </row>
    <row r="249" spans="1:21">
      <c r="A249" s="4">
        <v>100040117</v>
      </c>
      <c r="B249" s="4">
        <v>4</v>
      </c>
      <c r="C249" s="4" t="s">
        <v>696</v>
      </c>
      <c r="G249" s="4" t="s">
        <v>932</v>
      </c>
      <c r="I249" s="4" t="s">
        <v>657</v>
      </c>
      <c r="N249" s="37"/>
      <c r="O249" s="37">
        <v>2</v>
      </c>
      <c r="P249" s="37"/>
      <c r="Q249" t="b">
        <v>0</v>
      </c>
      <c r="R249" s="37"/>
      <c r="S249" s="49"/>
      <c r="T249" s="49" t="s">
        <v>701</v>
      </c>
      <c r="U249" s="4" t="s">
        <v>933</v>
      </c>
    </row>
    <row r="250" spans="1:21">
      <c r="A250" s="4">
        <v>100040118</v>
      </c>
      <c r="B250" s="4">
        <v>4</v>
      </c>
      <c r="C250" s="4" t="s">
        <v>696</v>
      </c>
      <c r="G250" s="4" t="s">
        <v>934</v>
      </c>
      <c r="I250" s="4" t="s">
        <v>651</v>
      </c>
      <c r="N250" s="37"/>
      <c r="O250" s="37">
        <v>3</v>
      </c>
      <c r="P250" s="37"/>
      <c r="Q250" t="b">
        <v>0</v>
      </c>
      <c r="R250" s="37"/>
      <c r="S250" s="49"/>
      <c r="T250" s="49" t="s">
        <v>922</v>
      </c>
      <c r="U250" s="4" t="s">
        <v>935</v>
      </c>
    </row>
    <row r="251" spans="1:21">
      <c r="A251" s="4">
        <v>100040119</v>
      </c>
      <c r="B251" s="4">
        <v>4</v>
      </c>
      <c r="C251" s="4" t="s">
        <v>696</v>
      </c>
      <c r="G251" s="4" t="s">
        <v>936</v>
      </c>
      <c r="I251" s="4" t="s">
        <v>654</v>
      </c>
      <c r="N251" s="37"/>
      <c r="O251" s="37">
        <v>3</v>
      </c>
      <c r="P251" s="37"/>
      <c r="Q251" t="b">
        <v>0</v>
      </c>
      <c r="R251" s="37"/>
      <c r="S251" s="49"/>
      <c r="T251" s="49" t="s">
        <v>698</v>
      </c>
      <c r="U251" s="4" t="s">
        <v>937</v>
      </c>
    </row>
    <row r="252" spans="1:21">
      <c r="A252" s="4">
        <v>100040120</v>
      </c>
      <c r="B252" s="4">
        <v>4</v>
      </c>
      <c r="C252" s="4" t="s">
        <v>696</v>
      </c>
      <c r="G252" s="4" t="s">
        <v>938</v>
      </c>
      <c r="I252" s="4" t="s">
        <v>657</v>
      </c>
      <c r="N252" s="37"/>
      <c r="O252" s="37">
        <v>3</v>
      </c>
      <c r="P252" s="37"/>
      <c r="Q252" t="b">
        <v>0</v>
      </c>
      <c r="R252" s="37"/>
      <c r="S252" s="49"/>
      <c r="T252" s="49" t="s">
        <v>701</v>
      </c>
      <c r="U252" s="4" t="s">
        <v>939</v>
      </c>
    </row>
    <row r="253" spans="1:21">
      <c r="A253" s="4">
        <v>100050001</v>
      </c>
      <c r="B253" s="4">
        <v>5</v>
      </c>
      <c r="C253" s="4" t="s">
        <v>940</v>
      </c>
      <c r="G253" s="4" t="s">
        <v>941</v>
      </c>
      <c r="I253" s="4" t="s">
        <v>942</v>
      </c>
      <c r="N253" s="37"/>
      <c r="O253" s="37">
        <v>1</v>
      </c>
      <c r="P253" s="37">
        <v>120</v>
      </c>
      <c r="Q253" t="b">
        <v>1</v>
      </c>
      <c r="R253" s="37">
        <v>300</v>
      </c>
      <c r="S253" s="49">
        <v>78001</v>
      </c>
      <c r="T253" s="49"/>
      <c r="U253" s="4" t="s">
        <v>943</v>
      </c>
    </row>
    <row r="254" spans="1:21">
      <c r="A254" s="4">
        <v>100050002</v>
      </c>
      <c r="B254" s="4">
        <v>5</v>
      </c>
      <c r="C254" s="4" t="s">
        <v>940</v>
      </c>
      <c r="G254" s="4" t="s">
        <v>944</v>
      </c>
      <c r="I254" s="4" t="s">
        <v>945</v>
      </c>
      <c r="N254" s="37"/>
      <c r="O254" s="37">
        <v>1</v>
      </c>
      <c r="P254" s="37">
        <v>120</v>
      </c>
      <c r="Q254" t="b">
        <v>1</v>
      </c>
      <c r="R254" s="37">
        <v>300</v>
      </c>
      <c r="S254" s="49">
        <v>78002</v>
      </c>
      <c r="T254" s="49"/>
      <c r="U254" s="4" t="s">
        <v>946</v>
      </c>
    </row>
    <row r="255" spans="1:21">
      <c r="A255" s="4">
        <v>100050003</v>
      </c>
      <c r="B255" s="4">
        <v>5</v>
      </c>
      <c r="C255" s="4" t="s">
        <v>940</v>
      </c>
      <c r="G255" s="4" t="s">
        <v>947</v>
      </c>
      <c r="I255" s="4" t="s">
        <v>948</v>
      </c>
      <c r="N255" s="37"/>
      <c r="O255" s="37">
        <v>1</v>
      </c>
      <c r="P255" s="37">
        <v>120</v>
      </c>
      <c r="Q255" t="b">
        <v>1</v>
      </c>
      <c r="R255" s="37">
        <v>300</v>
      </c>
      <c r="S255" s="49">
        <v>78003</v>
      </c>
      <c r="T255" s="49"/>
      <c r="U255" s="4" t="s">
        <v>949</v>
      </c>
    </row>
    <row r="256" spans="1:21">
      <c r="A256" s="4">
        <v>100050004</v>
      </c>
      <c r="B256" s="4">
        <v>5</v>
      </c>
      <c r="C256" s="4" t="s">
        <v>940</v>
      </c>
      <c r="G256" s="4" t="s">
        <v>950</v>
      </c>
      <c r="I256" s="4" t="s">
        <v>951</v>
      </c>
      <c r="N256" s="37"/>
      <c r="O256" s="37">
        <v>2</v>
      </c>
      <c r="P256" s="37">
        <v>1440</v>
      </c>
      <c r="Q256" t="b">
        <v>1</v>
      </c>
      <c r="R256" s="37">
        <v>300</v>
      </c>
      <c r="S256" s="49">
        <v>78004</v>
      </c>
      <c r="T256" s="49"/>
      <c r="U256" s="4" t="s">
        <v>952</v>
      </c>
    </row>
    <row r="257" spans="1:21">
      <c r="A257" s="4">
        <v>100050005</v>
      </c>
      <c r="B257" s="4">
        <v>5</v>
      </c>
      <c r="C257" s="4" t="s">
        <v>940</v>
      </c>
      <c r="G257" s="4" t="s">
        <v>953</v>
      </c>
      <c r="I257" s="4" t="s">
        <v>954</v>
      </c>
      <c r="N257" s="37"/>
      <c r="O257" s="37">
        <v>2</v>
      </c>
      <c r="P257" s="37">
        <v>1440</v>
      </c>
      <c r="Q257" t="b">
        <v>1</v>
      </c>
      <c r="R257" s="37">
        <v>300</v>
      </c>
      <c r="S257" s="49">
        <v>78005</v>
      </c>
      <c r="T257" s="49"/>
      <c r="U257" s="4" t="s">
        <v>955</v>
      </c>
    </row>
    <row r="258" spans="1:21">
      <c r="A258" s="4">
        <v>100050006</v>
      </c>
      <c r="B258" s="4">
        <v>5</v>
      </c>
      <c r="C258" s="4" t="s">
        <v>940</v>
      </c>
      <c r="G258" s="4" t="s">
        <v>956</v>
      </c>
      <c r="I258" s="4" t="s">
        <v>957</v>
      </c>
      <c r="N258" s="37"/>
      <c r="O258" s="37">
        <v>3</v>
      </c>
      <c r="P258" s="37">
        <v>2880</v>
      </c>
      <c r="Q258" t="b">
        <v>1</v>
      </c>
      <c r="R258" s="37">
        <v>300</v>
      </c>
      <c r="S258" s="49">
        <v>78006</v>
      </c>
      <c r="T258" s="49"/>
      <c r="U258" s="4" t="s">
        <v>958</v>
      </c>
    </row>
    <row r="259" spans="1:21">
      <c r="A259" s="4">
        <v>100050007</v>
      </c>
      <c r="B259" s="4">
        <v>5</v>
      </c>
      <c r="C259" s="4" t="s">
        <v>940</v>
      </c>
      <c r="G259" s="4" t="s">
        <v>959</v>
      </c>
      <c r="I259" s="4" t="s">
        <v>960</v>
      </c>
      <c r="N259" s="37"/>
      <c r="O259" s="37">
        <v>3</v>
      </c>
      <c r="P259" s="37">
        <v>2880</v>
      </c>
      <c r="Q259" t="b">
        <v>1</v>
      </c>
      <c r="R259" s="37">
        <v>300</v>
      </c>
      <c r="S259" s="49">
        <v>78007</v>
      </c>
      <c r="T259" s="49"/>
      <c r="U259" s="4" t="s">
        <v>961</v>
      </c>
    </row>
    <row r="260" spans="1:21">
      <c r="A260" s="4">
        <v>100050008</v>
      </c>
      <c r="B260" s="4">
        <v>5</v>
      </c>
      <c r="C260" s="4" t="s">
        <v>940</v>
      </c>
      <c r="G260" s="4" t="s">
        <v>962</v>
      </c>
      <c r="I260" s="4" t="s">
        <v>963</v>
      </c>
      <c r="N260" s="37"/>
      <c r="O260" s="37">
        <v>1</v>
      </c>
      <c r="P260" s="37">
        <v>120</v>
      </c>
      <c r="Q260" t="b">
        <v>1</v>
      </c>
      <c r="R260" s="37">
        <v>300</v>
      </c>
      <c r="S260" s="49">
        <v>78008</v>
      </c>
      <c r="T260" s="49"/>
      <c r="U260" s="4" t="s">
        <v>964</v>
      </c>
    </row>
    <row r="261" spans="1:21">
      <c r="A261" s="4">
        <v>100050009</v>
      </c>
      <c r="B261" s="4">
        <v>5</v>
      </c>
      <c r="C261" s="4" t="s">
        <v>940</v>
      </c>
      <c r="G261" s="4" t="s">
        <v>965</v>
      </c>
      <c r="I261" s="4" t="s">
        <v>966</v>
      </c>
      <c r="N261" s="37"/>
      <c r="O261" s="37">
        <v>1</v>
      </c>
      <c r="P261" s="37">
        <v>120</v>
      </c>
      <c r="Q261" t="b">
        <v>1</v>
      </c>
      <c r="R261" s="37">
        <v>300</v>
      </c>
      <c r="S261" s="49">
        <v>78009</v>
      </c>
      <c r="T261" s="49"/>
      <c r="U261" s="4" t="s">
        <v>967</v>
      </c>
    </row>
    <row r="262" spans="1:21">
      <c r="A262" s="4">
        <v>100050010</v>
      </c>
      <c r="B262" s="4">
        <v>5</v>
      </c>
      <c r="C262" s="4" t="s">
        <v>940</v>
      </c>
      <c r="G262" s="4" t="s">
        <v>968</v>
      </c>
      <c r="I262" s="4" t="s">
        <v>951</v>
      </c>
      <c r="N262" s="37"/>
      <c r="O262" s="37">
        <v>1</v>
      </c>
      <c r="P262" s="37">
        <v>120</v>
      </c>
      <c r="Q262" t="b">
        <v>1</v>
      </c>
      <c r="R262" s="37">
        <v>300</v>
      </c>
      <c r="S262" s="49">
        <v>78010</v>
      </c>
      <c r="T262" s="49"/>
      <c r="U262" s="4" t="s">
        <v>969</v>
      </c>
    </row>
    <row r="263" spans="1:21">
      <c r="A263" s="4">
        <v>100050011</v>
      </c>
      <c r="B263" s="4">
        <v>5</v>
      </c>
      <c r="C263" s="4" t="s">
        <v>940</v>
      </c>
      <c r="G263" s="4" t="s">
        <v>970</v>
      </c>
      <c r="I263" s="4" t="s">
        <v>954</v>
      </c>
      <c r="N263" s="37"/>
      <c r="O263" s="37">
        <v>2</v>
      </c>
      <c r="P263" s="37">
        <v>1440</v>
      </c>
      <c r="Q263" t="b">
        <v>1</v>
      </c>
      <c r="R263" s="37">
        <v>300</v>
      </c>
      <c r="S263" s="49">
        <v>78011</v>
      </c>
      <c r="T263" s="49"/>
      <c r="U263" s="4" t="s">
        <v>971</v>
      </c>
    </row>
    <row r="264" spans="1:21">
      <c r="A264" s="4">
        <v>100050012</v>
      </c>
      <c r="B264" s="4">
        <v>5</v>
      </c>
      <c r="C264" s="4" t="s">
        <v>940</v>
      </c>
      <c r="G264" s="4" t="s">
        <v>972</v>
      </c>
      <c r="I264" s="4" t="s">
        <v>973</v>
      </c>
      <c r="N264" s="37"/>
      <c r="O264" s="37">
        <v>2</v>
      </c>
      <c r="P264" s="37">
        <v>1440</v>
      </c>
      <c r="Q264" t="b">
        <v>1</v>
      </c>
      <c r="R264" s="37">
        <v>300</v>
      </c>
      <c r="S264" s="49">
        <v>78012</v>
      </c>
      <c r="T264" s="49"/>
      <c r="U264" s="4" t="s">
        <v>974</v>
      </c>
    </row>
    <row r="265" spans="1:21">
      <c r="A265" s="4">
        <v>100050013</v>
      </c>
      <c r="B265" s="4">
        <v>5</v>
      </c>
      <c r="C265" s="4" t="s">
        <v>940</v>
      </c>
      <c r="G265" s="4" t="s">
        <v>975</v>
      </c>
      <c r="I265" s="4" t="s">
        <v>976</v>
      </c>
      <c r="N265" s="37"/>
      <c r="O265" s="37">
        <v>3</v>
      </c>
      <c r="P265" s="37">
        <v>2880</v>
      </c>
      <c r="Q265" t="b">
        <v>1</v>
      </c>
      <c r="R265" s="37">
        <v>300</v>
      </c>
      <c r="S265" s="49">
        <v>78013</v>
      </c>
      <c r="T265" s="49"/>
      <c r="U265" s="4" t="s">
        <v>977</v>
      </c>
    </row>
    <row r="266" spans="1:21">
      <c r="A266" s="4">
        <v>100050014</v>
      </c>
      <c r="B266" s="4">
        <v>5</v>
      </c>
      <c r="C266" s="4" t="s">
        <v>940</v>
      </c>
      <c r="G266" s="4" t="s">
        <v>978</v>
      </c>
      <c r="I266" s="4" t="s">
        <v>979</v>
      </c>
      <c r="N266" s="37"/>
      <c r="O266" s="37">
        <v>3</v>
      </c>
      <c r="P266" s="37">
        <v>2880</v>
      </c>
      <c r="Q266" t="b">
        <v>1</v>
      </c>
      <c r="R266" s="37">
        <v>300</v>
      </c>
      <c r="S266" s="49">
        <v>78014</v>
      </c>
      <c r="T266" s="49"/>
      <c r="U266" s="4" t="s">
        <v>980</v>
      </c>
    </row>
    <row r="267" spans="1:21">
      <c r="A267" s="4">
        <v>100050015</v>
      </c>
      <c r="B267" s="4">
        <v>5</v>
      </c>
      <c r="C267" s="4" t="s">
        <v>940</v>
      </c>
      <c r="G267" s="4" t="s">
        <v>981</v>
      </c>
      <c r="I267" s="4" t="s">
        <v>951</v>
      </c>
      <c r="N267" s="37"/>
      <c r="O267" s="37">
        <v>1</v>
      </c>
      <c r="P267" s="37">
        <v>120</v>
      </c>
      <c r="Q267" t="b">
        <v>1</v>
      </c>
      <c r="R267" s="37">
        <v>300</v>
      </c>
      <c r="S267" s="49">
        <v>78015</v>
      </c>
      <c r="T267" s="49"/>
      <c r="U267" s="4" t="s">
        <v>982</v>
      </c>
    </row>
    <row r="268" spans="1:21">
      <c r="A268" s="4">
        <v>100050016</v>
      </c>
      <c r="B268" s="4">
        <v>5</v>
      </c>
      <c r="C268" s="4" t="s">
        <v>940</v>
      </c>
      <c r="G268" s="4" t="s">
        <v>983</v>
      </c>
      <c r="I268" s="4" t="s">
        <v>957</v>
      </c>
      <c r="N268" s="37"/>
      <c r="O268" s="37">
        <v>1</v>
      </c>
      <c r="P268" s="37">
        <v>120</v>
      </c>
      <c r="Q268" t="b">
        <v>1</v>
      </c>
      <c r="R268" s="37">
        <v>300</v>
      </c>
      <c r="S268" s="49">
        <v>78016</v>
      </c>
      <c r="T268" s="49"/>
      <c r="U268" s="4" t="s">
        <v>984</v>
      </c>
    </row>
    <row r="269" spans="1:21">
      <c r="A269" s="4">
        <v>100050017</v>
      </c>
      <c r="B269" s="4">
        <v>5</v>
      </c>
      <c r="C269" s="4" t="s">
        <v>940</v>
      </c>
      <c r="G269" s="4" t="s">
        <v>985</v>
      </c>
      <c r="I269" s="4" t="s">
        <v>960</v>
      </c>
      <c r="N269" s="37"/>
      <c r="O269" s="37">
        <v>2</v>
      </c>
      <c r="P269" s="37">
        <v>120</v>
      </c>
      <c r="Q269" t="b">
        <v>1</v>
      </c>
      <c r="R269" s="37">
        <v>300</v>
      </c>
      <c r="S269" s="49">
        <v>78017</v>
      </c>
      <c r="T269" s="49"/>
      <c r="U269" s="4" t="s">
        <v>986</v>
      </c>
    </row>
    <row r="270" spans="1:21">
      <c r="A270" s="4">
        <v>100050018</v>
      </c>
      <c r="B270" s="4">
        <v>5</v>
      </c>
      <c r="C270" s="4" t="s">
        <v>940</v>
      </c>
      <c r="G270" s="4" t="s">
        <v>987</v>
      </c>
      <c r="I270" s="4" t="s">
        <v>979</v>
      </c>
      <c r="N270" s="37"/>
      <c r="O270" s="37">
        <v>2</v>
      </c>
      <c r="P270" s="37">
        <v>1440</v>
      </c>
      <c r="Q270" t="b">
        <v>1</v>
      </c>
      <c r="R270" s="37">
        <v>300</v>
      </c>
      <c r="S270" s="49">
        <v>78018</v>
      </c>
      <c r="T270" s="49"/>
      <c r="U270" s="4" t="s">
        <v>988</v>
      </c>
    </row>
    <row r="271" spans="1:21">
      <c r="A271" s="4">
        <v>100050019</v>
      </c>
      <c r="B271" s="4">
        <v>5</v>
      </c>
      <c r="C271" s="4" t="s">
        <v>940</v>
      </c>
      <c r="G271" s="4" t="s">
        <v>989</v>
      </c>
      <c r="I271" s="4" t="s">
        <v>990</v>
      </c>
      <c r="N271" s="37"/>
      <c r="O271" s="37">
        <v>3</v>
      </c>
      <c r="P271" s="37">
        <v>1440</v>
      </c>
      <c r="Q271" t="b">
        <v>1</v>
      </c>
      <c r="R271" s="37">
        <v>300</v>
      </c>
      <c r="S271" s="49">
        <v>78019</v>
      </c>
      <c r="T271" s="49"/>
      <c r="U271" s="4" t="s">
        <v>991</v>
      </c>
    </row>
    <row r="272" spans="1:21">
      <c r="A272" s="4">
        <v>100050020</v>
      </c>
      <c r="B272" s="4">
        <v>5</v>
      </c>
      <c r="C272" s="4" t="s">
        <v>940</v>
      </c>
      <c r="G272" s="4" t="s">
        <v>992</v>
      </c>
      <c r="I272" s="4" t="s">
        <v>993</v>
      </c>
      <c r="N272" s="37"/>
      <c r="O272" s="37">
        <v>3</v>
      </c>
      <c r="P272" s="37">
        <v>2880</v>
      </c>
      <c r="Q272" t="b">
        <v>1</v>
      </c>
      <c r="R272" s="37">
        <v>300</v>
      </c>
      <c r="S272" s="49">
        <v>78020</v>
      </c>
      <c r="T272" s="49"/>
      <c r="U272" s="4" t="s">
        <v>994</v>
      </c>
    </row>
    <row r="273" spans="1:21">
      <c r="A273" s="4">
        <v>100050021</v>
      </c>
      <c r="B273" s="4">
        <v>5</v>
      </c>
      <c r="C273" s="4" t="s">
        <v>940</v>
      </c>
      <c r="G273" s="4" t="s">
        <v>995</v>
      </c>
      <c r="I273" s="4" t="s">
        <v>996</v>
      </c>
      <c r="N273" s="37"/>
      <c r="O273" s="37">
        <v>3</v>
      </c>
      <c r="P273" s="37">
        <v>2880</v>
      </c>
      <c r="Q273" t="b">
        <v>1</v>
      </c>
      <c r="R273" s="37">
        <v>300</v>
      </c>
      <c r="S273" s="49">
        <v>78021</v>
      </c>
      <c r="T273" s="49"/>
      <c r="U273" s="4" t="s">
        <v>997</v>
      </c>
    </row>
    <row r="274" spans="1:21">
      <c r="A274" s="4">
        <v>100050022</v>
      </c>
      <c r="B274" s="4">
        <v>5</v>
      </c>
      <c r="C274" s="4" t="s">
        <v>940</v>
      </c>
      <c r="G274" s="4" t="s">
        <v>998</v>
      </c>
      <c r="I274" s="4" t="s">
        <v>999</v>
      </c>
      <c r="N274" s="37"/>
      <c r="O274" s="37">
        <v>1</v>
      </c>
      <c r="P274" s="37">
        <v>120</v>
      </c>
      <c r="Q274" t="b">
        <v>1</v>
      </c>
      <c r="R274" s="37">
        <v>300</v>
      </c>
      <c r="S274" s="49">
        <v>78022</v>
      </c>
      <c r="T274" s="49"/>
      <c r="U274" s="4" t="s">
        <v>1000</v>
      </c>
    </row>
    <row r="275" spans="1:21">
      <c r="A275" s="4">
        <v>100050023</v>
      </c>
      <c r="B275" s="4">
        <v>5</v>
      </c>
      <c r="C275" s="4" t="s">
        <v>940</v>
      </c>
      <c r="G275" s="4" t="s">
        <v>1001</v>
      </c>
      <c r="I275" s="4" t="s">
        <v>942</v>
      </c>
      <c r="N275" s="37"/>
      <c r="O275" s="37">
        <v>1</v>
      </c>
      <c r="P275" s="37">
        <v>120</v>
      </c>
      <c r="Q275" t="b">
        <v>1</v>
      </c>
      <c r="R275" s="37">
        <v>300</v>
      </c>
      <c r="S275" s="49">
        <v>78023</v>
      </c>
      <c r="T275" s="49"/>
      <c r="U275" s="4" t="s">
        <v>1002</v>
      </c>
    </row>
    <row r="276" spans="1:21">
      <c r="A276" s="4">
        <v>100050024</v>
      </c>
      <c r="B276" s="4">
        <v>5</v>
      </c>
      <c r="C276" s="4" t="s">
        <v>940</v>
      </c>
      <c r="G276" s="4" t="s">
        <v>1003</v>
      </c>
      <c r="I276" s="4" t="s">
        <v>1004</v>
      </c>
      <c r="N276" s="37"/>
      <c r="O276" s="37">
        <v>1</v>
      </c>
      <c r="P276" s="37">
        <v>120</v>
      </c>
      <c r="Q276" t="b">
        <v>1</v>
      </c>
      <c r="R276" s="37">
        <v>300</v>
      </c>
      <c r="S276" s="49">
        <v>78024</v>
      </c>
      <c r="T276" s="49"/>
      <c r="U276" s="4" t="s">
        <v>1005</v>
      </c>
    </row>
    <row r="277" spans="1:21">
      <c r="A277" s="4">
        <v>100050025</v>
      </c>
      <c r="B277" s="4">
        <v>5</v>
      </c>
      <c r="C277" s="4" t="s">
        <v>940</v>
      </c>
      <c r="G277" s="4" t="s">
        <v>1006</v>
      </c>
      <c r="I277" s="4" t="s">
        <v>1007</v>
      </c>
      <c r="N277" s="37"/>
      <c r="O277" s="37">
        <v>1</v>
      </c>
      <c r="P277" s="37">
        <v>120</v>
      </c>
      <c r="Q277" t="b">
        <v>1</v>
      </c>
      <c r="R277" s="37">
        <v>300</v>
      </c>
      <c r="S277" s="49">
        <v>78025</v>
      </c>
      <c r="T277" s="49"/>
      <c r="U277" s="4" t="s">
        <v>1008</v>
      </c>
    </row>
    <row r="278" spans="1:21">
      <c r="A278" s="4">
        <v>100050026</v>
      </c>
      <c r="B278" s="4">
        <v>5</v>
      </c>
      <c r="C278" s="4" t="s">
        <v>940</v>
      </c>
      <c r="G278" s="4" t="s">
        <v>1009</v>
      </c>
      <c r="I278" s="4" t="s">
        <v>948</v>
      </c>
      <c r="N278" s="37"/>
      <c r="O278" s="37">
        <v>2</v>
      </c>
      <c r="P278" s="37">
        <v>1440</v>
      </c>
      <c r="Q278" t="b">
        <v>1</v>
      </c>
      <c r="R278" s="37">
        <v>300</v>
      </c>
      <c r="S278" s="49">
        <v>78026</v>
      </c>
      <c r="T278" s="49"/>
      <c r="U278" s="4" t="s">
        <v>1010</v>
      </c>
    </row>
    <row r="279" spans="1:21">
      <c r="A279" s="4">
        <v>100050027</v>
      </c>
      <c r="B279" s="4">
        <v>5</v>
      </c>
      <c r="C279" s="4" t="s">
        <v>940</v>
      </c>
      <c r="G279" s="4" t="s">
        <v>1011</v>
      </c>
      <c r="I279" s="4" t="s">
        <v>951</v>
      </c>
      <c r="N279" s="37"/>
      <c r="O279" s="37">
        <v>2</v>
      </c>
      <c r="P279" s="37">
        <v>1440</v>
      </c>
      <c r="Q279" t="b">
        <v>1</v>
      </c>
      <c r="R279" s="37">
        <v>300</v>
      </c>
      <c r="S279" s="49">
        <v>78027</v>
      </c>
      <c r="T279" s="49"/>
      <c r="U279" s="4" t="s">
        <v>1012</v>
      </c>
    </row>
    <row r="280" spans="1:21">
      <c r="A280" s="4">
        <v>100050028</v>
      </c>
      <c r="B280" s="4">
        <v>5</v>
      </c>
      <c r="C280" s="4" t="s">
        <v>940</v>
      </c>
      <c r="G280" s="4" t="s">
        <v>1013</v>
      </c>
      <c r="I280" s="4" t="s">
        <v>1014</v>
      </c>
      <c r="N280" s="37"/>
      <c r="O280" s="37">
        <v>2</v>
      </c>
      <c r="P280" s="37">
        <v>1440</v>
      </c>
      <c r="Q280" t="b">
        <v>1</v>
      </c>
      <c r="R280" s="37">
        <v>300</v>
      </c>
      <c r="S280" s="49">
        <v>78028</v>
      </c>
      <c r="T280" s="49"/>
      <c r="U280" s="4" t="s">
        <v>1015</v>
      </c>
    </row>
    <row r="281" spans="1:21">
      <c r="A281" s="4">
        <v>100050029</v>
      </c>
      <c r="B281" s="4">
        <v>5</v>
      </c>
      <c r="C281" s="4" t="s">
        <v>940</v>
      </c>
      <c r="G281" s="4" t="s">
        <v>1016</v>
      </c>
      <c r="I281" s="4" t="s">
        <v>1017</v>
      </c>
      <c r="N281" s="37"/>
      <c r="O281" s="37">
        <v>3</v>
      </c>
      <c r="P281" s="37">
        <v>2880</v>
      </c>
      <c r="Q281" t="b">
        <v>1</v>
      </c>
      <c r="R281" s="37">
        <v>300</v>
      </c>
      <c r="S281" s="49">
        <v>78029</v>
      </c>
      <c r="T281" s="49"/>
      <c r="U281" s="4" t="s">
        <v>1018</v>
      </c>
    </row>
    <row r="282" spans="1:21">
      <c r="A282" s="4">
        <v>100050030</v>
      </c>
      <c r="B282" s="4">
        <v>5</v>
      </c>
      <c r="C282" s="4" t="s">
        <v>940</v>
      </c>
      <c r="G282" s="4" t="s">
        <v>1019</v>
      </c>
      <c r="I282" s="4" t="s">
        <v>973</v>
      </c>
      <c r="N282" s="37"/>
      <c r="O282" s="37">
        <v>3</v>
      </c>
      <c r="P282" s="37">
        <v>2880</v>
      </c>
      <c r="Q282" t="b">
        <v>1</v>
      </c>
      <c r="R282" s="37">
        <v>300</v>
      </c>
      <c r="S282" s="49">
        <v>78030</v>
      </c>
      <c r="T282" s="49"/>
      <c r="U282" s="4" t="s">
        <v>1020</v>
      </c>
    </row>
    <row r="283" spans="1:21">
      <c r="A283" s="4">
        <v>100050031</v>
      </c>
      <c r="B283" s="4">
        <v>5</v>
      </c>
      <c r="C283" s="4" t="s">
        <v>940</v>
      </c>
      <c r="G283" s="4" t="s">
        <v>1021</v>
      </c>
      <c r="I283" s="4" t="s">
        <v>960</v>
      </c>
      <c r="N283" s="37"/>
      <c r="O283" s="37">
        <v>3</v>
      </c>
      <c r="P283" s="37">
        <v>2880</v>
      </c>
      <c r="Q283" t="b">
        <v>1</v>
      </c>
      <c r="R283" s="37">
        <v>300</v>
      </c>
      <c r="S283" s="49">
        <v>78031</v>
      </c>
      <c r="T283" s="49"/>
      <c r="U283" s="4" t="s">
        <v>1022</v>
      </c>
    </row>
    <row r="284" spans="1:21">
      <c r="A284" s="4">
        <v>100050032</v>
      </c>
      <c r="B284" s="4">
        <v>5</v>
      </c>
      <c r="C284" s="4" t="s">
        <v>940</v>
      </c>
      <c r="G284" s="4" t="s">
        <v>1023</v>
      </c>
      <c r="I284" s="4" t="s">
        <v>942</v>
      </c>
      <c r="N284" s="37"/>
      <c r="O284" s="37">
        <v>1</v>
      </c>
      <c r="P284" s="37">
        <v>120</v>
      </c>
      <c r="Q284" t="b">
        <v>1</v>
      </c>
      <c r="R284" s="37">
        <v>300</v>
      </c>
      <c r="S284" s="49">
        <v>78032</v>
      </c>
      <c r="T284" s="49"/>
      <c r="U284" s="4" t="s">
        <v>1024</v>
      </c>
    </row>
    <row r="285" spans="1:21">
      <c r="A285" s="4">
        <v>100050033</v>
      </c>
      <c r="B285" s="4">
        <v>5</v>
      </c>
      <c r="C285" s="4" t="s">
        <v>940</v>
      </c>
      <c r="G285" s="4" t="s">
        <v>1025</v>
      </c>
      <c r="I285" s="4" t="s">
        <v>963</v>
      </c>
      <c r="N285" s="37"/>
      <c r="O285" s="37">
        <v>1</v>
      </c>
      <c r="P285" s="37">
        <v>120</v>
      </c>
      <c r="Q285" t="b">
        <v>1</v>
      </c>
      <c r="R285" s="37">
        <v>300</v>
      </c>
      <c r="S285" s="49">
        <v>78033</v>
      </c>
      <c r="T285" s="49"/>
      <c r="U285" s="4" t="s">
        <v>1026</v>
      </c>
    </row>
    <row r="286" spans="1:21">
      <c r="A286" s="4">
        <v>100050034</v>
      </c>
      <c r="B286" s="4">
        <v>5</v>
      </c>
      <c r="C286" s="4" t="s">
        <v>940</v>
      </c>
      <c r="G286" s="4" t="s">
        <v>1027</v>
      </c>
      <c r="I286" s="4" t="s">
        <v>1007</v>
      </c>
      <c r="N286" s="37"/>
      <c r="O286" s="37">
        <v>1</v>
      </c>
      <c r="P286" s="37">
        <v>120</v>
      </c>
      <c r="Q286" t="b">
        <v>1</v>
      </c>
      <c r="R286" s="37">
        <v>300</v>
      </c>
      <c r="S286" s="49">
        <v>78034</v>
      </c>
      <c r="T286" s="49"/>
      <c r="U286" s="4" t="s">
        <v>1028</v>
      </c>
    </row>
    <row r="287" spans="1:21">
      <c r="A287" s="4">
        <v>100050035</v>
      </c>
      <c r="B287" s="4">
        <v>5</v>
      </c>
      <c r="C287" s="4" t="s">
        <v>940</v>
      </c>
      <c r="G287" s="4" t="s">
        <v>1029</v>
      </c>
      <c r="I287" s="4" t="s">
        <v>966</v>
      </c>
      <c r="N287" s="37"/>
      <c r="O287" s="37">
        <v>2</v>
      </c>
      <c r="P287" s="37">
        <v>1440</v>
      </c>
      <c r="Q287" t="b">
        <v>1</v>
      </c>
      <c r="R287" s="37">
        <v>300</v>
      </c>
      <c r="S287" s="49">
        <v>78035</v>
      </c>
      <c r="T287" s="49"/>
      <c r="U287" s="4" t="s">
        <v>1030</v>
      </c>
    </row>
    <row r="288" spans="1:21">
      <c r="A288" s="4">
        <v>100050036</v>
      </c>
      <c r="B288" s="4">
        <v>5</v>
      </c>
      <c r="C288" s="4" t="s">
        <v>940</v>
      </c>
      <c r="G288" s="4" t="s">
        <v>1031</v>
      </c>
      <c r="I288" s="4" t="s">
        <v>951</v>
      </c>
      <c r="N288" s="37"/>
      <c r="O288" s="37">
        <v>2</v>
      </c>
      <c r="P288" s="37">
        <v>1440</v>
      </c>
      <c r="Q288" t="b">
        <v>1</v>
      </c>
      <c r="R288" s="37">
        <v>300</v>
      </c>
      <c r="S288" s="49">
        <v>78036</v>
      </c>
      <c r="T288" s="49"/>
      <c r="U288" s="4" t="s">
        <v>1032</v>
      </c>
    </row>
    <row r="289" spans="1:21">
      <c r="A289" s="4">
        <v>100050037</v>
      </c>
      <c r="B289" s="4">
        <v>5</v>
      </c>
      <c r="C289" s="4" t="s">
        <v>940</v>
      </c>
      <c r="G289" s="4" t="s">
        <v>1033</v>
      </c>
      <c r="I289" s="4" t="s">
        <v>954</v>
      </c>
      <c r="N289" s="37"/>
      <c r="O289" s="37">
        <v>3</v>
      </c>
      <c r="P289" s="37">
        <v>2880</v>
      </c>
      <c r="Q289" t="b">
        <v>1</v>
      </c>
      <c r="R289" s="37">
        <v>300</v>
      </c>
      <c r="S289" s="49">
        <v>78037</v>
      </c>
      <c r="T289" s="49"/>
      <c r="U289" s="4" t="s">
        <v>1034</v>
      </c>
    </row>
    <row r="290" spans="1:21">
      <c r="A290" s="4">
        <v>100050038</v>
      </c>
      <c r="B290" s="4">
        <v>5</v>
      </c>
      <c r="C290" s="4" t="s">
        <v>940</v>
      </c>
      <c r="G290" s="4" t="s">
        <v>1035</v>
      </c>
      <c r="I290" s="4" t="s">
        <v>957</v>
      </c>
      <c r="N290" s="37"/>
      <c r="O290" s="37">
        <v>3</v>
      </c>
      <c r="P290" s="37">
        <v>2880</v>
      </c>
      <c r="Q290" t="b">
        <v>1</v>
      </c>
      <c r="R290" s="37">
        <v>300</v>
      </c>
      <c r="S290" s="49">
        <v>78038</v>
      </c>
      <c r="T290" s="49"/>
      <c r="U290" s="4" t="s">
        <v>1036</v>
      </c>
    </row>
    <row r="291" spans="1:21">
      <c r="A291" s="4">
        <v>100050039</v>
      </c>
      <c r="B291" s="4">
        <v>5</v>
      </c>
      <c r="C291" s="4" t="s">
        <v>940</v>
      </c>
      <c r="G291" s="4" t="s">
        <v>1037</v>
      </c>
      <c r="I291" s="4" t="s">
        <v>963</v>
      </c>
      <c r="N291" s="37"/>
      <c r="O291" s="37">
        <v>1</v>
      </c>
      <c r="P291" s="37">
        <v>120</v>
      </c>
      <c r="Q291" t="b">
        <v>1</v>
      </c>
      <c r="R291" s="37">
        <v>300</v>
      </c>
      <c r="S291" s="49">
        <v>78039</v>
      </c>
      <c r="T291" s="49"/>
      <c r="U291" s="4" t="s">
        <v>1038</v>
      </c>
    </row>
    <row r="292" spans="1:21">
      <c r="A292" s="4">
        <v>100050040</v>
      </c>
      <c r="B292" s="4">
        <v>5</v>
      </c>
      <c r="C292" s="4" t="s">
        <v>940</v>
      </c>
      <c r="G292" s="4" t="s">
        <v>1039</v>
      </c>
      <c r="I292" s="4" t="s">
        <v>1007</v>
      </c>
      <c r="N292" s="37"/>
      <c r="O292" s="37">
        <v>1</v>
      </c>
      <c r="P292" s="37">
        <v>120</v>
      </c>
      <c r="Q292" t="b">
        <v>1</v>
      </c>
      <c r="R292" s="37">
        <v>300</v>
      </c>
      <c r="S292" s="49">
        <v>78040</v>
      </c>
      <c r="T292" s="49"/>
      <c r="U292" s="4" t="s">
        <v>1040</v>
      </c>
    </row>
    <row r="293" spans="1:21">
      <c r="A293" s="4">
        <v>100050041</v>
      </c>
      <c r="B293" s="4">
        <v>5</v>
      </c>
      <c r="C293" s="4" t="s">
        <v>940</v>
      </c>
      <c r="G293" s="4" t="s">
        <v>1041</v>
      </c>
      <c r="I293" s="4" t="s">
        <v>966</v>
      </c>
      <c r="N293" s="37"/>
      <c r="O293" s="37">
        <v>2</v>
      </c>
      <c r="P293" s="37">
        <v>2880</v>
      </c>
      <c r="Q293" t="b">
        <v>1</v>
      </c>
      <c r="R293" s="37">
        <v>300</v>
      </c>
      <c r="S293" s="49">
        <v>78041</v>
      </c>
      <c r="T293" s="49"/>
      <c r="U293" s="4" t="s">
        <v>1042</v>
      </c>
    </row>
    <row r="294" spans="1:21">
      <c r="A294" s="4">
        <v>100050042</v>
      </c>
      <c r="B294" s="4">
        <v>5</v>
      </c>
      <c r="C294" s="4" t="s">
        <v>940</v>
      </c>
      <c r="G294" s="4" t="s">
        <v>1043</v>
      </c>
      <c r="I294" s="4" t="s">
        <v>1044</v>
      </c>
      <c r="N294" s="37"/>
      <c r="O294" s="37">
        <v>2</v>
      </c>
      <c r="P294" s="37">
        <v>2880</v>
      </c>
      <c r="Q294" t="b">
        <v>1</v>
      </c>
      <c r="R294" s="37">
        <v>300</v>
      </c>
      <c r="S294" s="49">
        <v>78042</v>
      </c>
      <c r="T294" s="49"/>
      <c r="U294" s="4" t="s">
        <v>1045</v>
      </c>
    </row>
    <row r="295" spans="1:21">
      <c r="A295" s="4">
        <v>100050043</v>
      </c>
      <c r="B295" s="4">
        <v>5</v>
      </c>
      <c r="C295" s="4" t="s">
        <v>940</v>
      </c>
      <c r="G295" s="4" t="s">
        <v>1046</v>
      </c>
      <c r="I295" s="4" t="s">
        <v>951</v>
      </c>
      <c r="N295" s="37"/>
      <c r="O295" s="37">
        <v>2</v>
      </c>
      <c r="P295" s="37">
        <v>2880</v>
      </c>
      <c r="Q295" t="b">
        <v>1</v>
      </c>
      <c r="R295" s="37">
        <v>300</v>
      </c>
      <c r="S295" s="49">
        <v>78043</v>
      </c>
      <c r="T295" s="49"/>
      <c r="U295" s="4" t="s">
        <v>1047</v>
      </c>
    </row>
    <row r="296" spans="1:21">
      <c r="A296" s="4">
        <v>100050044</v>
      </c>
      <c r="B296" s="4">
        <v>5</v>
      </c>
      <c r="C296" s="4" t="s">
        <v>940</v>
      </c>
      <c r="G296" s="4" t="s">
        <v>1048</v>
      </c>
      <c r="I296" s="4" t="s">
        <v>1049</v>
      </c>
      <c r="N296" s="37"/>
      <c r="O296" s="37">
        <v>3</v>
      </c>
      <c r="P296" s="37">
        <f>P287*3</f>
        <v>4320</v>
      </c>
      <c r="Q296" t="b">
        <v>1</v>
      </c>
      <c r="R296" s="37">
        <v>300</v>
      </c>
      <c r="S296" s="49">
        <v>78044</v>
      </c>
      <c r="T296" s="49"/>
      <c r="U296" s="4" t="s">
        <v>1050</v>
      </c>
    </row>
    <row r="297" spans="1:21">
      <c r="A297" s="4">
        <v>100050045</v>
      </c>
      <c r="B297" s="4">
        <v>5</v>
      </c>
      <c r="C297" s="4" t="s">
        <v>940</v>
      </c>
      <c r="G297" s="4" t="s">
        <v>1051</v>
      </c>
      <c r="I297" s="4" t="s">
        <v>1014</v>
      </c>
      <c r="N297" s="37"/>
      <c r="O297" s="37">
        <v>3</v>
      </c>
      <c r="P297" s="37">
        <f>P288*3</f>
        <v>4320</v>
      </c>
      <c r="Q297" t="b">
        <v>1</v>
      </c>
      <c r="R297" s="37">
        <v>300</v>
      </c>
      <c r="S297" s="49">
        <v>78045</v>
      </c>
      <c r="T297" s="49"/>
      <c r="U297" s="4" t="s">
        <v>1052</v>
      </c>
    </row>
    <row r="298" spans="1:21">
      <c r="A298" s="4">
        <v>100050046</v>
      </c>
      <c r="B298" s="4">
        <v>5</v>
      </c>
      <c r="C298" s="4" t="s">
        <v>940</v>
      </c>
      <c r="G298" s="4" t="s">
        <v>1053</v>
      </c>
      <c r="I298" s="4" t="s">
        <v>948</v>
      </c>
      <c r="N298" s="37"/>
      <c r="O298" s="37">
        <v>1</v>
      </c>
      <c r="P298" s="37">
        <v>120</v>
      </c>
      <c r="Q298" t="b">
        <v>1</v>
      </c>
      <c r="R298" s="37">
        <v>300</v>
      </c>
      <c r="S298" s="49">
        <v>78046</v>
      </c>
      <c r="T298" s="49"/>
      <c r="U298" s="4" t="s">
        <v>1054</v>
      </c>
    </row>
    <row r="299" spans="1:21">
      <c r="A299" s="4">
        <v>100050047</v>
      </c>
      <c r="B299" s="4">
        <v>5</v>
      </c>
      <c r="C299" s="4" t="s">
        <v>940</v>
      </c>
      <c r="G299" s="4" t="s">
        <v>1055</v>
      </c>
      <c r="I299" s="4" t="s">
        <v>951</v>
      </c>
      <c r="N299" s="37"/>
      <c r="O299" s="37">
        <v>1</v>
      </c>
      <c r="P299" s="37">
        <v>120</v>
      </c>
      <c r="Q299" t="b">
        <v>1</v>
      </c>
      <c r="R299" s="37">
        <v>300</v>
      </c>
      <c r="S299" s="49">
        <v>78047</v>
      </c>
      <c r="T299" s="49"/>
      <c r="U299" s="4" t="s">
        <v>1056</v>
      </c>
    </row>
    <row r="300" spans="1:21">
      <c r="A300" s="4">
        <v>100050048</v>
      </c>
      <c r="B300" s="4">
        <v>5</v>
      </c>
      <c r="C300" s="4" t="s">
        <v>940</v>
      </c>
      <c r="G300" s="4" t="s">
        <v>1057</v>
      </c>
      <c r="I300" s="4" t="s">
        <v>1014</v>
      </c>
      <c r="N300" s="37"/>
      <c r="O300" s="37">
        <v>2</v>
      </c>
      <c r="P300" s="37">
        <v>1440</v>
      </c>
      <c r="Q300" t="b">
        <v>1</v>
      </c>
      <c r="R300" s="37">
        <v>300</v>
      </c>
      <c r="S300" s="49">
        <v>78048</v>
      </c>
      <c r="T300" s="49"/>
      <c r="U300" s="4" t="s">
        <v>1058</v>
      </c>
    </row>
    <row r="301" spans="1:21">
      <c r="A301" s="4">
        <v>100050049</v>
      </c>
      <c r="B301" s="4">
        <v>5</v>
      </c>
      <c r="C301" s="4" t="s">
        <v>940</v>
      </c>
      <c r="G301" s="4" t="s">
        <v>1059</v>
      </c>
      <c r="I301" s="4" t="s">
        <v>954</v>
      </c>
      <c r="N301" s="37"/>
      <c r="O301" s="37">
        <v>2</v>
      </c>
      <c r="P301" s="37">
        <v>1440</v>
      </c>
      <c r="Q301" t="b">
        <v>1</v>
      </c>
      <c r="R301" s="37">
        <v>300</v>
      </c>
      <c r="S301" s="49">
        <v>78049</v>
      </c>
      <c r="T301" s="49"/>
      <c r="U301" s="4" t="s">
        <v>1060</v>
      </c>
    </row>
    <row r="302" spans="1:21">
      <c r="A302" s="4">
        <v>100050050</v>
      </c>
      <c r="B302" s="4">
        <v>5</v>
      </c>
      <c r="C302" s="4" t="s">
        <v>940</v>
      </c>
      <c r="G302" s="4" t="s">
        <v>1061</v>
      </c>
      <c r="I302" s="4" t="s">
        <v>1017</v>
      </c>
      <c r="N302" s="37"/>
      <c r="O302" s="37">
        <v>3</v>
      </c>
      <c r="P302" s="37">
        <v>2880</v>
      </c>
      <c r="Q302" t="b">
        <v>1</v>
      </c>
      <c r="R302" s="37">
        <v>300</v>
      </c>
      <c r="S302" s="49">
        <v>78050</v>
      </c>
      <c r="T302" s="49"/>
      <c r="U302" s="4" t="s">
        <v>1062</v>
      </c>
    </row>
    <row r="303" spans="1:21">
      <c r="A303" s="4">
        <v>100050051</v>
      </c>
      <c r="B303" s="4">
        <v>5</v>
      </c>
      <c r="C303" s="4" t="s">
        <v>940</v>
      </c>
      <c r="G303" s="4" t="s">
        <v>1063</v>
      </c>
      <c r="I303" s="4" t="s">
        <v>957</v>
      </c>
      <c r="N303" s="37"/>
      <c r="O303" s="37">
        <v>3</v>
      </c>
      <c r="P303" s="37">
        <v>2880</v>
      </c>
      <c r="Q303" t="b">
        <v>1</v>
      </c>
      <c r="R303" s="37">
        <v>300</v>
      </c>
      <c r="S303" s="49">
        <v>78051</v>
      </c>
      <c r="T303" s="49"/>
      <c r="U303" s="4" t="s">
        <v>1064</v>
      </c>
    </row>
    <row r="304" spans="1:21">
      <c r="A304" s="4">
        <v>100050052</v>
      </c>
      <c r="B304" s="4">
        <v>5</v>
      </c>
      <c r="C304" s="4" t="s">
        <v>940</v>
      </c>
      <c r="G304" s="4" t="s">
        <v>1065</v>
      </c>
      <c r="I304" s="4" t="s">
        <v>948</v>
      </c>
      <c r="N304" s="37"/>
      <c r="O304" s="37">
        <v>1</v>
      </c>
      <c r="P304" s="37">
        <v>120</v>
      </c>
      <c r="Q304" t="b">
        <v>1</v>
      </c>
      <c r="R304" s="37">
        <v>300</v>
      </c>
      <c r="S304" s="49">
        <v>78052</v>
      </c>
      <c r="T304" s="49"/>
      <c r="U304" s="4" t="s">
        <v>1066</v>
      </c>
    </row>
    <row r="305" spans="1:21">
      <c r="A305" s="4">
        <v>100050053</v>
      </c>
      <c r="B305" s="4">
        <v>5</v>
      </c>
      <c r="C305" s="4" t="s">
        <v>940</v>
      </c>
      <c r="G305" s="4" t="s">
        <v>1067</v>
      </c>
      <c r="I305" s="4" t="s">
        <v>951</v>
      </c>
      <c r="N305" s="37"/>
      <c r="O305" s="37">
        <v>1</v>
      </c>
      <c r="P305" s="37">
        <v>120</v>
      </c>
      <c r="Q305" t="b">
        <v>1</v>
      </c>
      <c r="R305" s="37">
        <v>300</v>
      </c>
      <c r="S305" s="49">
        <v>78053</v>
      </c>
      <c r="T305" s="49"/>
      <c r="U305" s="4" t="s">
        <v>1068</v>
      </c>
    </row>
    <row r="306" spans="1:21">
      <c r="A306" s="4">
        <v>100050054</v>
      </c>
      <c r="B306" s="4">
        <v>5</v>
      </c>
      <c r="C306" s="4" t="s">
        <v>940</v>
      </c>
      <c r="G306" s="4" t="s">
        <v>1069</v>
      </c>
      <c r="I306" s="4" t="s">
        <v>1014</v>
      </c>
      <c r="N306" s="37"/>
      <c r="O306" s="37">
        <v>2</v>
      </c>
      <c r="P306" s="37">
        <v>1440</v>
      </c>
      <c r="Q306" t="b">
        <v>1</v>
      </c>
      <c r="R306" s="37">
        <v>300</v>
      </c>
      <c r="S306" s="49">
        <v>78054</v>
      </c>
      <c r="T306" s="49"/>
      <c r="U306" s="4" t="s">
        <v>1070</v>
      </c>
    </row>
    <row r="307" spans="1:21">
      <c r="A307" s="4">
        <v>100050055</v>
      </c>
      <c r="B307" s="4">
        <v>5</v>
      </c>
      <c r="C307" s="4" t="s">
        <v>940</v>
      </c>
      <c r="G307" s="4" t="s">
        <v>1071</v>
      </c>
      <c r="I307" s="4" t="s">
        <v>954</v>
      </c>
      <c r="N307" s="37"/>
      <c r="O307" s="37">
        <v>2</v>
      </c>
      <c r="P307" s="37">
        <v>1440</v>
      </c>
      <c r="Q307" t="b">
        <v>1</v>
      </c>
      <c r="R307" s="37">
        <v>300</v>
      </c>
      <c r="S307" s="49">
        <v>78055</v>
      </c>
      <c r="T307" s="49"/>
      <c r="U307" s="4" t="s">
        <v>1072</v>
      </c>
    </row>
    <row r="308" spans="1:21">
      <c r="A308" s="4">
        <v>100050056</v>
      </c>
      <c r="B308" s="4">
        <v>5</v>
      </c>
      <c r="C308" s="4" t="s">
        <v>940</v>
      </c>
      <c r="G308" s="4" t="s">
        <v>1073</v>
      </c>
      <c r="I308" s="4" t="s">
        <v>1017</v>
      </c>
      <c r="N308" s="37"/>
      <c r="O308" s="37">
        <v>3</v>
      </c>
      <c r="P308" s="37">
        <v>2880</v>
      </c>
      <c r="Q308" t="b">
        <v>1</v>
      </c>
      <c r="R308" s="37">
        <v>300</v>
      </c>
      <c r="S308" s="49">
        <v>78056</v>
      </c>
      <c r="T308" s="49"/>
      <c r="U308" s="4" t="s">
        <v>1074</v>
      </c>
    </row>
    <row r="309" spans="1:21">
      <c r="A309" s="4">
        <v>100050057</v>
      </c>
      <c r="B309" s="4">
        <v>5</v>
      </c>
      <c r="C309" s="4" t="s">
        <v>940</v>
      </c>
      <c r="G309" s="4" t="s">
        <v>1075</v>
      </c>
      <c r="I309" s="4" t="s">
        <v>957</v>
      </c>
      <c r="N309" s="37"/>
      <c r="O309" s="37">
        <v>3</v>
      </c>
      <c r="P309" s="37">
        <v>2880</v>
      </c>
      <c r="Q309" t="b">
        <v>1</v>
      </c>
      <c r="R309" s="37">
        <v>300</v>
      </c>
      <c r="S309" s="49">
        <v>78057</v>
      </c>
      <c r="T309" s="49"/>
      <c r="U309" s="4" t="s">
        <v>1076</v>
      </c>
    </row>
    <row r="310" spans="1:21">
      <c r="A310" s="4">
        <v>100050058</v>
      </c>
      <c r="B310" s="4">
        <v>5</v>
      </c>
      <c r="C310" s="4" t="s">
        <v>940</v>
      </c>
      <c r="G310" s="4" t="s">
        <v>1077</v>
      </c>
      <c r="I310" s="4" t="s">
        <v>942</v>
      </c>
      <c r="N310" s="37"/>
      <c r="O310" s="37">
        <v>1</v>
      </c>
      <c r="P310" s="37">
        <v>120</v>
      </c>
      <c r="Q310" t="b">
        <v>1</v>
      </c>
      <c r="R310" s="37">
        <v>300</v>
      </c>
      <c r="S310" s="49">
        <v>78058</v>
      </c>
      <c r="T310" s="49"/>
      <c r="U310" s="4" t="s">
        <v>1078</v>
      </c>
    </row>
    <row r="311" spans="1:21">
      <c r="A311" s="4">
        <v>100050059</v>
      </c>
      <c r="B311" s="4">
        <v>5</v>
      </c>
      <c r="C311" s="4" t="s">
        <v>940</v>
      </c>
      <c r="G311" s="4" t="s">
        <v>1079</v>
      </c>
      <c r="I311" s="4" t="s">
        <v>963</v>
      </c>
      <c r="N311" s="37"/>
      <c r="O311" s="37">
        <v>1</v>
      </c>
      <c r="P311" s="37">
        <v>120</v>
      </c>
      <c r="Q311" t="b">
        <v>1</v>
      </c>
      <c r="R311" s="37">
        <v>300</v>
      </c>
      <c r="S311" s="49">
        <v>78059</v>
      </c>
      <c r="T311" s="49"/>
      <c r="U311" s="4" t="s">
        <v>1080</v>
      </c>
    </row>
    <row r="312" spans="1:21">
      <c r="A312" s="4">
        <v>100050060</v>
      </c>
      <c r="B312" s="4">
        <v>5</v>
      </c>
      <c r="C312" s="4" t="s">
        <v>940</v>
      </c>
      <c r="G312" s="4" t="s">
        <v>1081</v>
      </c>
      <c r="I312" s="4" t="s">
        <v>945</v>
      </c>
      <c r="N312" s="37"/>
      <c r="O312" s="37">
        <v>1</v>
      </c>
      <c r="P312" s="37">
        <v>120</v>
      </c>
      <c r="Q312" t="b">
        <v>1</v>
      </c>
      <c r="R312" s="37">
        <v>300</v>
      </c>
      <c r="S312" s="49">
        <v>78060</v>
      </c>
      <c r="T312" s="49"/>
      <c r="U312" s="4" t="s">
        <v>1082</v>
      </c>
    </row>
    <row r="313" spans="1:21">
      <c r="A313" s="4">
        <v>100050061</v>
      </c>
      <c r="B313" s="4">
        <v>5</v>
      </c>
      <c r="C313" s="4" t="s">
        <v>940</v>
      </c>
      <c r="G313" s="4" t="s">
        <v>1083</v>
      </c>
      <c r="I313" s="4" t="s">
        <v>948</v>
      </c>
      <c r="N313" s="37"/>
      <c r="O313" s="37">
        <v>1</v>
      </c>
      <c r="P313" s="37">
        <v>120</v>
      </c>
      <c r="Q313" t="b">
        <v>1</v>
      </c>
      <c r="R313" s="37">
        <v>300</v>
      </c>
      <c r="S313" s="49">
        <v>78061</v>
      </c>
      <c r="T313" s="49"/>
      <c r="U313" s="4" t="s">
        <v>1084</v>
      </c>
    </row>
    <row r="314" spans="1:21">
      <c r="A314" s="4">
        <v>100050062</v>
      </c>
      <c r="B314" s="4">
        <v>5</v>
      </c>
      <c r="C314" s="4" t="s">
        <v>940</v>
      </c>
      <c r="G314" s="4" t="s">
        <v>1085</v>
      </c>
      <c r="I314" s="4" t="s">
        <v>1044</v>
      </c>
      <c r="N314" s="37"/>
      <c r="O314" s="37">
        <v>2</v>
      </c>
      <c r="P314" s="37">
        <v>1440</v>
      </c>
      <c r="Q314" t="b">
        <v>1</v>
      </c>
      <c r="R314" s="37">
        <v>300</v>
      </c>
      <c r="S314" s="49">
        <v>78062</v>
      </c>
      <c r="T314" s="49"/>
      <c r="U314" s="4" t="s">
        <v>1086</v>
      </c>
    </row>
    <row r="315" spans="1:21">
      <c r="A315" s="4">
        <v>100050063</v>
      </c>
      <c r="B315" s="4">
        <v>5</v>
      </c>
      <c r="C315" s="4" t="s">
        <v>940</v>
      </c>
      <c r="G315" s="4" t="s">
        <v>1087</v>
      </c>
      <c r="I315" s="4" t="s">
        <v>951</v>
      </c>
      <c r="N315" s="37"/>
      <c r="O315" s="37">
        <v>2</v>
      </c>
      <c r="P315" s="37">
        <v>1440</v>
      </c>
      <c r="Q315" t="b">
        <v>1</v>
      </c>
      <c r="R315" s="37">
        <v>300</v>
      </c>
      <c r="S315" s="49">
        <v>78063</v>
      </c>
      <c r="T315" s="49"/>
      <c r="U315" s="4" t="s">
        <v>1088</v>
      </c>
    </row>
    <row r="316" spans="1:21">
      <c r="A316" s="4">
        <v>100050064</v>
      </c>
      <c r="B316" s="4">
        <v>5</v>
      </c>
      <c r="C316" s="4" t="s">
        <v>940</v>
      </c>
      <c r="G316" s="4" t="s">
        <v>1089</v>
      </c>
      <c r="I316" s="4" t="s">
        <v>1014</v>
      </c>
      <c r="N316" s="37"/>
      <c r="O316" s="37">
        <v>2</v>
      </c>
      <c r="P316" s="37">
        <v>1440</v>
      </c>
      <c r="Q316" t="b">
        <v>1</v>
      </c>
      <c r="R316" s="37">
        <v>300</v>
      </c>
      <c r="S316" s="49">
        <v>78064</v>
      </c>
      <c r="T316" s="49"/>
      <c r="U316" s="4" t="s">
        <v>1090</v>
      </c>
    </row>
    <row r="317" spans="1:21">
      <c r="A317" s="4">
        <v>100050065</v>
      </c>
      <c r="B317" s="4">
        <v>5</v>
      </c>
      <c r="C317" s="4" t="s">
        <v>940</v>
      </c>
      <c r="G317" s="4" t="s">
        <v>1091</v>
      </c>
      <c r="I317" s="4" t="s">
        <v>954</v>
      </c>
      <c r="N317" s="37"/>
      <c r="O317" s="37">
        <v>2</v>
      </c>
      <c r="P317" s="37">
        <v>1440</v>
      </c>
      <c r="Q317" t="b">
        <v>1</v>
      </c>
      <c r="R317" s="37">
        <v>300</v>
      </c>
      <c r="S317" s="49">
        <v>78065</v>
      </c>
      <c r="T317" s="49"/>
      <c r="U317" s="4" t="s">
        <v>1092</v>
      </c>
    </row>
    <row r="318" spans="1:21">
      <c r="A318" s="4">
        <v>100050066</v>
      </c>
      <c r="B318" s="4">
        <v>5</v>
      </c>
      <c r="C318" s="4" t="s">
        <v>940</v>
      </c>
      <c r="G318" s="4" t="s">
        <v>1093</v>
      </c>
      <c r="I318" s="4" t="s">
        <v>1017</v>
      </c>
      <c r="N318" s="37"/>
      <c r="O318" s="37">
        <v>3</v>
      </c>
      <c r="P318" s="37">
        <v>2880</v>
      </c>
      <c r="Q318" t="b">
        <v>1</v>
      </c>
      <c r="R318" s="37">
        <v>300</v>
      </c>
      <c r="S318" s="49">
        <v>78066</v>
      </c>
      <c r="T318" s="49"/>
      <c r="U318" s="4" t="s">
        <v>1094</v>
      </c>
    </row>
    <row r="319" spans="1:21">
      <c r="A319" s="4">
        <v>100050067</v>
      </c>
      <c r="B319" s="4">
        <v>5</v>
      </c>
      <c r="C319" s="4" t="s">
        <v>940</v>
      </c>
      <c r="G319" s="4" t="s">
        <v>1095</v>
      </c>
      <c r="I319" s="4" t="s">
        <v>957</v>
      </c>
      <c r="N319" s="37"/>
      <c r="O319" s="37">
        <v>3</v>
      </c>
      <c r="P319" s="37">
        <v>2880</v>
      </c>
      <c r="Q319" t="b">
        <v>1</v>
      </c>
      <c r="R319" s="37">
        <v>300</v>
      </c>
      <c r="S319" s="49">
        <v>78067</v>
      </c>
      <c r="T319" s="49"/>
      <c r="U319" s="4" t="s">
        <v>1096</v>
      </c>
    </row>
    <row r="320" spans="1:21">
      <c r="A320" s="4">
        <v>100050068</v>
      </c>
      <c r="B320" s="4">
        <v>5</v>
      </c>
      <c r="C320" s="4" t="s">
        <v>940</v>
      </c>
      <c r="G320" s="4" t="s">
        <v>1097</v>
      </c>
      <c r="I320" s="4" t="s">
        <v>973</v>
      </c>
      <c r="N320" s="37"/>
      <c r="O320" s="37">
        <v>3</v>
      </c>
      <c r="P320" s="37">
        <v>2880</v>
      </c>
      <c r="Q320" t="b">
        <v>1</v>
      </c>
      <c r="R320" s="37">
        <v>300</v>
      </c>
      <c r="S320" s="49">
        <v>78068</v>
      </c>
      <c r="T320" s="49"/>
      <c r="U320" s="4" t="s">
        <v>1098</v>
      </c>
    </row>
    <row r="321" spans="1:21">
      <c r="A321" s="4">
        <v>100050069</v>
      </c>
      <c r="B321" s="4">
        <v>5</v>
      </c>
      <c r="C321" s="4" t="s">
        <v>940</v>
      </c>
      <c r="G321" s="4" t="s">
        <v>1099</v>
      </c>
      <c r="I321" s="4" t="s">
        <v>960</v>
      </c>
      <c r="N321" s="37"/>
      <c r="O321" s="37">
        <v>3</v>
      </c>
      <c r="P321" s="37">
        <v>2880</v>
      </c>
      <c r="Q321" t="b">
        <v>1</v>
      </c>
      <c r="R321" s="37">
        <v>300</v>
      </c>
      <c r="S321" s="49">
        <v>78069</v>
      </c>
      <c r="T321" s="49"/>
      <c r="U321" s="4" t="s">
        <v>1100</v>
      </c>
    </row>
    <row r="322" spans="1:21">
      <c r="A322" s="4">
        <v>100050070</v>
      </c>
      <c r="B322" s="4">
        <v>5</v>
      </c>
      <c r="C322" s="4" t="s">
        <v>940</v>
      </c>
      <c r="G322" s="4" t="s">
        <v>1101</v>
      </c>
      <c r="I322" s="4" t="s">
        <v>948</v>
      </c>
      <c r="N322" s="37"/>
      <c r="O322" s="37">
        <v>1</v>
      </c>
      <c r="P322" s="37">
        <v>120</v>
      </c>
      <c r="Q322" t="b">
        <v>1</v>
      </c>
      <c r="R322" s="37">
        <v>300</v>
      </c>
      <c r="S322" s="49">
        <v>78070</v>
      </c>
      <c r="T322" s="49"/>
      <c r="U322" s="4" t="s">
        <v>1102</v>
      </c>
    </row>
    <row r="323" spans="1:21">
      <c r="A323" s="4">
        <v>100050071</v>
      </c>
      <c r="B323" s="4">
        <v>5</v>
      </c>
      <c r="C323" s="4" t="s">
        <v>940</v>
      </c>
      <c r="G323" s="4" t="s">
        <v>1103</v>
      </c>
      <c r="I323" s="4" t="s">
        <v>951</v>
      </c>
      <c r="N323" s="37"/>
      <c r="O323" s="37">
        <v>1</v>
      </c>
      <c r="P323" s="37">
        <v>120</v>
      </c>
      <c r="Q323" t="b">
        <v>1</v>
      </c>
      <c r="R323" s="37">
        <v>300</v>
      </c>
      <c r="S323" s="49">
        <v>78071</v>
      </c>
      <c r="T323" s="49"/>
      <c r="U323" s="4" t="s">
        <v>1104</v>
      </c>
    </row>
    <row r="324" spans="1:21">
      <c r="A324" s="4">
        <v>100050072</v>
      </c>
      <c r="B324" s="4">
        <v>5</v>
      </c>
      <c r="C324" s="4" t="s">
        <v>940</v>
      </c>
      <c r="G324" s="4" t="s">
        <v>1105</v>
      </c>
      <c r="I324" s="4" t="s">
        <v>954</v>
      </c>
      <c r="N324" s="37"/>
      <c r="O324" s="37">
        <v>2</v>
      </c>
      <c r="P324" s="37">
        <v>1440</v>
      </c>
      <c r="Q324" t="b">
        <v>1</v>
      </c>
      <c r="R324" s="37">
        <v>300</v>
      </c>
      <c r="S324" s="49">
        <v>78072</v>
      </c>
      <c r="T324" s="49"/>
      <c r="U324" s="4" t="s">
        <v>1106</v>
      </c>
    </row>
    <row r="325" spans="1:21">
      <c r="A325" s="4">
        <v>100050073</v>
      </c>
      <c r="B325" s="4">
        <v>5</v>
      </c>
      <c r="C325" s="4" t="s">
        <v>940</v>
      </c>
      <c r="G325" s="4" t="s">
        <v>1107</v>
      </c>
      <c r="I325" s="4" t="s">
        <v>957</v>
      </c>
      <c r="N325" s="37"/>
      <c r="O325" s="37">
        <v>2</v>
      </c>
      <c r="P325" s="37">
        <v>1440</v>
      </c>
      <c r="Q325" t="b">
        <v>1</v>
      </c>
      <c r="R325" s="37">
        <v>300</v>
      </c>
      <c r="S325" s="49">
        <v>78073</v>
      </c>
      <c r="T325" s="49"/>
      <c r="U325" s="4" t="s">
        <v>1108</v>
      </c>
    </row>
    <row r="326" spans="1:21">
      <c r="A326" s="4">
        <v>100050074</v>
      </c>
      <c r="B326" s="4">
        <v>5</v>
      </c>
      <c r="C326" s="4" t="s">
        <v>940</v>
      </c>
      <c r="G326" s="4" t="s">
        <v>1109</v>
      </c>
      <c r="I326" s="4" t="s">
        <v>960</v>
      </c>
      <c r="N326" s="37"/>
      <c r="O326" s="37">
        <v>3</v>
      </c>
      <c r="P326" s="37">
        <v>2880</v>
      </c>
      <c r="Q326" t="b">
        <v>1</v>
      </c>
      <c r="R326" s="37">
        <v>300</v>
      </c>
      <c r="S326" s="49">
        <v>78074</v>
      </c>
      <c r="T326" s="49"/>
      <c r="U326" s="4" t="s">
        <v>1110</v>
      </c>
    </row>
    <row r="327" spans="1:21">
      <c r="A327" s="4">
        <v>100050075</v>
      </c>
      <c r="B327" s="4">
        <v>5</v>
      </c>
      <c r="C327" s="4" t="s">
        <v>940</v>
      </c>
      <c r="G327" s="4" t="s">
        <v>1111</v>
      </c>
      <c r="I327" s="4" t="s">
        <v>979</v>
      </c>
      <c r="N327" s="37"/>
      <c r="O327" s="37">
        <v>3</v>
      </c>
      <c r="P327" s="37">
        <v>2880</v>
      </c>
      <c r="Q327" t="b">
        <v>1</v>
      </c>
      <c r="R327" s="37">
        <v>300</v>
      </c>
      <c r="S327" s="49">
        <v>78075</v>
      </c>
      <c r="T327" s="49"/>
      <c r="U327" s="4" t="s">
        <v>1112</v>
      </c>
    </row>
    <row r="328" spans="1:21">
      <c r="N328" s="37"/>
      <c r="O328" s="37"/>
      <c r="P328" s="37"/>
      <c r="Q328" s="37"/>
      <c r="R328" s="37"/>
    </row>
  </sheetData>
  <conditionalFormatting sqref="A127:A252">
    <cfRule type="duplicateValues" dxfId="0" priority="4"/>
  </conditionalFormatting>
  <conditionalFormatting sqref="F111:F120">
    <cfRule type="duplicateValues" dxfId="0" priority="7"/>
  </conditionalFormatting>
  <conditionalFormatting sqref="F121:F126">
    <cfRule type="duplicateValues" dxfId="0" priority="5"/>
  </conditionalFormatting>
  <conditionalFormatting sqref="F127:F252">
    <cfRule type="duplicateValues" dxfId="0" priority="2"/>
  </conditionalFormatting>
  <conditionalFormatting sqref="S127:S252">
    <cfRule type="duplicateValues" dxfId="0" priority="3"/>
  </conditionalFormatting>
  <conditionalFormatting sqref="A1:A126 A253:A1048576">
    <cfRule type="duplicateValues" dxfId="0" priority="9"/>
  </conditionalFormatting>
  <conditionalFormatting sqref="S1:S126 S253:S1048576">
    <cfRule type="duplicateValues" dxfId="0" priority="8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129"/>
  <sheetViews>
    <sheetView zoomScale="85" zoomScaleNormal="85" topLeftCell="A66" workbookViewId="0">
      <selection activeCell="I60" sqref="I60"/>
    </sheetView>
  </sheetViews>
  <sheetFormatPr defaultColWidth="9" defaultRowHeight="16.5"/>
  <cols>
    <col min="1" max="1" width="11.625" style="18" customWidth="1"/>
    <col min="2" max="2" width="8.875" style="18" customWidth="1"/>
    <col min="3" max="3" width="28.0333333333333" style="18" customWidth="1"/>
    <col min="4" max="4" width="14" style="18" customWidth="1"/>
    <col min="5" max="5" width="10.2916666666667" style="18" customWidth="1"/>
    <col min="6" max="6" width="8.125" style="18" customWidth="1"/>
    <col min="7" max="7" width="8.875" style="18" customWidth="1"/>
    <col min="8" max="8" width="15.875" style="18" customWidth="1"/>
    <col min="9" max="9" width="11.7583333333333" style="18" customWidth="1"/>
    <col min="10" max="10" width="7" style="18" customWidth="1"/>
    <col min="11" max="11" width="17.9333333333333" style="18" customWidth="1"/>
    <col min="12" max="12" width="11.6" style="18" customWidth="1"/>
    <col min="13" max="13" width="2.375" style="18" customWidth="1"/>
    <col min="14" max="17" width="9.10833333333333" style="18" customWidth="1"/>
    <col min="18" max="16384" width="9" style="18"/>
  </cols>
  <sheetData>
    <row r="5" spans="2:16">
      <c r="F5" s="18" t="s">
        <v>1113</v>
      </c>
      <c r="J5" s="19">
        <v>502</v>
      </c>
      <c r="K5" s="19" t="s">
        <v>1114</v>
      </c>
      <c r="N5" s="20" t="s">
        <v>1115</v>
      </c>
    </row>
    <row r="6" spans="2:16">
      <c r="B6" s="21" t="s">
        <v>1</v>
      </c>
      <c r="C6" s="21" t="s">
        <v>17</v>
      </c>
      <c r="D6" s="21" t="s">
        <v>1116</v>
      </c>
      <c r="F6" s="22" t="s">
        <v>1117</v>
      </c>
      <c r="G6" s="22"/>
      <c r="H6" s="22" t="s">
        <v>1118</v>
      </c>
      <c r="J6" s="23" t="s">
        <v>1119</v>
      </c>
      <c r="K6" s="23" t="s">
        <v>1120</v>
      </c>
      <c r="L6" s="23" t="s">
        <v>1116</v>
      </c>
      <c r="N6" s="24" t="s">
        <v>1121</v>
      </c>
      <c r="O6" s="24" t="s">
        <v>1122</v>
      </c>
      <c r="P6" s="24" t="s">
        <v>1116</v>
      </c>
    </row>
    <row r="7" spans="2:16">
      <c r="B7" s="18">
        <v>101</v>
      </c>
      <c r="C7" s="18" t="s">
        <v>1123</v>
      </c>
      <c r="D7" s="18" t="s">
        <v>1124</v>
      </c>
      <c r="F7" s="18">
        <v>100100</v>
      </c>
      <c r="G7" s="18" t="s">
        <v>1125</v>
      </c>
      <c r="H7" s="18" t="s">
        <v>1126</v>
      </c>
      <c r="J7" s="18">
        <v>2</v>
      </c>
      <c r="K7" s="18" t="s">
        <v>1127</v>
      </c>
      <c r="L7" s="18" t="s">
        <v>1128</v>
      </c>
      <c r="N7" s="18">
        <v>1022501</v>
      </c>
      <c r="O7" s="18" t="s">
        <v>1129</v>
      </c>
      <c r="P7" s="18" t="s">
        <v>1130</v>
      </c>
    </row>
    <row r="8" spans="2:16">
      <c r="B8" s="18">
        <v>102</v>
      </c>
      <c r="C8" s="18" t="s">
        <v>1131</v>
      </c>
      <c r="D8" s="18" t="s">
        <v>1124</v>
      </c>
      <c r="F8" s="18">
        <v>100300</v>
      </c>
      <c r="G8" s="18" t="s">
        <v>1125</v>
      </c>
      <c r="H8" s="18" t="s">
        <v>1132</v>
      </c>
      <c r="J8" s="18">
        <v>3</v>
      </c>
      <c r="K8" s="18" t="s">
        <v>1133</v>
      </c>
      <c r="L8" s="18" t="s">
        <v>1134</v>
      </c>
      <c r="N8" s="18">
        <v>1022502</v>
      </c>
      <c r="O8" s="18" t="s">
        <v>1135</v>
      </c>
      <c r="P8" s="18" t="s">
        <v>1130</v>
      </c>
    </row>
    <row r="9" spans="2:16">
      <c r="B9" s="18">
        <v>201</v>
      </c>
      <c r="C9" s="18" t="s">
        <v>1136</v>
      </c>
      <c r="D9" s="18" t="s">
        <v>1137</v>
      </c>
      <c r="F9" s="18">
        <v>100700</v>
      </c>
      <c r="G9" s="18" t="s">
        <v>1125</v>
      </c>
      <c r="H9" s="18" t="s">
        <v>1138</v>
      </c>
      <c r="J9" s="18">
        <v>4</v>
      </c>
      <c r="K9" s="18" t="s">
        <v>1139</v>
      </c>
      <c r="L9" s="18" t="s">
        <v>1140</v>
      </c>
      <c r="N9" s="18">
        <v>1010301</v>
      </c>
      <c r="O9" s="18" t="s">
        <v>1141</v>
      </c>
      <c r="P9" s="18" t="s">
        <v>1130</v>
      </c>
    </row>
    <row r="10" spans="2:16">
      <c r="B10" s="18">
        <v>202</v>
      </c>
      <c r="C10" s="18" t="s">
        <v>1142</v>
      </c>
      <c r="D10" s="18" t="s">
        <v>1143</v>
      </c>
      <c r="F10" s="18">
        <v>101200</v>
      </c>
      <c r="G10" s="18" t="s">
        <v>1125</v>
      </c>
      <c r="H10" s="18" t="s">
        <v>1144</v>
      </c>
      <c r="J10" s="18">
        <v>5</v>
      </c>
      <c r="K10" s="18" t="s">
        <v>1135</v>
      </c>
      <c r="L10" s="18" t="s">
        <v>1145</v>
      </c>
      <c r="N10" s="18">
        <v>1010302</v>
      </c>
      <c r="O10" s="18" t="s">
        <v>1146</v>
      </c>
      <c r="P10" s="18" t="s">
        <v>1130</v>
      </c>
    </row>
    <row r="11" spans="2:16">
      <c r="B11" s="18">
        <v>203</v>
      </c>
      <c r="C11" s="18" t="s">
        <v>1147</v>
      </c>
      <c r="D11" s="18" t="s">
        <v>1137</v>
      </c>
      <c r="F11" s="18">
        <v>101400</v>
      </c>
      <c r="G11" s="18" t="s">
        <v>1125</v>
      </c>
      <c r="H11" s="18" t="s">
        <v>1148</v>
      </c>
      <c r="J11" s="18">
        <v>6</v>
      </c>
      <c r="K11" s="18" t="s">
        <v>1149</v>
      </c>
      <c r="L11" s="18" t="s">
        <v>1150</v>
      </c>
      <c r="N11" s="18">
        <v>1010303</v>
      </c>
      <c r="O11" s="18" t="s">
        <v>1151</v>
      </c>
      <c r="P11" s="18" t="s">
        <v>1130</v>
      </c>
    </row>
    <row r="12" spans="2:16">
      <c r="B12" s="18">
        <v>204</v>
      </c>
      <c r="C12" s="18" t="s">
        <v>1152</v>
      </c>
      <c r="D12" s="18" t="s">
        <v>1143</v>
      </c>
      <c r="F12" s="18">
        <v>200100</v>
      </c>
      <c r="G12" s="18" t="s">
        <v>1125</v>
      </c>
      <c r="H12" s="18" t="s">
        <v>1153</v>
      </c>
      <c r="J12" s="25">
        <v>12</v>
      </c>
      <c r="K12" s="25" t="s">
        <v>1154</v>
      </c>
      <c r="L12" s="25" t="s">
        <v>1155</v>
      </c>
      <c r="N12" s="18">
        <v>1010311</v>
      </c>
      <c r="O12" s="18" t="s">
        <v>1156</v>
      </c>
      <c r="P12" s="18" t="s">
        <v>1130</v>
      </c>
    </row>
    <row r="13" spans="2:16">
      <c r="B13" s="18">
        <v>301</v>
      </c>
      <c r="C13" s="18" t="s">
        <v>1157</v>
      </c>
      <c r="D13" s="18" t="s">
        <v>1158</v>
      </c>
      <c r="F13" s="18">
        <v>200101</v>
      </c>
      <c r="G13" s="18" t="s">
        <v>1125</v>
      </c>
      <c r="H13" s="18" t="s">
        <v>1159</v>
      </c>
      <c r="J13" s="26"/>
      <c r="K13" s="26"/>
      <c r="L13" s="26"/>
      <c r="N13" s="18">
        <v>1010312</v>
      </c>
      <c r="O13" s="18" t="s">
        <v>1160</v>
      </c>
      <c r="P13" s="18" t="s">
        <v>1130</v>
      </c>
    </row>
    <row r="14" spans="2:16">
      <c r="B14" s="18">
        <v>302</v>
      </c>
      <c r="C14" s="18" t="s">
        <v>1161</v>
      </c>
      <c r="D14" s="18" t="s">
        <v>1162</v>
      </c>
      <c r="F14" s="18">
        <v>200300</v>
      </c>
      <c r="G14" s="18" t="s">
        <v>1125</v>
      </c>
      <c r="H14" s="18" t="s">
        <v>1163</v>
      </c>
      <c r="J14" s="26"/>
      <c r="K14" s="26"/>
      <c r="L14" s="26"/>
      <c r="N14" s="18">
        <v>1010313</v>
      </c>
      <c r="O14" s="18" t="s">
        <v>1164</v>
      </c>
      <c r="P14" s="18" t="s">
        <v>1130</v>
      </c>
    </row>
    <row r="15" spans="2:16">
      <c r="B15" s="18">
        <v>303</v>
      </c>
      <c r="C15" s="18" t="s">
        <v>1165</v>
      </c>
      <c r="D15" s="18" t="s">
        <v>1158</v>
      </c>
      <c r="F15" s="18">
        <v>200400</v>
      </c>
      <c r="G15" s="18" t="s">
        <v>1125</v>
      </c>
      <c r="H15" s="18" t="s">
        <v>1166</v>
      </c>
      <c r="N15" s="18">
        <v>1010314</v>
      </c>
      <c r="O15" s="18" t="s">
        <v>1167</v>
      </c>
      <c r="P15" s="18" t="s">
        <v>1130</v>
      </c>
    </row>
    <row r="16" spans="2:16">
      <c r="B16" s="18">
        <v>304</v>
      </c>
      <c r="C16" s="18" t="s">
        <v>1168</v>
      </c>
      <c r="D16" s="18" t="s">
        <v>1162</v>
      </c>
      <c r="F16" s="18">
        <v>200500</v>
      </c>
      <c r="G16" s="18" t="s">
        <v>1125</v>
      </c>
      <c r="H16" s="18" t="s">
        <v>1169</v>
      </c>
      <c r="N16" s="18">
        <v>1010315</v>
      </c>
      <c r="O16" s="18" t="s">
        <v>1170</v>
      </c>
      <c r="P16" s="18" t="s">
        <v>1130</v>
      </c>
    </row>
    <row r="17" spans="2:16">
      <c r="B17" s="20">
        <v>401</v>
      </c>
      <c r="C17" s="20" t="s">
        <v>1171</v>
      </c>
      <c r="D17" s="20" t="s">
        <v>1137</v>
      </c>
      <c r="F17" s="18">
        <v>200600</v>
      </c>
      <c r="G17" s="18" t="s">
        <v>1125</v>
      </c>
      <c r="H17" s="18" t="s">
        <v>1172</v>
      </c>
    </row>
    <row r="18" spans="2:16">
      <c r="B18" s="20">
        <v>402</v>
      </c>
      <c r="C18" s="20" t="s">
        <v>1173</v>
      </c>
      <c r="D18" s="20" t="s">
        <v>1143</v>
      </c>
      <c r="F18" s="18">
        <v>200700</v>
      </c>
      <c r="G18" s="18" t="s">
        <v>1125</v>
      </c>
      <c r="H18" s="18" t="s">
        <v>1174</v>
      </c>
    </row>
    <row r="19" spans="2:16">
      <c r="B19" s="27">
        <v>501</v>
      </c>
      <c r="C19" s="27" t="s">
        <v>1175</v>
      </c>
      <c r="D19" s="27" t="s">
        <v>1176</v>
      </c>
      <c r="F19" s="18">
        <v>200800</v>
      </c>
      <c r="G19" s="18" t="s">
        <v>1125</v>
      </c>
      <c r="H19" s="18" t="s">
        <v>1177</v>
      </c>
      <c r="N19" s="27" t="s">
        <v>1178</v>
      </c>
    </row>
    <row r="20" spans="2:16">
      <c r="B20" s="19">
        <v>502</v>
      </c>
      <c r="C20" s="19" t="s">
        <v>1179</v>
      </c>
      <c r="D20" s="19" t="s">
        <v>1180</v>
      </c>
      <c r="F20" s="18">
        <v>200900</v>
      </c>
      <c r="G20" s="18" t="s">
        <v>1125</v>
      </c>
      <c r="H20" s="18" t="s">
        <v>1181</v>
      </c>
      <c r="N20" s="24" t="s">
        <v>1121</v>
      </c>
      <c r="O20" s="24" t="s">
        <v>1122</v>
      </c>
      <c r="P20" s="24" t="s">
        <v>1116</v>
      </c>
    </row>
    <row r="21" spans="2:16">
      <c r="B21" s="18">
        <v>601</v>
      </c>
      <c r="C21" s="18" t="s">
        <v>1182</v>
      </c>
      <c r="D21" s="18" t="s">
        <v>1183</v>
      </c>
      <c r="F21" s="18">
        <v>201000</v>
      </c>
      <c r="G21" s="18" t="s">
        <v>1125</v>
      </c>
      <c r="H21" s="18" t="s">
        <v>1184</v>
      </c>
      <c r="N21" s="18">
        <v>1022501</v>
      </c>
      <c r="O21" s="18" t="s">
        <v>1129</v>
      </c>
      <c r="P21" s="18" t="s">
        <v>1185</v>
      </c>
    </row>
    <row r="22" spans="2:16">
      <c r="B22" s="18">
        <v>602</v>
      </c>
      <c r="C22" s="18" t="s">
        <v>1186</v>
      </c>
      <c r="D22" s="18" t="s">
        <v>1187</v>
      </c>
      <c r="F22" s="18">
        <v>300100</v>
      </c>
      <c r="G22" s="18" t="s">
        <v>1125</v>
      </c>
      <c r="H22" s="18" t="s">
        <v>1188</v>
      </c>
      <c r="N22" s="18">
        <v>1022502</v>
      </c>
      <c r="O22" s="18" t="s">
        <v>1135</v>
      </c>
      <c r="P22" s="18" t="s">
        <v>1189</v>
      </c>
    </row>
    <row r="23" spans="2:16">
      <c r="F23" s="18">
        <v>300200</v>
      </c>
      <c r="G23" s="18" t="s">
        <v>1125</v>
      </c>
      <c r="H23" s="18" t="s">
        <v>1190</v>
      </c>
      <c r="N23" s="18">
        <v>1980000</v>
      </c>
      <c r="O23" s="18" t="s">
        <v>1191</v>
      </c>
      <c r="P23" s="18" t="s">
        <v>1192</v>
      </c>
    </row>
    <row r="24" spans="2:16">
      <c r="F24" s="18">
        <v>200100</v>
      </c>
      <c r="G24" s="18" t="s">
        <v>1193</v>
      </c>
      <c r="H24" s="18" t="s">
        <v>1194</v>
      </c>
    </row>
    <row r="25" spans="2:16">
      <c r="F25" s="18">
        <v>200101</v>
      </c>
      <c r="G25" s="18" t="s">
        <v>1193</v>
      </c>
      <c r="H25" s="18" t="s">
        <v>1195</v>
      </c>
    </row>
    <row r="26" spans="2:16">
      <c r="F26" s="18">
        <v>200300</v>
      </c>
      <c r="G26" s="18" t="s">
        <v>1193</v>
      </c>
      <c r="H26" s="18" t="s">
        <v>1196</v>
      </c>
    </row>
    <row r="27" spans="2:16">
      <c r="F27" s="18">
        <v>200400</v>
      </c>
      <c r="G27" s="18" t="s">
        <v>1193</v>
      </c>
      <c r="H27" s="18" t="s">
        <v>1197</v>
      </c>
    </row>
    <row r="28" spans="2:16">
      <c r="F28" s="18">
        <v>200500</v>
      </c>
      <c r="G28" s="18" t="s">
        <v>1193</v>
      </c>
      <c r="H28" s="18" t="s">
        <v>1198</v>
      </c>
    </row>
    <row r="29" spans="2:16">
      <c r="F29" s="18">
        <v>200600</v>
      </c>
      <c r="G29" s="18" t="s">
        <v>1193</v>
      </c>
      <c r="H29" s="18" t="s">
        <v>1199</v>
      </c>
    </row>
    <row r="30" spans="2:16">
      <c r="F30" s="18">
        <v>200700</v>
      </c>
      <c r="G30" s="18" t="s">
        <v>1193</v>
      </c>
      <c r="H30" s="18" t="s">
        <v>1200</v>
      </c>
    </row>
    <row r="31" spans="2:16">
      <c r="F31" s="18">
        <v>200800</v>
      </c>
      <c r="G31" s="18" t="s">
        <v>1193</v>
      </c>
      <c r="H31" s="18" t="s">
        <v>1201</v>
      </c>
    </row>
    <row r="32" spans="2:16">
      <c r="F32" s="18">
        <v>200900</v>
      </c>
      <c r="G32" s="18" t="s">
        <v>1193</v>
      </c>
      <c r="H32" s="18" t="s">
        <v>1202</v>
      </c>
    </row>
    <row r="33" spans="1:22">
      <c r="F33" s="18">
        <v>300200</v>
      </c>
      <c r="G33" s="18" t="s">
        <v>1193</v>
      </c>
      <c r="H33" s="18" t="s">
        <v>1203</v>
      </c>
    </row>
    <row r="38" s="3" customFormat="1" spans="1:22">
      <c r="A38" s="28" t="s">
        <v>0</v>
      </c>
      <c r="B38" s="28" t="s">
        <v>1</v>
      </c>
      <c r="C38" s="28" t="s">
        <v>3</v>
      </c>
      <c r="D38" s="28"/>
      <c r="E38" s="28" t="s">
        <v>5</v>
      </c>
      <c r="F38" s="29" t="s">
        <v>7</v>
      </c>
      <c r="G38" s="29" t="s">
        <v>8</v>
      </c>
      <c r="H38" s="30" t="s">
        <v>9</v>
      </c>
      <c r="I38" s="7" t="s">
        <v>10</v>
      </c>
      <c r="J38" s="7" t="s">
        <v>11</v>
      </c>
      <c r="K38" s="31" t="s">
        <v>12</v>
      </c>
      <c r="L38" s="31" t="s">
        <v>17</v>
      </c>
      <c r="M38" s="3" t="s">
        <v>19</v>
      </c>
      <c r="R38" s="3" t="s">
        <v>1204</v>
      </c>
      <c r="S38" s="3" t="s">
        <v>1205</v>
      </c>
      <c r="T38" s="3" t="s">
        <v>1206</v>
      </c>
      <c r="U38" s="3" t="s">
        <v>1207</v>
      </c>
      <c r="V38" s="3" t="s">
        <v>1208</v>
      </c>
    </row>
    <row r="39" s="3" customFormat="1" spans="1:22">
      <c r="A39" s="28" t="s">
        <v>21</v>
      </c>
      <c r="B39" s="28" t="s">
        <v>21</v>
      </c>
      <c r="C39" s="28" t="s">
        <v>21</v>
      </c>
      <c r="D39" s="28"/>
      <c r="E39" s="28" t="s">
        <v>1209</v>
      </c>
      <c r="F39" s="32" t="s">
        <v>1209</v>
      </c>
      <c r="G39" s="32" t="s">
        <v>21</v>
      </c>
      <c r="H39" s="32" t="s">
        <v>24</v>
      </c>
      <c r="I39" s="9" t="s">
        <v>21</v>
      </c>
      <c r="J39" s="9" t="s">
        <v>24</v>
      </c>
      <c r="K39" s="33" t="s">
        <v>24</v>
      </c>
      <c r="L39" s="33" t="s">
        <v>21</v>
      </c>
    </row>
    <row r="40" s="3" customFormat="1" spans="1:22">
      <c r="A40" s="28" t="s">
        <v>27</v>
      </c>
      <c r="B40" s="28" t="s">
        <v>28</v>
      </c>
      <c r="C40" s="28" t="s">
        <v>29</v>
      </c>
      <c r="D40" s="28"/>
      <c r="E40" s="28" t="s">
        <v>30</v>
      </c>
      <c r="F40" s="32" t="s">
        <v>32</v>
      </c>
      <c r="G40" s="34" t="s">
        <v>33</v>
      </c>
      <c r="H40" s="34" t="s">
        <v>34</v>
      </c>
      <c r="I40" s="7" t="s">
        <v>35</v>
      </c>
      <c r="J40" s="7" t="s">
        <v>36</v>
      </c>
      <c r="K40" s="31" t="s">
        <v>37</v>
      </c>
      <c r="L40" s="31" t="s">
        <v>42</v>
      </c>
    </row>
    <row r="41" s="3" customFormat="1" spans="1:22">
      <c r="A41" s="28"/>
      <c r="B41" s="28"/>
      <c r="C41" s="28"/>
      <c r="D41" s="28"/>
      <c r="E41" s="28"/>
      <c r="F41" s="28"/>
      <c r="G41" s="28"/>
      <c r="H41" s="35"/>
      <c r="I41" s="7"/>
      <c r="J41" s="7"/>
      <c r="K41" s="31"/>
      <c r="L41" s="31"/>
    </row>
    <row r="42" s="4" customFormat="1" spans="1:22">
      <c r="A42" s="12">
        <v>10008</v>
      </c>
      <c r="B42" s="12">
        <v>1</v>
      </c>
      <c r="C42" s="12">
        <v>8</v>
      </c>
      <c r="D42" s="12">
        <f>COUNTIF($C$42:C42,C42)</f>
        <v>1</v>
      </c>
      <c r="E42" s="12" t="s">
        <v>1210</v>
      </c>
      <c r="F42" s="12"/>
      <c r="G42" s="13">
        <v>3</v>
      </c>
      <c r="H42" s="13" t="s">
        <v>46</v>
      </c>
      <c r="I42" s="10">
        <v>3002</v>
      </c>
      <c r="J42" s="10" t="s">
        <v>1211</v>
      </c>
      <c r="K42" s="8"/>
      <c r="L42" s="8">
        <v>70008</v>
      </c>
      <c r="M42" s="4" t="s">
        <v>1212</v>
      </c>
      <c r="N42" s="1" t="s">
        <v>1133</v>
      </c>
      <c r="O42" s="4">
        <v>10</v>
      </c>
      <c r="P42" t="s">
        <v>1129</v>
      </c>
      <c r="Q42">
        <v>0.25</v>
      </c>
      <c r="R42" s="4">
        <f t="shared" ref="R42:R48" si="0">Q42*O42</f>
        <v>2.5</v>
      </c>
      <c r="S42" s="14"/>
      <c r="T42" s="14">
        <f t="shared" ref="T42:T44" si="1">R42*100</f>
        <v>250</v>
      </c>
      <c r="U42" s="14"/>
      <c r="V42" s="4">
        <f t="shared" ref="V42:V48" si="2">ROUND(MAX(S42/100,T42/100,U42),0)</f>
        <v>3</v>
      </c>
    </row>
    <row r="43" s="4" customFormat="1" spans="1:22">
      <c r="A43" s="12">
        <f t="shared" ref="A43:A48" si="3">C43*100+D43</f>
        <v>121010101</v>
      </c>
      <c r="B43" s="12">
        <v>1</v>
      </c>
      <c r="C43" s="12">
        <v>1210101</v>
      </c>
      <c r="D43" s="12">
        <f>COUNTIF($C$42:C43,C43)</f>
        <v>1</v>
      </c>
      <c r="E43" s="12" t="s">
        <v>1213</v>
      </c>
      <c r="F43" s="12"/>
      <c r="G43" s="13">
        <v>8</v>
      </c>
      <c r="H43" s="13" t="s">
        <v>46</v>
      </c>
      <c r="I43" s="10">
        <v>3002</v>
      </c>
      <c r="J43" s="10" t="s">
        <v>1211</v>
      </c>
      <c r="K43" s="8"/>
      <c r="L43" s="8" t="s">
        <v>1214</v>
      </c>
      <c r="M43" s="4" t="s">
        <v>1215</v>
      </c>
      <c r="N43" s="1" t="s">
        <v>1133</v>
      </c>
      <c r="O43" s="4">
        <v>30</v>
      </c>
      <c r="P43" t="s">
        <v>1129</v>
      </c>
      <c r="Q43">
        <v>0.25</v>
      </c>
      <c r="R43" s="4">
        <f t="shared" si="0"/>
        <v>7.5</v>
      </c>
      <c r="S43" s="14"/>
      <c r="T43" s="14">
        <f t="shared" si="1"/>
        <v>750</v>
      </c>
      <c r="U43" s="14"/>
      <c r="V43" s="4">
        <f t="shared" si="2"/>
        <v>8</v>
      </c>
    </row>
    <row r="44" s="4" customFormat="1" spans="1:22">
      <c r="A44" s="12">
        <f t="shared" si="3"/>
        <v>121010102</v>
      </c>
      <c r="B44" s="12">
        <v>1</v>
      </c>
      <c r="C44" s="12">
        <v>1210101</v>
      </c>
      <c r="D44" s="12">
        <f>COUNTIF($C$42:C44,C44)</f>
        <v>2</v>
      </c>
      <c r="E44" s="12" t="s">
        <v>1216</v>
      </c>
      <c r="F44" s="12"/>
      <c r="G44" s="13">
        <v>25</v>
      </c>
      <c r="H44" s="13" t="s">
        <v>46</v>
      </c>
      <c r="I44" s="10">
        <v>3002</v>
      </c>
      <c r="J44" s="10" t="s">
        <v>1211</v>
      </c>
      <c r="K44" s="8"/>
      <c r="L44" s="8" t="s">
        <v>1217</v>
      </c>
      <c r="M44" s="4" t="s">
        <v>1218</v>
      </c>
      <c r="N44" s="1" t="s">
        <v>1133</v>
      </c>
      <c r="O44" s="4">
        <v>100</v>
      </c>
      <c r="P44" t="s">
        <v>1129</v>
      </c>
      <c r="Q44">
        <v>0.25</v>
      </c>
      <c r="R44" s="4">
        <f t="shared" si="0"/>
        <v>25</v>
      </c>
      <c r="S44" s="14"/>
      <c r="T44" s="14">
        <f t="shared" si="1"/>
        <v>2500</v>
      </c>
      <c r="U44" s="14"/>
      <c r="V44" s="4">
        <f t="shared" si="2"/>
        <v>25</v>
      </c>
    </row>
    <row r="45" s="4" customFormat="1" spans="1:22">
      <c r="A45" s="12">
        <v>10001</v>
      </c>
      <c r="B45" s="12">
        <v>1</v>
      </c>
      <c r="C45" s="12">
        <v>11001</v>
      </c>
      <c r="D45" s="12">
        <f>COUNTIF($C$45:C45,C45)</f>
        <v>1</v>
      </c>
      <c r="E45" s="12" t="s">
        <v>1219</v>
      </c>
      <c r="F45" s="12"/>
      <c r="G45" s="13">
        <v>20</v>
      </c>
      <c r="H45" s="13" t="s">
        <v>46</v>
      </c>
      <c r="I45" s="10">
        <v>2003</v>
      </c>
      <c r="J45" s="10" t="s">
        <v>1220</v>
      </c>
      <c r="K45" s="8"/>
      <c r="L45" s="8" t="s">
        <v>1221</v>
      </c>
      <c r="M45" s="4" t="s">
        <v>1222</v>
      </c>
      <c r="N45" s="4" t="s">
        <v>1223</v>
      </c>
      <c r="O45" s="4">
        <v>2</v>
      </c>
      <c r="Q45" s="4">
        <v>999</v>
      </c>
      <c r="R45" s="4">
        <f t="shared" si="0"/>
        <v>1998</v>
      </c>
      <c r="S45" s="14">
        <f t="shared" ref="S45:S48" si="4">R45</f>
        <v>1998</v>
      </c>
      <c r="T45" s="14"/>
      <c r="U45" s="14"/>
      <c r="V45" s="4">
        <f t="shared" si="2"/>
        <v>20</v>
      </c>
    </row>
    <row r="46" s="4" customFormat="1" spans="1:22">
      <c r="A46" s="12">
        <f t="shared" si="3"/>
        <v>110010101</v>
      </c>
      <c r="B46" s="12">
        <v>1</v>
      </c>
      <c r="C46" s="12">
        <v>1100101</v>
      </c>
      <c r="D46" s="12">
        <f>COUNTIF($C$45:C46,C46)</f>
        <v>1</v>
      </c>
      <c r="E46" s="12" t="s">
        <v>1224</v>
      </c>
      <c r="F46" s="12"/>
      <c r="G46" s="13">
        <v>1</v>
      </c>
      <c r="H46" s="13" t="s">
        <v>46</v>
      </c>
      <c r="I46" s="10">
        <v>2003</v>
      </c>
      <c r="J46" s="10" t="s">
        <v>1220</v>
      </c>
      <c r="K46" s="8"/>
      <c r="L46" s="8" t="s">
        <v>1225</v>
      </c>
      <c r="M46" s="4" t="s">
        <v>1226</v>
      </c>
      <c r="N46" s="4" t="s">
        <v>1223</v>
      </c>
      <c r="O46" s="4">
        <v>1</v>
      </c>
      <c r="Q46" s="4">
        <v>99</v>
      </c>
      <c r="R46" s="4">
        <f t="shared" si="0"/>
        <v>99</v>
      </c>
      <c r="S46" s="14">
        <f t="shared" si="4"/>
        <v>99</v>
      </c>
      <c r="T46" s="14"/>
      <c r="U46" s="14"/>
      <c r="V46" s="4">
        <f t="shared" si="2"/>
        <v>1</v>
      </c>
    </row>
    <row r="47" s="4" customFormat="1" spans="1:22">
      <c r="A47" s="12">
        <f t="shared" si="3"/>
        <v>110010102</v>
      </c>
      <c r="B47" s="12">
        <v>1</v>
      </c>
      <c r="C47" s="12">
        <v>1100101</v>
      </c>
      <c r="D47" s="12">
        <f>COUNTIF($C$45:C47,C47)</f>
        <v>2</v>
      </c>
      <c r="E47" s="12" t="s">
        <v>1227</v>
      </c>
      <c r="F47" s="12"/>
      <c r="G47" s="13">
        <v>5</v>
      </c>
      <c r="H47" s="13" t="s">
        <v>46</v>
      </c>
      <c r="I47" s="10">
        <v>2003</v>
      </c>
      <c r="J47" s="10" t="s">
        <v>1220</v>
      </c>
      <c r="K47" s="8"/>
      <c r="L47" s="8" t="s">
        <v>1228</v>
      </c>
      <c r="M47" s="4" t="s">
        <v>1229</v>
      </c>
      <c r="N47" s="4" t="s">
        <v>1223</v>
      </c>
      <c r="O47" s="4">
        <v>1</v>
      </c>
      <c r="Q47" s="4">
        <v>499</v>
      </c>
      <c r="R47" s="4">
        <f t="shared" si="0"/>
        <v>499</v>
      </c>
      <c r="S47" s="14">
        <f t="shared" si="4"/>
        <v>499</v>
      </c>
      <c r="T47" s="14"/>
      <c r="U47" s="14"/>
      <c r="V47" s="4">
        <f t="shared" si="2"/>
        <v>5</v>
      </c>
    </row>
    <row r="48" s="4" customFormat="1" spans="1:22">
      <c r="A48" s="12">
        <f t="shared" si="3"/>
        <v>110010103</v>
      </c>
      <c r="B48" s="12">
        <v>1</v>
      </c>
      <c r="C48" s="12">
        <v>1100101</v>
      </c>
      <c r="D48" s="12">
        <f>COUNTIF($C$45:C48,C48)</f>
        <v>3</v>
      </c>
      <c r="E48" s="12" t="s">
        <v>1230</v>
      </c>
      <c r="F48" s="12"/>
      <c r="G48" s="13">
        <v>10</v>
      </c>
      <c r="H48" s="13" t="s">
        <v>46</v>
      </c>
      <c r="I48" s="10">
        <v>2003</v>
      </c>
      <c r="J48" s="10" t="s">
        <v>1220</v>
      </c>
      <c r="K48" s="8"/>
      <c r="L48" s="8" t="s">
        <v>1231</v>
      </c>
      <c r="M48" s="4" t="s">
        <v>1232</v>
      </c>
      <c r="N48" s="4" t="s">
        <v>1223</v>
      </c>
      <c r="O48" s="4">
        <v>1</v>
      </c>
      <c r="Q48" s="4">
        <v>999</v>
      </c>
      <c r="R48" s="4">
        <f t="shared" si="0"/>
        <v>999</v>
      </c>
      <c r="S48" s="14">
        <f t="shared" si="4"/>
        <v>999</v>
      </c>
      <c r="T48" s="14"/>
      <c r="U48" s="14"/>
      <c r="V48" s="4">
        <f t="shared" si="2"/>
        <v>10</v>
      </c>
    </row>
    <row r="54" spans="4:14">
      <c r="D54" s="18" t="s">
        <v>1233</v>
      </c>
      <c r="E54" s="18" t="s">
        <v>1234</v>
      </c>
      <c r="G54" s="18" t="s">
        <v>1235</v>
      </c>
      <c r="H54" s="18" t="s">
        <v>1236</v>
      </c>
    </row>
    <row r="55" spans="4:14">
      <c r="D55">
        <v>1024012</v>
      </c>
      <c r="E55">
        <v>1024011</v>
      </c>
      <c r="F55"/>
      <c r="G55">
        <v>10</v>
      </c>
      <c r="H55">
        <v>10</v>
      </c>
      <c r="I55" t="str">
        <f>_xlfn.TEXTJOIN("_",TRUE,$E$55,G55)</f>
        <v>1024011_10</v>
      </c>
      <c r="J55" t="str">
        <f>_xlfn.TEXTJOIN("_",TRUE,$D$55,H55)</f>
        <v>1024012_10</v>
      </c>
      <c r="K55"/>
      <c r="L55" t="str">
        <f t="shared" ref="L55:L118" si="5">_xlfn.TEXTJOIN("|",TRUE,I55:J55)</f>
        <v>1024011_10|1024012_10</v>
      </c>
      <c r="M55"/>
      <c r="N55"/>
    </row>
    <row r="56" spans="4:14">
      <c r="D56"/>
      <c r="E56"/>
      <c r="F56"/>
      <c r="G56">
        <f>G55*3</f>
        <v>30</v>
      </c>
      <c r="H56">
        <f>H55*3</f>
        <v>30</v>
      </c>
      <c r="I56" t="str">
        <f t="shared" ref="I56:I87" si="6">_xlfn.TEXTJOIN("_",TRUE,$E$55,G56)</f>
        <v>1024011_30</v>
      </c>
      <c r="J56" t="str">
        <f t="shared" ref="J56:J87" si="7">_xlfn.TEXTJOIN("_",TRUE,$D$55,H56)</f>
        <v>1024012_30</v>
      </c>
      <c r="K56"/>
      <c r="L56" t="str">
        <f t="shared" si="5"/>
        <v>1024011_30|1024012_30</v>
      </c>
      <c r="M56"/>
      <c r="N56"/>
    </row>
    <row r="57" spans="4:14">
      <c r="D57"/>
      <c r="E57"/>
      <c r="F57"/>
      <c r="G57">
        <f>G55*5</f>
        <v>50</v>
      </c>
      <c r="H57">
        <f>H55*5</f>
        <v>50</v>
      </c>
      <c r="I57" t="str">
        <f t="shared" si="6"/>
        <v>1024011_50</v>
      </c>
      <c r="J57" t="str">
        <f t="shared" si="7"/>
        <v>1024012_50</v>
      </c>
      <c r="K57"/>
      <c r="L57" t="str">
        <f t="shared" si="5"/>
        <v>1024011_50|1024012_50</v>
      </c>
      <c r="M57"/>
      <c r="N57"/>
    </row>
    <row r="58" spans="4:14">
      <c r="D58"/>
      <c r="E58"/>
      <c r="F58"/>
      <c r="G58">
        <f>G55*10</f>
        <v>100</v>
      </c>
      <c r="H58">
        <f>H55*10</f>
        <v>100</v>
      </c>
      <c r="I58" t="str">
        <f t="shared" si="6"/>
        <v>1024011_100</v>
      </c>
      <c r="J58" t="str">
        <f t="shared" si="7"/>
        <v>1024012_100</v>
      </c>
      <c r="K58"/>
      <c r="L58" t="str">
        <f t="shared" si="5"/>
        <v>1024011_100|1024012_100</v>
      </c>
      <c r="M58"/>
      <c r="N58"/>
    </row>
    <row r="59" spans="4:14">
      <c r="D59"/>
      <c r="E59"/>
      <c r="F59"/>
      <c r="G59">
        <f>G55*20</f>
        <v>200</v>
      </c>
      <c r="H59">
        <f>H55*20</f>
        <v>200</v>
      </c>
      <c r="I59" t="str">
        <f t="shared" si="6"/>
        <v>1024011_200</v>
      </c>
      <c r="J59" t="str">
        <f t="shared" si="7"/>
        <v>1024012_200</v>
      </c>
      <c r="K59"/>
      <c r="L59" t="str">
        <f t="shared" si="5"/>
        <v>1024011_200|1024012_200</v>
      </c>
      <c r="M59"/>
      <c r="N59"/>
    </row>
    <row r="60" spans="4:14">
      <c r="D60"/>
      <c r="E60"/>
      <c r="F60"/>
      <c r="G60">
        <f>G55*30</f>
        <v>300</v>
      </c>
      <c r="H60">
        <f>H55*30</f>
        <v>300</v>
      </c>
      <c r="I60" t="str">
        <f t="shared" si="6"/>
        <v>1024011_300</v>
      </c>
      <c r="J60" t="str">
        <f t="shared" si="7"/>
        <v>1024012_300</v>
      </c>
      <c r="K60"/>
      <c r="L60" t="str">
        <f t="shared" si="5"/>
        <v>1024011_300|1024012_300</v>
      </c>
      <c r="M60"/>
      <c r="N60"/>
    </row>
    <row r="61" spans="4:14">
      <c r="D61"/>
      <c r="E61"/>
      <c r="F61"/>
      <c r="G61">
        <f>G55*50</f>
        <v>500</v>
      </c>
      <c r="H61">
        <f>H55*50</f>
        <v>500</v>
      </c>
      <c r="I61" t="str">
        <f t="shared" si="6"/>
        <v>1024011_500</v>
      </c>
      <c r="J61" t="str">
        <f t="shared" si="7"/>
        <v>1024012_500</v>
      </c>
      <c r="K61"/>
      <c r="L61" t="str">
        <f t="shared" si="5"/>
        <v>1024011_500|1024012_500</v>
      </c>
      <c r="M61"/>
      <c r="N61"/>
    </row>
    <row r="62" spans="4:14">
      <c r="D62"/>
      <c r="E62"/>
      <c r="F62"/>
      <c r="G62">
        <v>20</v>
      </c>
      <c r="H62">
        <v>20</v>
      </c>
      <c r="I62" t="str">
        <f t="shared" si="6"/>
        <v>1024011_20</v>
      </c>
      <c r="J62" t="str">
        <f t="shared" si="7"/>
        <v>1024012_20</v>
      </c>
      <c r="K62"/>
      <c r="L62" t="str">
        <f t="shared" si="5"/>
        <v>1024011_20|1024012_20</v>
      </c>
      <c r="M62"/>
      <c r="N62"/>
    </row>
    <row r="63" spans="4:14">
      <c r="D63"/>
      <c r="E63"/>
      <c r="F63"/>
      <c r="G63">
        <f>G62*3</f>
        <v>60</v>
      </c>
      <c r="H63">
        <f>H62*3</f>
        <v>60</v>
      </c>
      <c r="I63" t="str">
        <f t="shared" si="6"/>
        <v>1024011_60</v>
      </c>
      <c r="J63" t="str">
        <f t="shared" si="7"/>
        <v>1024012_60</v>
      </c>
      <c r="K63"/>
      <c r="L63" t="str">
        <f t="shared" si="5"/>
        <v>1024011_60|1024012_60</v>
      </c>
      <c r="M63"/>
      <c r="N63"/>
    </row>
    <row r="64" spans="4:14">
      <c r="D64"/>
      <c r="E64"/>
      <c r="F64"/>
      <c r="G64">
        <f>G62*5</f>
        <v>100</v>
      </c>
      <c r="H64">
        <f>H62*5</f>
        <v>100</v>
      </c>
      <c r="I64" t="str">
        <f t="shared" si="6"/>
        <v>1024011_100</v>
      </c>
      <c r="J64" t="str">
        <f t="shared" si="7"/>
        <v>1024012_100</v>
      </c>
      <c r="K64"/>
      <c r="L64" t="str">
        <f t="shared" si="5"/>
        <v>1024011_100|1024012_100</v>
      </c>
      <c r="M64"/>
      <c r="N64"/>
    </row>
    <row r="65" spans="4:14">
      <c r="D65"/>
      <c r="E65"/>
      <c r="F65"/>
      <c r="G65">
        <f>G62*10</f>
        <v>200</v>
      </c>
      <c r="H65">
        <f>H62*10</f>
        <v>200</v>
      </c>
      <c r="I65" t="str">
        <f t="shared" si="6"/>
        <v>1024011_200</v>
      </c>
      <c r="J65" t="str">
        <f t="shared" si="7"/>
        <v>1024012_200</v>
      </c>
      <c r="K65"/>
      <c r="L65" t="str">
        <f t="shared" si="5"/>
        <v>1024011_200|1024012_200</v>
      </c>
      <c r="M65"/>
      <c r="N65"/>
    </row>
    <row r="66" spans="4:14">
      <c r="D66"/>
      <c r="E66"/>
      <c r="F66"/>
      <c r="G66">
        <f>G62*20</f>
        <v>400</v>
      </c>
      <c r="H66">
        <f>H62*20</f>
        <v>400</v>
      </c>
      <c r="I66" t="str">
        <f t="shared" si="6"/>
        <v>1024011_400</v>
      </c>
      <c r="J66" t="str">
        <f t="shared" si="7"/>
        <v>1024012_400</v>
      </c>
      <c r="K66"/>
      <c r="L66" t="str">
        <f t="shared" si="5"/>
        <v>1024011_400|1024012_400</v>
      </c>
      <c r="M66"/>
      <c r="N66"/>
    </row>
    <row r="67" spans="4:14">
      <c r="D67"/>
      <c r="E67"/>
      <c r="F67"/>
      <c r="G67">
        <f>G62*30</f>
        <v>600</v>
      </c>
      <c r="H67">
        <f>H62*30</f>
        <v>600</v>
      </c>
      <c r="I67" t="str">
        <f t="shared" si="6"/>
        <v>1024011_600</v>
      </c>
      <c r="J67" t="str">
        <f t="shared" si="7"/>
        <v>1024012_600</v>
      </c>
      <c r="K67"/>
      <c r="L67" t="str">
        <f t="shared" si="5"/>
        <v>1024011_600|1024012_600</v>
      </c>
      <c r="M67"/>
      <c r="N67"/>
    </row>
    <row r="68" spans="4:14">
      <c r="D68"/>
      <c r="E68"/>
      <c r="F68"/>
      <c r="G68">
        <f>G62*50</f>
        <v>1000</v>
      </c>
      <c r="H68">
        <f>H62*50</f>
        <v>1000</v>
      </c>
      <c r="I68" t="str">
        <f t="shared" si="6"/>
        <v>1024011_1000</v>
      </c>
      <c r="J68" t="str">
        <f t="shared" si="7"/>
        <v>1024012_1000</v>
      </c>
      <c r="K68"/>
      <c r="L68" t="str">
        <f t="shared" si="5"/>
        <v>1024011_1000|1024012_1000</v>
      </c>
      <c r="M68"/>
      <c r="N68"/>
    </row>
    <row r="69" spans="4:14">
      <c r="D69"/>
      <c r="E69"/>
      <c r="F69"/>
      <c r="G69">
        <v>100</v>
      </c>
      <c r="H69">
        <v>100</v>
      </c>
      <c r="I69" t="str">
        <f t="shared" si="6"/>
        <v>1024011_100</v>
      </c>
      <c r="J69" t="str">
        <f t="shared" si="7"/>
        <v>1024012_100</v>
      </c>
      <c r="K69"/>
      <c r="L69" t="str">
        <f t="shared" si="5"/>
        <v>1024011_100|1024012_100</v>
      </c>
      <c r="M69"/>
      <c r="N69"/>
    </row>
    <row r="70" spans="4:14">
      <c r="D70"/>
      <c r="E70"/>
      <c r="F70"/>
      <c r="G70">
        <f>G69*3</f>
        <v>300</v>
      </c>
      <c r="H70">
        <f>H69*3</f>
        <v>300</v>
      </c>
      <c r="I70" t="str">
        <f t="shared" si="6"/>
        <v>1024011_300</v>
      </c>
      <c r="J70" t="str">
        <f t="shared" si="7"/>
        <v>1024012_300</v>
      </c>
      <c r="K70"/>
      <c r="L70" t="str">
        <f t="shared" si="5"/>
        <v>1024011_300|1024012_300</v>
      </c>
      <c r="M70"/>
      <c r="N70"/>
    </row>
    <row r="71" spans="4:14">
      <c r="D71"/>
      <c r="E71"/>
      <c r="F71"/>
      <c r="G71">
        <f>G69*5</f>
        <v>500</v>
      </c>
      <c r="H71">
        <f>H69*5</f>
        <v>500</v>
      </c>
      <c r="I71" t="str">
        <f t="shared" si="6"/>
        <v>1024011_500</v>
      </c>
      <c r="J71" t="str">
        <f t="shared" si="7"/>
        <v>1024012_500</v>
      </c>
      <c r="K71"/>
      <c r="L71" t="str">
        <f t="shared" si="5"/>
        <v>1024011_500|1024012_500</v>
      </c>
      <c r="M71"/>
      <c r="N71"/>
    </row>
    <row r="72" spans="4:14">
      <c r="D72"/>
      <c r="E72"/>
      <c r="F72"/>
      <c r="G72">
        <f>G69*10</f>
        <v>1000</v>
      </c>
      <c r="H72">
        <f>H69*10</f>
        <v>1000</v>
      </c>
      <c r="I72" t="str">
        <f t="shared" si="6"/>
        <v>1024011_1000</v>
      </c>
      <c r="J72" t="str">
        <f t="shared" si="7"/>
        <v>1024012_1000</v>
      </c>
      <c r="K72"/>
      <c r="L72" t="str">
        <f t="shared" si="5"/>
        <v>1024011_1000|1024012_1000</v>
      </c>
      <c r="M72"/>
      <c r="N72"/>
    </row>
    <row r="73" spans="4:14">
      <c r="D73"/>
      <c r="E73"/>
      <c r="F73"/>
      <c r="G73">
        <f>G69*20</f>
        <v>2000</v>
      </c>
      <c r="H73">
        <f>H69*20</f>
        <v>2000</v>
      </c>
      <c r="I73" t="str">
        <f t="shared" si="6"/>
        <v>1024011_2000</v>
      </c>
      <c r="J73" t="str">
        <f t="shared" si="7"/>
        <v>1024012_2000</v>
      </c>
      <c r="K73"/>
      <c r="L73" t="str">
        <f t="shared" si="5"/>
        <v>1024011_2000|1024012_2000</v>
      </c>
      <c r="M73"/>
      <c r="N73"/>
    </row>
    <row r="74" spans="4:14">
      <c r="D74"/>
      <c r="E74"/>
      <c r="F74"/>
      <c r="G74">
        <f>G69*30</f>
        <v>3000</v>
      </c>
      <c r="H74">
        <f>H69*30</f>
        <v>3000</v>
      </c>
      <c r="I74" t="str">
        <f t="shared" si="6"/>
        <v>1024011_3000</v>
      </c>
      <c r="J74" t="str">
        <f t="shared" si="7"/>
        <v>1024012_3000</v>
      </c>
      <c r="K74"/>
      <c r="L74" t="str">
        <f t="shared" si="5"/>
        <v>1024011_3000|1024012_3000</v>
      </c>
      <c r="M74"/>
      <c r="N74"/>
    </row>
    <row r="75" spans="4:14">
      <c r="D75"/>
      <c r="E75"/>
      <c r="F75"/>
      <c r="G75">
        <f>G69*50</f>
        <v>5000</v>
      </c>
      <c r="H75">
        <f>H69*50</f>
        <v>5000</v>
      </c>
      <c r="I75" t="str">
        <f t="shared" si="6"/>
        <v>1024011_5000</v>
      </c>
      <c r="J75" t="str">
        <f t="shared" si="7"/>
        <v>1024012_5000</v>
      </c>
      <c r="K75"/>
      <c r="L75" t="str">
        <f t="shared" si="5"/>
        <v>1024011_5000|1024012_5000</v>
      </c>
      <c r="M75"/>
      <c r="N75"/>
    </row>
    <row r="76" spans="4:14">
      <c r="D76"/>
      <c r="E76"/>
      <c r="F76"/>
      <c r="G76">
        <v>5</v>
      </c>
      <c r="H76">
        <v>5</v>
      </c>
      <c r="I76" t="str">
        <f t="shared" si="6"/>
        <v>1024011_5</v>
      </c>
      <c r="J76" t="str">
        <f t="shared" si="7"/>
        <v>1024012_5</v>
      </c>
      <c r="K76"/>
      <c r="L76" t="str">
        <f t="shared" si="5"/>
        <v>1024011_5|1024012_5</v>
      </c>
      <c r="M76"/>
      <c r="N76"/>
    </row>
    <row r="77" spans="4:14">
      <c r="D77"/>
      <c r="E77"/>
      <c r="F77"/>
      <c r="G77">
        <f>G76*2</f>
        <v>10</v>
      </c>
      <c r="H77">
        <f>H76*2</f>
        <v>10</v>
      </c>
      <c r="I77" t="str">
        <f t="shared" si="6"/>
        <v>1024011_10</v>
      </c>
      <c r="J77" t="str">
        <f t="shared" si="7"/>
        <v>1024012_10</v>
      </c>
      <c r="K77"/>
      <c r="L77" t="str">
        <f t="shared" si="5"/>
        <v>1024011_10|1024012_10</v>
      </c>
      <c r="M77"/>
      <c r="N77"/>
    </row>
    <row r="78" spans="4:14">
      <c r="D78"/>
      <c r="E78"/>
      <c r="F78"/>
      <c r="G78">
        <f>G76*5</f>
        <v>25</v>
      </c>
      <c r="H78">
        <f>H76*5</f>
        <v>25</v>
      </c>
      <c r="I78" t="str">
        <f t="shared" si="6"/>
        <v>1024011_25</v>
      </c>
      <c r="J78" t="str">
        <f t="shared" si="7"/>
        <v>1024012_25</v>
      </c>
      <c r="K78"/>
      <c r="L78" t="str">
        <f t="shared" si="5"/>
        <v>1024011_25|1024012_25</v>
      </c>
      <c r="M78"/>
      <c r="N78"/>
    </row>
    <row r="79" spans="4:14">
      <c r="D79"/>
      <c r="E79"/>
      <c r="F79"/>
      <c r="G79">
        <f>G76*8</f>
        <v>40</v>
      </c>
      <c r="H79">
        <f>H76*8</f>
        <v>40</v>
      </c>
      <c r="I79" t="str">
        <f t="shared" si="6"/>
        <v>1024011_40</v>
      </c>
      <c r="J79" t="str">
        <f t="shared" si="7"/>
        <v>1024012_40</v>
      </c>
      <c r="K79"/>
      <c r="L79" t="str">
        <f t="shared" si="5"/>
        <v>1024011_40|1024012_40</v>
      </c>
      <c r="M79"/>
      <c r="N79"/>
    </row>
    <row r="80" spans="4:14">
      <c r="D80"/>
      <c r="E80"/>
      <c r="F80"/>
      <c r="G80">
        <f>G76*10</f>
        <v>50</v>
      </c>
      <c r="H80">
        <f>H76*10</f>
        <v>50</v>
      </c>
      <c r="I80" t="str">
        <f t="shared" si="6"/>
        <v>1024011_50</v>
      </c>
      <c r="J80" t="str">
        <f t="shared" si="7"/>
        <v>1024012_50</v>
      </c>
      <c r="K80"/>
      <c r="L80" t="str">
        <f t="shared" si="5"/>
        <v>1024011_50|1024012_50</v>
      </c>
      <c r="M80"/>
      <c r="N80"/>
    </row>
    <row r="81" spans="4:14">
      <c r="D81"/>
      <c r="E81"/>
      <c r="F81"/>
      <c r="G81">
        <f>G76*20</f>
        <v>100</v>
      </c>
      <c r="H81">
        <f>H76*20</f>
        <v>100</v>
      </c>
      <c r="I81" t="str">
        <f t="shared" si="6"/>
        <v>1024011_100</v>
      </c>
      <c r="J81" t="str">
        <f t="shared" si="7"/>
        <v>1024012_100</v>
      </c>
      <c r="K81"/>
      <c r="L81" t="str">
        <f t="shared" si="5"/>
        <v>1024011_100|1024012_100</v>
      </c>
      <c r="M81"/>
      <c r="N81"/>
    </row>
    <row r="82" spans="4:14">
      <c r="D82"/>
      <c r="E82"/>
      <c r="F82"/>
      <c r="G82">
        <f>G76*30</f>
        <v>150</v>
      </c>
      <c r="H82">
        <f>H76*30</f>
        <v>150</v>
      </c>
      <c r="I82" t="str">
        <f t="shared" si="6"/>
        <v>1024011_150</v>
      </c>
      <c r="J82" t="str">
        <f t="shared" si="7"/>
        <v>1024012_150</v>
      </c>
      <c r="K82"/>
      <c r="L82" t="str">
        <f t="shared" si="5"/>
        <v>1024011_150|1024012_150</v>
      </c>
      <c r="M82"/>
      <c r="N82"/>
    </row>
    <row r="83" spans="4:14">
      <c r="D83"/>
      <c r="E83"/>
      <c r="F83"/>
      <c r="G83">
        <f>G76*50</f>
        <v>250</v>
      </c>
      <c r="H83">
        <f>H76*50</f>
        <v>250</v>
      </c>
      <c r="I83" t="str">
        <f t="shared" si="6"/>
        <v>1024011_250</v>
      </c>
      <c r="J83" t="str">
        <f t="shared" si="7"/>
        <v>1024012_250</v>
      </c>
      <c r="K83"/>
      <c r="L83" t="str">
        <f t="shared" si="5"/>
        <v>1024011_250|1024012_250</v>
      </c>
      <c r="M83"/>
      <c r="N83"/>
    </row>
    <row r="84" spans="4:14">
      <c r="D84"/>
      <c r="E84"/>
      <c r="F84"/>
      <c r="G84">
        <f>G76*80</f>
        <v>400</v>
      </c>
      <c r="H84">
        <f>H76*80</f>
        <v>400</v>
      </c>
      <c r="I84" t="str">
        <f t="shared" si="6"/>
        <v>1024011_400</v>
      </c>
      <c r="J84" t="str">
        <f t="shared" si="7"/>
        <v>1024012_400</v>
      </c>
      <c r="K84"/>
      <c r="L84" t="str">
        <f t="shared" si="5"/>
        <v>1024011_400|1024012_400</v>
      </c>
      <c r="M84"/>
      <c r="N84"/>
    </row>
    <row r="85" spans="4:14">
      <c r="D85"/>
      <c r="E85"/>
      <c r="F85"/>
      <c r="G85">
        <f>G76*100</f>
        <v>500</v>
      </c>
      <c r="H85">
        <f>H76*100</f>
        <v>500</v>
      </c>
      <c r="I85" t="str">
        <f t="shared" si="6"/>
        <v>1024011_500</v>
      </c>
      <c r="J85" t="str">
        <f t="shared" si="7"/>
        <v>1024012_500</v>
      </c>
      <c r="K85"/>
      <c r="L85" t="str">
        <f t="shared" si="5"/>
        <v>1024011_500|1024012_500</v>
      </c>
      <c r="M85"/>
      <c r="N85"/>
    </row>
    <row r="86" spans="4:14">
      <c r="D86"/>
      <c r="E86"/>
      <c r="F86"/>
      <c r="G86">
        <v>10</v>
      </c>
      <c r="H86">
        <v>10</v>
      </c>
      <c r="I86" t="str">
        <f t="shared" si="6"/>
        <v>1024011_10</v>
      </c>
      <c r="J86" t="str">
        <f t="shared" si="7"/>
        <v>1024012_10</v>
      </c>
      <c r="K86"/>
      <c r="L86" t="str">
        <f t="shared" si="5"/>
        <v>1024011_10|1024012_10</v>
      </c>
      <c r="M86"/>
      <c r="N86"/>
    </row>
    <row r="87" spans="4:14">
      <c r="D87"/>
      <c r="E87"/>
      <c r="F87"/>
      <c r="G87">
        <f>G86*2</f>
        <v>20</v>
      </c>
      <c r="H87">
        <f>H86*2</f>
        <v>20</v>
      </c>
      <c r="I87" t="str">
        <f t="shared" si="6"/>
        <v>1024011_20</v>
      </c>
      <c r="J87" t="str">
        <f t="shared" si="7"/>
        <v>1024012_20</v>
      </c>
      <c r="K87"/>
      <c r="L87" t="str">
        <f t="shared" si="5"/>
        <v>1024011_20|1024012_20</v>
      </c>
      <c r="M87"/>
      <c r="N87"/>
    </row>
    <row r="88" spans="4:14">
      <c r="D88"/>
      <c r="E88"/>
      <c r="F88"/>
      <c r="G88">
        <f>G86*4</f>
        <v>40</v>
      </c>
      <c r="H88">
        <f>H86*4</f>
        <v>40</v>
      </c>
      <c r="I88" t="str">
        <f t="shared" ref="I88:I129" si="8">_xlfn.TEXTJOIN("_",TRUE,$E$55,G88)</f>
        <v>1024011_40</v>
      </c>
      <c r="J88" t="str">
        <f t="shared" ref="J88:J129" si="9">_xlfn.TEXTJOIN("_",TRUE,$D$55,H88)</f>
        <v>1024012_40</v>
      </c>
      <c r="K88"/>
      <c r="L88" t="str">
        <f t="shared" si="5"/>
        <v>1024011_40|1024012_40</v>
      </c>
      <c r="M88"/>
      <c r="N88"/>
    </row>
    <row r="89" spans="4:14">
      <c r="D89"/>
      <c r="E89"/>
      <c r="F89"/>
      <c r="G89">
        <f>G86*6</f>
        <v>60</v>
      </c>
      <c r="H89">
        <f>H86*6</f>
        <v>60</v>
      </c>
      <c r="I89" t="str">
        <f t="shared" si="8"/>
        <v>1024011_60</v>
      </c>
      <c r="J89" t="str">
        <f t="shared" si="9"/>
        <v>1024012_60</v>
      </c>
      <c r="K89"/>
      <c r="L89" t="str">
        <f t="shared" si="5"/>
        <v>1024011_60|1024012_60</v>
      </c>
      <c r="M89"/>
      <c r="N89"/>
    </row>
    <row r="90" spans="4:14">
      <c r="D90"/>
      <c r="E90"/>
      <c r="F90"/>
      <c r="G90">
        <f>G86*10</f>
        <v>100</v>
      </c>
      <c r="H90">
        <f>H86*10</f>
        <v>100</v>
      </c>
      <c r="I90" t="str">
        <f t="shared" si="8"/>
        <v>1024011_100</v>
      </c>
      <c r="J90" t="str">
        <f t="shared" si="9"/>
        <v>1024012_100</v>
      </c>
      <c r="K90"/>
      <c r="L90" t="str">
        <f t="shared" si="5"/>
        <v>1024011_100|1024012_100</v>
      </c>
      <c r="M90"/>
      <c r="N90"/>
    </row>
    <row r="91" spans="4:14">
      <c r="D91"/>
      <c r="E91"/>
      <c r="F91"/>
      <c r="G91">
        <f>G86*20</f>
        <v>200</v>
      </c>
      <c r="H91">
        <f>H86*20</f>
        <v>200</v>
      </c>
      <c r="I91" t="str">
        <f t="shared" si="8"/>
        <v>1024011_200</v>
      </c>
      <c r="J91" t="str">
        <f t="shared" si="9"/>
        <v>1024012_200</v>
      </c>
      <c r="K91"/>
      <c r="L91" t="str">
        <f t="shared" si="5"/>
        <v>1024011_200|1024012_200</v>
      </c>
      <c r="M91"/>
      <c r="N91"/>
    </row>
    <row r="92" spans="4:14">
      <c r="D92"/>
      <c r="E92"/>
      <c r="F92"/>
      <c r="G92">
        <f>G86*30</f>
        <v>300</v>
      </c>
      <c r="H92">
        <f>H86*30</f>
        <v>300</v>
      </c>
      <c r="I92" t="str">
        <f t="shared" si="8"/>
        <v>1024011_300</v>
      </c>
      <c r="J92" t="str">
        <f t="shared" si="9"/>
        <v>1024012_300</v>
      </c>
      <c r="K92"/>
      <c r="L92" t="str">
        <f t="shared" si="5"/>
        <v>1024011_300|1024012_300</v>
      </c>
      <c r="M92"/>
      <c r="N92"/>
    </row>
    <row r="93" spans="4:14">
      <c r="D93"/>
      <c r="E93"/>
      <c r="F93"/>
      <c r="G93">
        <v>20</v>
      </c>
      <c r="H93">
        <v>20</v>
      </c>
      <c r="I93" t="str">
        <f t="shared" si="8"/>
        <v>1024011_20</v>
      </c>
      <c r="J93" t="str">
        <f t="shared" si="9"/>
        <v>1024012_20</v>
      </c>
      <c r="K93"/>
      <c r="L93" t="str">
        <f t="shared" si="5"/>
        <v>1024011_20|1024012_20</v>
      </c>
      <c r="M93"/>
      <c r="N93"/>
    </row>
    <row r="94" spans="4:14">
      <c r="D94"/>
      <c r="E94"/>
      <c r="F94"/>
      <c r="G94">
        <f>G93*2</f>
        <v>40</v>
      </c>
      <c r="H94">
        <f>H93*2</f>
        <v>40</v>
      </c>
      <c r="I94" t="str">
        <f t="shared" si="8"/>
        <v>1024011_40</v>
      </c>
      <c r="J94" t="str">
        <f t="shared" si="9"/>
        <v>1024012_40</v>
      </c>
      <c r="K94"/>
      <c r="L94" t="str">
        <f t="shared" si="5"/>
        <v>1024011_40|1024012_40</v>
      </c>
      <c r="M94"/>
      <c r="N94"/>
    </row>
    <row r="95" spans="4:14">
      <c r="D95"/>
      <c r="E95"/>
      <c r="F95"/>
      <c r="G95">
        <f>G93*3</f>
        <v>60</v>
      </c>
      <c r="H95">
        <f>H93*3</f>
        <v>60</v>
      </c>
      <c r="I95" t="str">
        <f t="shared" si="8"/>
        <v>1024011_60</v>
      </c>
      <c r="J95" t="str">
        <f t="shared" si="9"/>
        <v>1024012_60</v>
      </c>
      <c r="K95"/>
      <c r="L95" t="str">
        <f t="shared" si="5"/>
        <v>1024011_60|1024012_60</v>
      </c>
      <c r="M95"/>
      <c r="N95"/>
    </row>
    <row r="96" spans="4:14">
      <c r="D96"/>
      <c r="E96"/>
      <c r="F96"/>
      <c r="G96">
        <f>G93*4</f>
        <v>80</v>
      </c>
      <c r="H96">
        <f>H93*4</f>
        <v>80</v>
      </c>
      <c r="I96" t="str">
        <f t="shared" si="8"/>
        <v>1024011_80</v>
      </c>
      <c r="J96" t="str">
        <f t="shared" si="9"/>
        <v>1024012_80</v>
      </c>
      <c r="K96"/>
      <c r="L96" t="str">
        <f t="shared" si="5"/>
        <v>1024011_80|1024012_80</v>
      </c>
      <c r="M96"/>
      <c r="N96"/>
    </row>
    <row r="97" spans="4:14">
      <c r="D97"/>
      <c r="E97"/>
      <c r="F97"/>
      <c r="G97">
        <f>G93*5</f>
        <v>100</v>
      </c>
      <c r="H97">
        <f>H93*5</f>
        <v>100</v>
      </c>
      <c r="I97" t="str">
        <f t="shared" si="8"/>
        <v>1024011_100</v>
      </c>
      <c r="J97" t="str">
        <f t="shared" si="9"/>
        <v>1024012_100</v>
      </c>
      <c r="K97"/>
      <c r="L97" t="str">
        <f t="shared" si="5"/>
        <v>1024011_100|1024012_100</v>
      </c>
      <c r="M97"/>
      <c r="N97"/>
    </row>
    <row r="98" spans="4:14">
      <c r="D98"/>
      <c r="E98"/>
      <c r="F98"/>
      <c r="G98">
        <f>G93*6</f>
        <v>120</v>
      </c>
      <c r="H98">
        <f>H93*6</f>
        <v>120</v>
      </c>
      <c r="I98" t="str">
        <f t="shared" si="8"/>
        <v>1024011_120</v>
      </c>
      <c r="J98" t="str">
        <f t="shared" si="9"/>
        <v>1024012_120</v>
      </c>
      <c r="K98"/>
      <c r="L98" t="str">
        <f t="shared" si="5"/>
        <v>1024011_120|1024012_120</v>
      </c>
      <c r="M98"/>
      <c r="N98"/>
    </row>
    <row r="99" spans="4:14">
      <c r="D99"/>
      <c r="E99"/>
      <c r="F99"/>
      <c r="G99">
        <f>G93*7.5</f>
        <v>150</v>
      </c>
      <c r="H99">
        <f>H93*7.5</f>
        <v>150</v>
      </c>
      <c r="I99" t="str">
        <f t="shared" si="8"/>
        <v>1024011_150</v>
      </c>
      <c r="J99" t="str">
        <f t="shared" si="9"/>
        <v>1024012_150</v>
      </c>
      <c r="K99"/>
      <c r="L99" t="str">
        <f t="shared" si="5"/>
        <v>1024011_150|1024012_150</v>
      </c>
      <c r="M99"/>
      <c r="N99"/>
    </row>
    <row r="100" spans="4:14">
      <c r="D100"/>
      <c r="E100"/>
      <c r="F100"/>
      <c r="G100">
        <v>50</v>
      </c>
      <c r="H100">
        <v>50</v>
      </c>
      <c r="I100" t="str">
        <f t="shared" si="8"/>
        <v>1024011_50</v>
      </c>
      <c r="J100" t="str">
        <f t="shared" si="9"/>
        <v>1024012_50</v>
      </c>
      <c r="K100"/>
      <c r="L100" t="str">
        <f t="shared" si="5"/>
        <v>1024011_50|1024012_50</v>
      </c>
      <c r="M100"/>
      <c r="N100"/>
    </row>
    <row r="101" spans="4:14">
      <c r="D101"/>
      <c r="E101"/>
      <c r="F101"/>
      <c r="G101">
        <f>G100*2</f>
        <v>100</v>
      </c>
      <c r="H101">
        <f>H100*2</f>
        <v>100</v>
      </c>
      <c r="I101" t="str">
        <f t="shared" si="8"/>
        <v>1024011_100</v>
      </c>
      <c r="J101" t="str">
        <f t="shared" si="9"/>
        <v>1024012_100</v>
      </c>
      <c r="K101"/>
      <c r="L101" t="str">
        <f t="shared" si="5"/>
        <v>1024011_100|1024012_100</v>
      </c>
      <c r="M101"/>
      <c r="N101"/>
    </row>
    <row r="102" spans="4:14">
      <c r="D102"/>
      <c r="E102"/>
      <c r="F102"/>
      <c r="G102">
        <f>G100*3</f>
        <v>150</v>
      </c>
      <c r="H102">
        <f>H100*3</f>
        <v>150</v>
      </c>
      <c r="I102" t="str">
        <f t="shared" si="8"/>
        <v>1024011_150</v>
      </c>
      <c r="J102" t="str">
        <f t="shared" si="9"/>
        <v>1024012_150</v>
      </c>
      <c r="K102"/>
      <c r="L102" t="str">
        <f t="shared" si="5"/>
        <v>1024011_150|1024012_150</v>
      </c>
      <c r="M102"/>
      <c r="N102"/>
    </row>
    <row r="103" spans="4:14">
      <c r="D103"/>
      <c r="E103"/>
      <c r="F103"/>
      <c r="G103">
        <f>G100*4</f>
        <v>200</v>
      </c>
      <c r="H103">
        <f>H100*4</f>
        <v>200</v>
      </c>
      <c r="I103" t="str">
        <f t="shared" si="8"/>
        <v>1024011_200</v>
      </c>
      <c r="J103" t="str">
        <f t="shared" si="9"/>
        <v>1024012_200</v>
      </c>
      <c r="K103"/>
      <c r="L103" t="str">
        <f t="shared" si="5"/>
        <v>1024011_200|1024012_200</v>
      </c>
      <c r="M103"/>
      <c r="N103"/>
    </row>
    <row r="104" spans="4:14">
      <c r="D104"/>
      <c r="E104"/>
      <c r="F104"/>
      <c r="G104">
        <f>G100*5</f>
        <v>250</v>
      </c>
      <c r="H104">
        <f>H100*5</f>
        <v>250</v>
      </c>
      <c r="I104" t="str">
        <f t="shared" si="8"/>
        <v>1024011_250</v>
      </c>
      <c r="J104" t="str">
        <f t="shared" si="9"/>
        <v>1024012_250</v>
      </c>
      <c r="K104"/>
      <c r="L104" t="str">
        <f t="shared" si="5"/>
        <v>1024011_250|1024012_250</v>
      </c>
      <c r="M104"/>
      <c r="N104"/>
    </row>
    <row r="105" spans="4:14">
      <c r="D105"/>
      <c r="E105"/>
      <c r="F105"/>
      <c r="G105">
        <f>G100*6</f>
        <v>300</v>
      </c>
      <c r="H105">
        <f>H100*6</f>
        <v>300</v>
      </c>
      <c r="I105" t="str">
        <f t="shared" si="8"/>
        <v>1024011_300</v>
      </c>
      <c r="J105" t="str">
        <f t="shared" si="9"/>
        <v>1024012_300</v>
      </c>
      <c r="K105"/>
      <c r="L105" t="str">
        <f t="shared" si="5"/>
        <v>1024011_300|1024012_300</v>
      </c>
      <c r="M105"/>
      <c r="N105"/>
    </row>
    <row r="106" spans="4:14">
      <c r="D106"/>
      <c r="E106"/>
      <c r="F106"/>
      <c r="G106">
        <v>50</v>
      </c>
      <c r="H106">
        <v>50</v>
      </c>
      <c r="I106" t="str">
        <f t="shared" si="8"/>
        <v>1024011_50</v>
      </c>
      <c r="J106" t="str">
        <f t="shared" si="9"/>
        <v>1024012_50</v>
      </c>
      <c r="K106"/>
      <c r="L106" t="str">
        <f t="shared" si="5"/>
        <v>1024011_50|1024012_50</v>
      </c>
      <c r="M106"/>
      <c r="N106"/>
    </row>
    <row r="107" spans="4:14">
      <c r="D107"/>
      <c r="E107"/>
      <c r="F107"/>
      <c r="G107">
        <f>G106*2</f>
        <v>100</v>
      </c>
      <c r="H107">
        <f>H106*2</f>
        <v>100</v>
      </c>
      <c r="I107" t="str">
        <f t="shared" si="8"/>
        <v>1024011_100</v>
      </c>
      <c r="J107" t="str">
        <f t="shared" si="9"/>
        <v>1024012_100</v>
      </c>
      <c r="K107"/>
      <c r="L107" t="str">
        <f t="shared" si="5"/>
        <v>1024011_100|1024012_100</v>
      </c>
      <c r="M107"/>
      <c r="N107"/>
    </row>
    <row r="108" spans="4:14">
      <c r="D108"/>
      <c r="E108"/>
      <c r="F108"/>
      <c r="G108">
        <f>G106*3</f>
        <v>150</v>
      </c>
      <c r="H108">
        <f>H106*3</f>
        <v>150</v>
      </c>
      <c r="I108" t="str">
        <f t="shared" si="8"/>
        <v>1024011_150</v>
      </c>
      <c r="J108" t="str">
        <f t="shared" si="9"/>
        <v>1024012_150</v>
      </c>
      <c r="K108"/>
      <c r="L108" t="str">
        <f t="shared" si="5"/>
        <v>1024011_150|1024012_150</v>
      </c>
      <c r="M108"/>
      <c r="N108"/>
    </row>
    <row r="109" spans="4:14">
      <c r="D109"/>
      <c r="E109"/>
      <c r="F109"/>
      <c r="G109">
        <f>G106*4</f>
        <v>200</v>
      </c>
      <c r="H109">
        <f>H106*4</f>
        <v>200</v>
      </c>
      <c r="I109" t="str">
        <f t="shared" si="8"/>
        <v>1024011_200</v>
      </c>
      <c r="J109" t="str">
        <f t="shared" si="9"/>
        <v>1024012_200</v>
      </c>
      <c r="K109"/>
      <c r="L109" t="str">
        <f t="shared" si="5"/>
        <v>1024011_200|1024012_200</v>
      </c>
      <c r="M109"/>
      <c r="N109"/>
    </row>
    <row r="110" spans="4:14">
      <c r="D110"/>
      <c r="E110"/>
      <c r="F110"/>
      <c r="G110">
        <f>G106*5</f>
        <v>250</v>
      </c>
      <c r="H110">
        <f>H106*5</f>
        <v>250</v>
      </c>
      <c r="I110" t="str">
        <f t="shared" si="8"/>
        <v>1024011_250</v>
      </c>
      <c r="J110" t="str">
        <f t="shared" si="9"/>
        <v>1024012_250</v>
      </c>
      <c r="K110"/>
      <c r="L110" t="str">
        <f t="shared" si="5"/>
        <v>1024011_250|1024012_250</v>
      </c>
      <c r="M110"/>
      <c r="N110"/>
    </row>
    <row r="111" spans="4:14">
      <c r="D111"/>
      <c r="E111"/>
      <c r="F111"/>
      <c r="G111">
        <f>G106*6</f>
        <v>300</v>
      </c>
      <c r="H111">
        <f>H106*6</f>
        <v>300</v>
      </c>
      <c r="I111" t="str">
        <f t="shared" si="8"/>
        <v>1024011_300</v>
      </c>
      <c r="J111" t="str">
        <f t="shared" si="9"/>
        <v>1024012_300</v>
      </c>
      <c r="K111"/>
      <c r="L111" t="str">
        <f t="shared" si="5"/>
        <v>1024011_300|1024012_300</v>
      </c>
      <c r="M111"/>
      <c r="N111"/>
    </row>
    <row r="112" spans="4:14">
      <c r="D112"/>
      <c r="E112"/>
      <c r="F112"/>
      <c r="G112">
        <v>10</v>
      </c>
      <c r="H112">
        <v>10</v>
      </c>
      <c r="I112" t="str">
        <f t="shared" si="8"/>
        <v>1024011_10</v>
      </c>
      <c r="J112" t="str">
        <f t="shared" si="9"/>
        <v>1024012_10</v>
      </c>
      <c r="K112"/>
      <c r="L112" t="str">
        <f t="shared" si="5"/>
        <v>1024011_10|1024012_10</v>
      </c>
      <c r="M112"/>
      <c r="N112"/>
    </row>
    <row r="113" spans="4:14">
      <c r="D113"/>
      <c r="E113"/>
      <c r="F113"/>
      <c r="G113">
        <f>G112*2</f>
        <v>20</v>
      </c>
      <c r="H113">
        <f>H112*2</f>
        <v>20</v>
      </c>
      <c r="I113" t="str">
        <f t="shared" si="8"/>
        <v>1024011_20</v>
      </c>
      <c r="J113" t="str">
        <f t="shared" si="9"/>
        <v>1024012_20</v>
      </c>
      <c r="K113"/>
      <c r="L113" t="str">
        <f t="shared" si="5"/>
        <v>1024011_20|1024012_20</v>
      </c>
      <c r="M113"/>
      <c r="N113"/>
    </row>
    <row r="114" spans="4:14">
      <c r="D114"/>
      <c r="E114"/>
      <c r="F114"/>
      <c r="G114">
        <f>G112*3</f>
        <v>30</v>
      </c>
      <c r="H114">
        <f>H112*3</f>
        <v>30</v>
      </c>
      <c r="I114" t="str">
        <f t="shared" si="8"/>
        <v>1024011_30</v>
      </c>
      <c r="J114" t="str">
        <f t="shared" si="9"/>
        <v>1024012_30</v>
      </c>
      <c r="K114"/>
      <c r="L114" t="str">
        <f t="shared" si="5"/>
        <v>1024011_30|1024012_30</v>
      </c>
      <c r="M114"/>
      <c r="N114"/>
    </row>
    <row r="115" spans="4:14">
      <c r="D115"/>
      <c r="E115"/>
      <c r="F115"/>
      <c r="G115">
        <f>G112*5</f>
        <v>50</v>
      </c>
      <c r="H115">
        <f>H112*5</f>
        <v>50</v>
      </c>
      <c r="I115" t="str">
        <f t="shared" si="8"/>
        <v>1024011_50</v>
      </c>
      <c r="J115" t="str">
        <f t="shared" si="9"/>
        <v>1024012_50</v>
      </c>
      <c r="K115"/>
      <c r="L115" t="str">
        <f t="shared" si="5"/>
        <v>1024011_50|1024012_50</v>
      </c>
      <c r="M115"/>
      <c r="N115"/>
    </row>
    <row r="116" spans="4:14">
      <c r="D116"/>
      <c r="E116"/>
      <c r="F116"/>
      <c r="G116">
        <f>G112*8</f>
        <v>80</v>
      </c>
      <c r="H116">
        <f>H112*8</f>
        <v>80</v>
      </c>
      <c r="I116" t="str">
        <f t="shared" si="8"/>
        <v>1024011_80</v>
      </c>
      <c r="J116" t="str">
        <f t="shared" si="9"/>
        <v>1024012_80</v>
      </c>
      <c r="K116"/>
      <c r="L116" t="str">
        <f t="shared" si="5"/>
        <v>1024011_80|1024012_80</v>
      </c>
      <c r="M116"/>
      <c r="N116"/>
    </row>
    <row r="117" spans="4:14">
      <c r="D117"/>
      <c r="E117"/>
      <c r="F117"/>
      <c r="G117">
        <f>G112*10</f>
        <v>100</v>
      </c>
      <c r="H117">
        <f>H112*10</f>
        <v>100</v>
      </c>
      <c r="I117" t="str">
        <f t="shared" si="8"/>
        <v>1024011_100</v>
      </c>
      <c r="J117" t="str">
        <f t="shared" si="9"/>
        <v>1024012_100</v>
      </c>
      <c r="K117"/>
      <c r="L117" t="str">
        <f t="shared" si="5"/>
        <v>1024011_100|1024012_100</v>
      </c>
      <c r="M117"/>
      <c r="N117"/>
    </row>
    <row r="118" spans="4:14">
      <c r="D118"/>
      <c r="E118"/>
      <c r="F118"/>
      <c r="G118">
        <f>G112*15</f>
        <v>150</v>
      </c>
      <c r="H118">
        <f>H112*15</f>
        <v>150</v>
      </c>
      <c r="I118" t="str">
        <f t="shared" si="8"/>
        <v>1024011_150</v>
      </c>
      <c r="J118" t="str">
        <f t="shared" si="9"/>
        <v>1024012_150</v>
      </c>
      <c r="K118"/>
      <c r="L118" t="str">
        <f t="shared" si="5"/>
        <v>1024011_150|1024012_150</v>
      </c>
      <c r="M118"/>
      <c r="N118"/>
    </row>
    <row r="119" spans="4:14">
      <c r="D119"/>
      <c r="E119"/>
      <c r="F119"/>
      <c r="G119">
        <f>G112*20</f>
        <v>200</v>
      </c>
      <c r="H119">
        <f>H112*20</f>
        <v>200</v>
      </c>
      <c r="I119" t="str">
        <f t="shared" si="8"/>
        <v>1024011_200</v>
      </c>
      <c r="J119" t="str">
        <f t="shared" si="9"/>
        <v>1024012_200</v>
      </c>
      <c r="K119"/>
      <c r="L119" t="str">
        <f t="shared" ref="L119:L129" si="10">_xlfn.TEXTJOIN("|",TRUE,I119:J119)</f>
        <v>1024011_200|1024012_200</v>
      </c>
      <c r="M119"/>
      <c r="N119"/>
    </row>
    <row r="120" spans="4:14">
      <c r="D120"/>
      <c r="E120"/>
      <c r="F120"/>
      <c r="G120">
        <f>G112*25</f>
        <v>250</v>
      </c>
      <c r="H120">
        <f>H112*25</f>
        <v>250</v>
      </c>
      <c r="I120" t="str">
        <f t="shared" si="8"/>
        <v>1024011_250</v>
      </c>
      <c r="J120" t="str">
        <f t="shared" si="9"/>
        <v>1024012_250</v>
      </c>
      <c r="K120"/>
      <c r="L120" t="str">
        <f t="shared" si="10"/>
        <v>1024011_250|1024012_250</v>
      </c>
      <c r="M120"/>
      <c r="N120"/>
    </row>
    <row r="121" spans="4:14">
      <c r="D121"/>
      <c r="E121"/>
      <c r="F121"/>
      <c r="G121">
        <f>G112*30</f>
        <v>300</v>
      </c>
      <c r="H121">
        <f>H112*30</f>
        <v>300</v>
      </c>
      <c r="I121" t="str">
        <f t="shared" si="8"/>
        <v>1024011_300</v>
      </c>
      <c r="J121" t="str">
        <f t="shared" si="9"/>
        <v>1024012_300</v>
      </c>
      <c r="K121"/>
      <c r="L121" t="str">
        <f t="shared" si="10"/>
        <v>1024011_300|1024012_300</v>
      </c>
      <c r="M121"/>
      <c r="N121"/>
    </row>
    <row r="122" spans="4:14">
      <c r="D122"/>
      <c r="E122"/>
      <c r="F122"/>
      <c r="G122">
        <f>G112*40</f>
        <v>400</v>
      </c>
      <c r="H122">
        <f>H112*40</f>
        <v>400</v>
      </c>
      <c r="I122" t="str">
        <f t="shared" si="8"/>
        <v>1024011_400</v>
      </c>
      <c r="J122" t="str">
        <f t="shared" si="9"/>
        <v>1024012_400</v>
      </c>
      <c r="K122"/>
      <c r="L122" t="str">
        <f t="shared" si="10"/>
        <v>1024011_400|1024012_400</v>
      </c>
      <c r="M122"/>
      <c r="N122"/>
    </row>
    <row r="123" spans="4:14">
      <c r="D123"/>
      <c r="E123"/>
      <c r="F123"/>
      <c r="G123">
        <f>G112*50</f>
        <v>500</v>
      </c>
      <c r="H123">
        <f>H112*50</f>
        <v>500</v>
      </c>
      <c r="I123" t="str">
        <f t="shared" si="8"/>
        <v>1024011_500</v>
      </c>
      <c r="J123" t="str">
        <f t="shared" si="9"/>
        <v>1024012_500</v>
      </c>
      <c r="K123"/>
      <c r="L123" t="str">
        <f t="shared" si="10"/>
        <v>1024011_500|1024012_500</v>
      </c>
      <c r="M123"/>
      <c r="N123"/>
    </row>
    <row r="124" spans="4:14">
      <c r="D124"/>
      <c r="E124"/>
      <c r="F124"/>
      <c r="G124">
        <v>50</v>
      </c>
      <c r="H124">
        <v>50</v>
      </c>
      <c r="I124" t="str">
        <f t="shared" si="8"/>
        <v>1024011_50</v>
      </c>
      <c r="J124" t="str">
        <f t="shared" si="9"/>
        <v>1024012_50</v>
      </c>
      <c r="K124"/>
      <c r="L124" t="str">
        <f t="shared" si="10"/>
        <v>1024011_50|1024012_50</v>
      </c>
      <c r="M124"/>
      <c r="N124"/>
    </row>
    <row r="125" spans="4:14">
      <c r="D125"/>
      <c r="E125"/>
      <c r="F125"/>
      <c r="G125">
        <f>G124*2</f>
        <v>100</v>
      </c>
      <c r="H125">
        <f>H124*2</f>
        <v>100</v>
      </c>
      <c r="I125" t="str">
        <f t="shared" si="8"/>
        <v>1024011_100</v>
      </c>
      <c r="J125" t="str">
        <f t="shared" si="9"/>
        <v>1024012_100</v>
      </c>
      <c r="K125"/>
      <c r="L125" t="str">
        <f t="shared" si="10"/>
        <v>1024011_100|1024012_100</v>
      </c>
      <c r="M125"/>
      <c r="N125"/>
    </row>
    <row r="126" spans="4:14">
      <c r="D126"/>
      <c r="E126"/>
      <c r="F126"/>
      <c r="G126">
        <f>G124*4</f>
        <v>200</v>
      </c>
      <c r="H126">
        <f>H124*4</f>
        <v>200</v>
      </c>
      <c r="I126" t="str">
        <f t="shared" si="8"/>
        <v>1024011_200</v>
      </c>
      <c r="J126" t="str">
        <f t="shared" si="9"/>
        <v>1024012_200</v>
      </c>
      <c r="K126"/>
      <c r="L126" t="str">
        <f t="shared" si="10"/>
        <v>1024011_200|1024012_200</v>
      </c>
      <c r="M126"/>
      <c r="N126"/>
    </row>
    <row r="127" spans="4:14">
      <c r="D127"/>
      <c r="E127"/>
      <c r="F127"/>
      <c r="G127">
        <f>G124*6</f>
        <v>300</v>
      </c>
      <c r="H127">
        <f>H124*6</f>
        <v>300</v>
      </c>
      <c r="I127" t="str">
        <f t="shared" si="8"/>
        <v>1024011_300</v>
      </c>
      <c r="J127" t="str">
        <f t="shared" si="9"/>
        <v>1024012_300</v>
      </c>
      <c r="K127"/>
      <c r="L127" t="str">
        <f t="shared" si="10"/>
        <v>1024011_300|1024012_300</v>
      </c>
      <c r="M127"/>
      <c r="N127"/>
    </row>
    <row r="128" spans="4:14">
      <c r="D128"/>
      <c r="E128"/>
      <c r="F128"/>
      <c r="G128">
        <f>G124*10</f>
        <v>500</v>
      </c>
      <c r="H128">
        <f>H124*10</f>
        <v>500</v>
      </c>
      <c r="I128" t="str">
        <f t="shared" si="8"/>
        <v>1024011_500</v>
      </c>
      <c r="J128" t="str">
        <f t="shared" si="9"/>
        <v>1024012_500</v>
      </c>
      <c r="K128"/>
      <c r="L128" t="str">
        <f t="shared" si="10"/>
        <v>1024011_500|1024012_500</v>
      </c>
      <c r="M128"/>
      <c r="N128"/>
    </row>
    <row r="129" spans="4:14">
      <c r="D129"/>
      <c r="E129"/>
      <c r="F129"/>
      <c r="G129">
        <f>G124*20</f>
        <v>1000</v>
      </c>
      <c r="H129">
        <f>H124*20</f>
        <v>1000</v>
      </c>
      <c r="I129" t="str">
        <f t="shared" si="8"/>
        <v>1024011_1000</v>
      </c>
      <c r="J129" t="str">
        <f t="shared" si="9"/>
        <v>1024012_1000</v>
      </c>
      <c r="K129"/>
      <c r="L129" t="str">
        <f t="shared" si="10"/>
        <v>1024011_1000|1024012_1000</v>
      </c>
      <c r="M129"/>
      <c r="N129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"/>
  <sheetViews>
    <sheetView topLeftCell="A46" workbookViewId="0">
      <selection activeCell="E59" sqref="E59"/>
    </sheetView>
  </sheetViews>
  <sheetFormatPr defaultColWidth="9" defaultRowHeight="16.5"/>
  <cols>
    <col min="11" max="12" width="14.5" style="5" customWidth="1"/>
  </cols>
  <sheetData>
    <row r="1" spans="1:12">
      <c r="A1" s="6">
        <v>70001</v>
      </c>
      <c r="B1" s="4" t="s">
        <v>1222</v>
      </c>
      <c r="K1" s="7"/>
      <c r="L1" s="7"/>
    </row>
    <row r="2" spans="1:12">
      <c r="A2" s="8">
        <v>70002</v>
      </c>
      <c r="B2" s="4" t="s">
        <v>1237</v>
      </c>
      <c r="K2" s="9"/>
      <c r="L2" s="9"/>
    </row>
    <row r="3" spans="1:12">
      <c r="A3" s="8">
        <v>70003</v>
      </c>
      <c r="B3" s="4" t="s">
        <v>1238</v>
      </c>
      <c r="K3" s="7"/>
      <c r="L3" s="7"/>
    </row>
    <row r="4" spans="1:12">
      <c r="A4" s="8">
        <v>70004</v>
      </c>
      <c r="B4" s="4" t="s">
        <v>1239</v>
      </c>
      <c r="K4" s="7"/>
      <c r="L4" s="7"/>
    </row>
    <row r="5" spans="1:12">
      <c r="A5" s="8">
        <v>70005</v>
      </c>
      <c r="B5" s="4" t="s">
        <v>1240</v>
      </c>
      <c r="K5" s="10" t="s">
        <v>1241</v>
      </c>
      <c r="L5" s="10" t="e">
        <f>_xlfn.XLOOKUP(K5,[1]jumpData!$F:$F,[1]jumpData!$A:$A)</f>
        <v>#N/A</v>
      </c>
    </row>
    <row r="6" spans="1:12">
      <c r="A6" s="8">
        <v>70006</v>
      </c>
      <c r="B6" s="4" t="s">
        <v>1242</v>
      </c>
      <c r="K6" s="10" t="s">
        <v>1241</v>
      </c>
      <c r="L6" s="10" t="e">
        <f>_xlfn.XLOOKUP(K6,[1]jumpData!$F:$F,[1]jumpData!$A:$A)</f>
        <v>#N/A</v>
      </c>
    </row>
    <row r="7" spans="1:12">
      <c r="A7" s="8">
        <v>70007</v>
      </c>
      <c r="B7" s="4" t="s">
        <v>1243</v>
      </c>
      <c r="K7" s="10" t="s">
        <v>1241</v>
      </c>
      <c r="L7" s="10" t="e">
        <f>_xlfn.XLOOKUP(K7,[1]jumpData!$F:$F,[1]jumpData!$A:$A)</f>
        <v>#N/A</v>
      </c>
    </row>
    <row r="8" spans="1:12">
      <c r="A8" s="8">
        <v>70008</v>
      </c>
      <c r="B8" s="4" t="s">
        <v>1212</v>
      </c>
      <c r="K8" s="10" t="s">
        <v>1241</v>
      </c>
      <c r="L8" s="10" t="e">
        <f>_xlfn.XLOOKUP(K8,[1]jumpData!$F:$F,[1]jumpData!$A:$A)</f>
        <v>#N/A</v>
      </c>
    </row>
    <row r="9" spans="1:12">
      <c r="A9" s="6">
        <v>70009</v>
      </c>
      <c r="B9" s="4" t="s">
        <v>1244</v>
      </c>
      <c r="K9" s="10" t="s">
        <v>1241</v>
      </c>
      <c r="L9" s="10" t="e">
        <f>_xlfn.XLOOKUP(K9,[1]jumpData!$F:$F,[1]jumpData!$A:$A)</f>
        <v>#N/A</v>
      </c>
    </row>
    <row r="10" spans="1:12">
      <c r="A10" s="8">
        <v>70010</v>
      </c>
      <c r="B10" s="4" t="s">
        <v>1245</v>
      </c>
      <c r="K10" s="10" t="s">
        <v>1241</v>
      </c>
      <c r="L10" s="10" t="e">
        <f>_xlfn.XLOOKUP(K10,[1]jumpData!$F:$F,[1]jumpData!$A:$A)</f>
        <v>#N/A</v>
      </c>
    </row>
    <row r="11" spans="1:12">
      <c r="A11" s="6">
        <v>70101</v>
      </c>
      <c r="B11" s="4" t="s">
        <v>1246</v>
      </c>
      <c r="K11" s="10" t="s">
        <v>1241</v>
      </c>
      <c r="L11" s="10" t="e">
        <f>_xlfn.XLOOKUP(K11,[1]jumpData!$F:$F,[1]jumpData!$A:$A)</f>
        <v>#N/A</v>
      </c>
    </row>
    <row r="12" spans="1:12">
      <c r="A12" s="6">
        <v>70102</v>
      </c>
      <c r="B12" s="4" t="s">
        <v>1247</v>
      </c>
      <c r="K12" s="10" t="s">
        <v>1248</v>
      </c>
      <c r="L12" s="10" t="e">
        <f>_xlfn.XLOOKUP(K12,[1]jumpData!$F:$F,[1]jumpData!$A:$A)</f>
        <v>#N/A</v>
      </c>
    </row>
    <row r="13" spans="1:12">
      <c r="A13" s="6">
        <v>70103</v>
      </c>
      <c r="B13" s="4" t="s">
        <v>1249</v>
      </c>
      <c r="K13" s="10" t="s">
        <v>1248</v>
      </c>
      <c r="L13" s="10" t="e">
        <f>_xlfn.XLOOKUP(K13,[1]jumpData!$F:$F,[1]jumpData!$A:$A)</f>
        <v>#N/A</v>
      </c>
    </row>
    <row r="14" spans="1:12">
      <c r="A14" s="6">
        <v>70104</v>
      </c>
      <c r="B14" s="4" t="s">
        <v>1250</v>
      </c>
      <c r="K14" s="10" t="s">
        <v>88</v>
      </c>
      <c r="L14" s="10" t="e">
        <f>_xlfn.XLOOKUP(K14,[1]jumpData!$F:$F,[1]jumpData!$A:$A)</f>
        <v>#N/A</v>
      </c>
    </row>
    <row r="15" spans="1:12">
      <c r="A15" s="6">
        <v>70301</v>
      </c>
      <c r="B15" s="4" t="s">
        <v>1251</v>
      </c>
      <c r="K15" s="10" t="s">
        <v>99</v>
      </c>
      <c r="L15" s="10" t="e">
        <f>_xlfn.XLOOKUP(K15,[1]jumpData!$F:$F,[1]jumpData!$A:$A)</f>
        <v>#N/A</v>
      </c>
    </row>
    <row r="16" spans="1:12">
      <c r="A16" s="6">
        <v>70302</v>
      </c>
      <c r="B16" s="4" t="s">
        <v>1252</v>
      </c>
      <c r="K16" s="10" t="s">
        <v>1248</v>
      </c>
      <c r="L16" s="10" t="e">
        <f>_xlfn.XLOOKUP(K16,[1]jumpData!$F:$F,[1]jumpData!$A:$A)</f>
        <v>#N/A</v>
      </c>
    </row>
    <row r="17" spans="1:12">
      <c r="A17" s="6">
        <v>70303</v>
      </c>
      <c r="B17" s="4" t="s">
        <v>1253</v>
      </c>
      <c r="K17" s="10" t="s">
        <v>99</v>
      </c>
      <c r="L17" s="10" t="e">
        <f>_xlfn.XLOOKUP(K17,[1]jumpData!$F:$F,[1]jumpData!$A:$A)</f>
        <v>#N/A</v>
      </c>
    </row>
    <row r="18" spans="1:12">
      <c r="A18" s="6">
        <v>70304</v>
      </c>
      <c r="B18" s="4" t="s">
        <v>1254</v>
      </c>
      <c r="K18" s="10" t="s">
        <v>99</v>
      </c>
      <c r="L18" s="10" t="e">
        <f>_xlfn.XLOOKUP(K18,[1]jumpData!$F:$F,[1]jumpData!$A:$A)</f>
        <v>#N/A</v>
      </c>
    </row>
    <row r="19" spans="1:12">
      <c r="A19" s="6">
        <v>70305</v>
      </c>
      <c r="B19" s="4" t="s">
        <v>1255</v>
      </c>
      <c r="K19" s="10" t="s">
        <v>99</v>
      </c>
      <c r="L19" s="10" t="e">
        <f>_xlfn.XLOOKUP(K19,[1]jumpData!$F:$F,[1]jumpData!$A:$A)</f>
        <v>#N/A</v>
      </c>
    </row>
    <row r="20" spans="1:12">
      <c r="A20" s="6">
        <v>70306</v>
      </c>
      <c r="B20" s="4" t="s">
        <v>1256</v>
      </c>
      <c r="K20" s="10" t="s">
        <v>88</v>
      </c>
      <c r="L20" s="10" t="e">
        <f>_xlfn.XLOOKUP(K20,[1]jumpData!$F:$F,[1]jumpData!$A:$A)</f>
        <v>#N/A</v>
      </c>
    </row>
    <row r="21" spans="1:12">
      <c r="A21" s="6">
        <v>70307</v>
      </c>
      <c r="B21" s="4" t="s">
        <v>1257</v>
      </c>
      <c r="K21" s="10" t="s">
        <v>88</v>
      </c>
      <c r="L21" s="10" t="e">
        <f>_xlfn.XLOOKUP(K21,[1]jumpData!$F:$F,[1]jumpData!$A:$A)</f>
        <v>#N/A</v>
      </c>
    </row>
    <row r="22" spans="1:12">
      <c r="A22" s="6">
        <v>70308</v>
      </c>
      <c r="B22" s="4" t="s">
        <v>1258</v>
      </c>
      <c r="K22" s="10" t="s">
        <v>88</v>
      </c>
      <c r="L22" s="10" t="e">
        <f>_xlfn.XLOOKUP(K22,[1]jumpData!$F:$F,[1]jumpData!$A:$A)</f>
        <v>#N/A</v>
      </c>
    </row>
    <row r="23" spans="1:12">
      <c r="A23" s="6">
        <v>70309</v>
      </c>
      <c r="B23" s="4" t="s">
        <v>1259</v>
      </c>
      <c r="K23" s="10" t="s">
        <v>108</v>
      </c>
      <c r="L23" s="10" t="e">
        <f>_xlfn.XLOOKUP(K23,[1]jumpData!$F:$F,[1]jumpData!$A:$A)</f>
        <v>#N/A</v>
      </c>
    </row>
    <row r="24" spans="1:12">
      <c r="A24" s="6">
        <v>70310</v>
      </c>
      <c r="B24" s="4" t="s">
        <v>1260</v>
      </c>
      <c r="K24" s="10" t="s">
        <v>108</v>
      </c>
      <c r="L24" s="10" t="e">
        <f>_xlfn.XLOOKUP(K24,[1]jumpData!$F:$F,[1]jumpData!$A:$A)</f>
        <v>#N/A</v>
      </c>
    </row>
    <row r="25" spans="1:12">
      <c r="A25" s="6">
        <v>70311</v>
      </c>
      <c r="B25" s="4" t="s">
        <v>1261</v>
      </c>
      <c r="K25" s="10" t="s">
        <v>108</v>
      </c>
      <c r="L25" s="10" t="e">
        <f>_xlfn.XLOOKUP(K25,[1]jumpData!$F:$F,[1]jumpData!$A:$A)</f>
        <v>#N/A</v>
      </c>
    </row>
    <row r="26" spans="1:12">
      <c r="A26" s="6">
        <v>70312</v>
      </c>
      <c r="B26" s="4" t="s">
        <v>1262</v>
      </c>
      <c r="K26" s="10" t="s">
        <v>117</v>
      </c>
      <c r="L26" s="10" t="e">
        <f>_xlfn.XLOOKUP(K26,[1]jumpData!$F:$F,[1]jumpData!$A:$A)</f>
        <v>#N/A</v>
      </c>
    </row>
    <row r="27" spans="1:12">
      <c r="A27" s="6">
        <v>70381</v>
      </c>
      <c r="B27" s="4" t="s">
        <v>1263</v>
      </c>
      <c r="K27" s="10" t="s">
        <v>117</v>
      </c>
      <c r="L27" s="10" t="e">
        <f>_xlfn.XLOOKUP(K27,[1]jumpData!$F:$F,[1]jumpData!$A:$A)</f>
        <v>#N/A</v>
      </c>
    </row>
    <row r="28" spans="1:12">
      <c r="A28" s="6">
        <v>70382</v>
      </c>
      <c r="B28" s="4" t="s">
        <v>1264</v>
      </c>
      <c r="K28" s="10" t="s">
        <v>117</v>
      </c>
      <c r="L28" s="10" t="e">
        <f>_xlfn.XLOOKUP(K28,[1]jumpData!$F:$F,[1]jumpData!$A:$A)</f>
        <v>#N/A</v>
      </c>
    </row>
    <row r="29" spans="1:12">
      <c r="A29" s="6">
        <v>70383</v>
      </c>
      <c r="B29" s="4" t="s">
        <v>1265</v>
      </c>
      <c r="K29" s="10" t="s">
        <v>108</v>
      </c>
      <c r="L29" s="10" t="e">
        <f>_xlfn.XLOOKUP(K29,[1]jumpData!$F:$F,[1]jumpData!$A:$A)</f>
        <v>#N/A</v>
      </c>
    </row>
    <row r="30" spans="1:12">
      <c r="A30" s="6">
        <v>70391</v>
      </c>
      <c r="B30" s="4" t="s">
        <v>1266</v>
      </c>
      <c r="K30" s="10" t="s">
        <v>108</v>
      </c>
      <c r="L30" s="10" t="e">
        <f>_xlfn.XLOOKUP(K30,[1]jumpData!$F:$F,[1]jumpData!$A:$A)</f>
        <v>#N/A</v>
      </c>
    </row>
    <row r="31" spans="1:12">
      <c r="A31" s="6">
        <v>70392</v>
      </c>
      <c r="B31" s="4" t="s">
        <v>1267</v>
      </c>
      <c r="K31" s="10" t="s">
        <v>108</v>
      </c>
      <c r="L31" s="10" t="e">
        <f>_xlfn.XLOOKUP(K31,[1]jumpData!$F:$F,[1]jumpData!$A:$A)</f>
        <v>#N/A</v>
      </c>
    </row>
    <row r="32" spans="1:12">
      <c r="A32" s="6">
        <v>70393</v>
      </c>
      <c r="B32" s="4" t="s">
        <v>1268</v>
      </c>
      <c r="K32" s="10" t="s">
        <v>108</v>
      </c>
      <c r="L32" s="10" t="e">
        <f>_xlfn.XLOOKUP(K32,[1]jumpData!$F:$F,[1]jumpData!$A:$A)</f>
        <v>#N/A</v>
      </c>
    </row>
    <row r="33" spans="1:12">
      <c r="A33" s="6">
        <v>71101</v>
      </c>
      <c r="B33" s="4" t="s">
        <v>1226</v>
      </c>
      <c r="K33" s="10" t="s">
        <v>1269</v>
      </c>
      <c r="L33" s="10" t="e">
        <f>_xlfn.XLOOKUP(K33,[1]jumpData!$F:$F,[1]jumpData!$A:$A)</f>
        <v>#N/A</v>
      </c>
    </row>
    <row r="34" spans="1:12">
      <c r="A34" s="6">
        <v>71102</v>
      </c>
      <c r="B34" s="4" t="s">
        <v>1229</v>
      </c>
      <c r="K34" s="10" t="s">
        <v>1269</v>
      </c>
      <c r="L34" s="10" t="e">
        <f>_xlfn.XLOOKUP(K34,[1]jumpData!$F:$F,[1]jumpData!$A:$A)</f>
        <v>#N/A</v>
      </c>
    </row>
    <row r="35" spans="1:12">
      <c r="A35" s="6">
        <v>71103</v>
      </c>
      <c r="B35" s="4" t="s">
        <v>1232</v>
      </c>
      <c r="K35" s="10" t="s">
        <v>1269</v>
      </c>
      <c r="L35" s="10" t="e">
        <f>_xlfn.XLOOKUP(K35,[1]jumpData!$F:$F,[1]jumpData!$A:$A)</f>
        <v>#N/A</v>
      </c>
    </row>
    <row r="36" spans="1:12">
      <c r="A36" s="6">
        <v>71201</v>
      </c>
      <c r="B36" s="4" t="s">
        <v>1270</v>
      </c>
      <c r="K36" s="10" t="s">
        <v>1269</v>
      </c>
      <c r="L36" s="10" t="e">
        <f>_xlfn.XLOOKUP(K36,[1]jumpData!$F:$F,[1]jumpData!$A:$A)</f>
        <v>#N/A</v>
      </c>
    </row>
    <row r="37" spans="1:12">
      <c r="A37" s="6">
        <v>71202</v>
      </c>
      <c r="B37" s="4" t="s">
        <v>1271</v>
      </c>
      <c r="K37" s="10" t="s">
        <v>1133</v>
      </c>
      <c r="L37" s="10" t="e">
        <f>_xlfn.XLOOKUP(K37,[1]jumpData!$F:$F,[1]jumpData!$A:$A)</f>
        <v>#N/A</v>
      </c>
    </row>
    <row r="38" spans="1:12">
      <c r="A38" s="6">
        <v>72011</v>
      </c>
      <c r="B38" s="4" t="s">
        <v>1272</v>
      </c>
      <c r="K38" s="10" t="s">
        <v>1133</v>
      </c>
      <c r="L38" s="10" t="e">
        <f>_xlfn.XLOOKUP(K38,[1]jumpData!$F:$F,[1]jumpData!$A:$A)</f>
        <v>#N/A</v>
      </c>
    </row>
    <row r="39" spans="1:12">
      <c r="A39" s="6">
        <v>72012</v>
      </c>
      <c r="B39" s="4" t="s">
        <v>1273</v>
      </c>
      <c r="K39" s="10" t="s">
        <v>1133</v>
      </c>
      <c r="L39" s="10" t="e">
        <f>_xlfn.XLOOKUP(K39,[1]jumpData!$F:$F,[1]jumpData!$A:$A)</f>
        <v>#N/A</v>
      </c>
    </row>
    <row r="40" spans="1:12">
      <c r="A40" s="6">
        <v>72101</v>
      </c>
      <c r="B40" s="4" t="s">
        <v>1215</v>
      </c>
      <c r="K40" s="10" t="s">
        <v>1248</v>
      </c>
      <c r="L40" s="10" t="e">
        <f>_xlfn.XLOOKUP(K40,[1]jumpData!$F:$F,[1]jumpData!$A:$A)</f>
        <v>#N/A</v>
      </c>
    </row>
    <row r="41" spans="1:12">
      <c r="A41" s="6">
        <v>72102</v>
      </c>
      <c r="B41" s="4" t="s">
        <v>1218</v>
      </c>
      <c r="K41" s="10" t="s">
        <v>99</v>
      </c>
      <c r="L41" s="10" t="e">
        <f>_xlfn.XLOOKUP(K41,[1]jumpData!$F:$F,[1]jumpData!$A:$A)</f>
        <v>#N/A</v>
      </c>
    </row>
    <row r="42" spans="1:12">
      <c r="K42" s="10" t="s">
        <v>88</v>
      </c>
      <c r="L42" s="10" t="e">
        <f>_xlfn.XLOOKUP(K42,[1]jumpData!$F:$F,[1]jumpData!$A:$A)</f>
        <v>#N/A</v>
      </c>
    </row>
    <row r="43" spans="1:12">
      <c r="K43" s="10" t="s">
        <v>108</v>
      </c>
      <c r="L43" s="10" t="e">
        <f>_xlfn.XLOOKUP(K43,[1]jumpData!$F:$F,[1]jumpData!$A:$A)</f>
        <v>#N/A</v>
      </c>
    </row>
    <row r="44" spans="1:12">
      <c r="K44" s="10" t="s">
        <v>117</v>
      </c>
      <c r="L44" s="10" t="e">
        <f>_xlfn.XLOOKUP(K44,[1]jumpData!$F:$F,[1]jumpData!$A:$A)</f>
        <v>#N/A</v>
      </c>
    </row>
    <row r="45" spans="1:12">
      <c r="K45" s="10" t="s">
        <v>108</v>
      </c>
      <c r="L45" s="10" t="e">
        <f>_xlfn.XLOOKUP(K45,[1]jumpData!$F:$F,[1]jumpData!$A:$A)</f>
        <v>#N/A</v>
      </c>
    </row>
    <row r="46" spans="1:12">
      <c r="K46" s="11"/>
      <c r="L46" s="10" t="str">
        <f>_xlfn.XLOOKUP(K46,[1]jumpData!$F:$F,[1]jumpData!$A:$A)</f>
        <v>跳转ID</v>
      </c>
    </row>
    <row r="47" spans="1:12">
      <c r="K47" s="11"/>
      <c r="L47" s="10" t="str">
        <f>_xlfn.XLOOKUP(K47,[1]jumpData!$F:$F,[1]jumpData!$A:$A)</f>
        <v>跳转ID</v>
      </c>
    </row>
    <row r="48" spans="1:12">
      <c r="K48" s="11"/>
      <c r="L48" s="10" t="str">
        <f>_xlfn.XLOOKUP(K48,[1]jumpData!$F:$F,[1]jumpData!$A:$A)</f>
        <v>跳转ID</v>
      </c>
    </row>
    <row r="49" spans="1:22">
      <c r="K49" s="11"/>
      <c r="L49" s="10" t="str">
        <f>_xlfn.XLOOKUP(K49,[1]jumpData!$F:$F,[1]jumpData!$A:$A)</f>
        <v>跳转ID</v>
      </c>
    </row>
    <row r="50" spans="1:22">
      <c r="K50" s="11"/>
      <c r="L50" s="10" t="str">
        <f>_xlfn.XLOOKUP(K50,[1]jumpData!$F:$F,[1]jumpData!$A:$A)</f>
        <v>跳转ID</v>
      </c>
    </row>
    <row r="51" spans="1:22">
      <c r="K51" s="11"/>
      <c r="L51" s="10" t="str">
        <f>_xlfn.XLOOKUP(K51,[1]jumpData!$F:$F,[1]jumpData!$A:$A)</f>
        <v>跳转ID</v>
      </c>
    </row>
    <row r="52" spans="1:22">
      <c r="K52" s="11"/>
      <c r="L52" s="10" t="str">
        <f>_xlfn.XLOOKUP(K52,[1]jumpData!$F:$F,[1]jumpData!$A:$A)</f>
        <v>跳转ID</v>
      </c>
    </row>
    <row r="53" spans="1:22">
      <c r="K53" s="11"/>
      <c r="L53" s="10" t="str">
        <f>_xlfn.XLOOKUP(K53,[1]jumpData!$F:$F,[1]jumpData!$A:$A)</f>
        <v>跳转ID</v>
      </c>
    </row>
    <row r="54" spans="1:22">
      <c r="K54" s="11"/>
      <c r="L54" s="10" t="str">
        <f>_xlfn.XLOOKUP(K54,[1]jumpData!$F:$F,[1]jumpData!$A:$A)</f>
        <v>跳转ID</v>
      </c>
    </row>
    <row r="55" spans="1:22">
      <c r="K55" s="11"/>
      <c r="L55" s="10" t="str">
        <f>_xlfn.XLOOKUP(K55,[1]jumpData!$F:$F,[1]jumpData!$A:$A)</f>
        <v>跳转ID</v>
      </c>
    </row>
    <row r="59" s="3" customFormat="1" spans="1:22">
      <c r="A59" s="12">
        <v>10007</v>
      </c>
      <c r="B59" s="12">
        <v>1</v>
      </c>
      <c r="C59" s="12">
        <v>7</v>
      </c>
      <c r="D59" s="12">
        <f>COUNTIF($C$59:C59,C59)</f>
        <v>1</v>
      </c>
      <c r="E59" s="12" t="s">
        <v>1274</v>
      </c>
      <c r="F59" s="12"/>
      <c r="G59" s="13">
        <v>5</v>
      </c>
      <c r="H59" s="13" t="s">
        <v>46</v>
      </c>
      <c r="I59" s="10">
        <v>2001</v>
      </c>
      <c r="J59" s="10" t="s">
        <v>1275</v>
      </c>
      <c r="K59" s="8"/>
      <c r="L59" s="8">
        <v>70007</v>
      </c>
      <c r="M59" s="4" t="s">
        <v>1243</v>
      </c>
      <c r="N59" s="3" t="s">
        <v>1276</v>
      </c>
      <c r="O59" s="3">
        <v>1000</v>
      </c>
      <c r="R59" s="3">
        <f t="shared" ref="R59:R62" si="0">O59</f>
        <v>1000</v>
      </c>
      <c r="S59" s="14">
        <f t="shared" ref="S59:S62" si="1">O59/7</f>
        <v>142.857142857143</v>
      </c>
      <c r="T59" s="14"/>
      <c r="U59" s="14"/>
      <c r="V59" s="4">
        <f t="shared" ref="V59:V62" si="2">ROUND(MAX(S59/100,T59/100,U59),0)</f>
        <v>1</v>
      </c>
    </row>
    <row r="60" customFormat="1" spans="1:22">
      <c r="A60" s="12">
        <f t="shared" ref="A60:A62" si="3">C60*100+D60</f>
        <v>100038101</v>
      </c>
      <c r="B60" s="12">
        <v>1</v>
      </c>
      <c r="C60" s="12">
        <v>1000381</v>
      </c>
      <c r="D60" s="12">
        <f>COUNTIF($C$59:C60,C60)</f>
        <v>1</v>
      </c>
      <c r="E60" s="12" t="s">
        <v>1277</v>
      </c>
      <c r="F60" s="12"/>
      <c r="G60" s="13">
        <v>10</v>
      </c>
      <c r="H60" s="13" t="s">
        <v>46</v>
      </c>
      <c r="I60" s="10">
        <v>2001</v>
      </c>
      <c r="J60" s="10" t="s">
        <v>1275</v>
      </c>
      <c r="K60" s="8"/>
      <c r="L60" s="8" t="s">
        <v>1278</v>
      </c>
      <c r="M60" s="4" t="s">
        <v>1263</v>
      </c>
      <c r="N60" s="3" t="s">
        <v>1276</v>
      </c>
      <c r="O60" s="3">
        <v>7000</v>
      </c>
      <c r="P60" s="3"/>
      <c r="Q60" s="3"/>
      <c r="R60" s="3">
        <f t="shared" si="0"/>
        <v>7000</v>
      </c>
      <c r="S60" s="14">
        <f t="shared" si="1"/>
        <v>1000</v>
      </c>
      <c r="T60" s="14"/>
      <c r="U60" s="14"/>
      <c r="V60" s="4">
        <f t="shared" si="2"/>
        <v>10</v>
      </c>
    </row>
    <row r="61" customFormat="1" spans="1:22">
      <c r="A61" s="12">
        <f t="shared" si="3"/>
        <v>100038201</v>
      </c>
      <c r="B61" s="12">
        <v>1</v>
      </c>
      <c r="C61" s="12">
        <v>1000382</v>
      </c>
      <c r="D61" s="12">
        <f>COUNTIF($C$59:C61,C61)</f>
        <v>1</v>
      </c>
      <c r="E61" s="12" t="s">
        <v>1279</v>
      </c>
      <c r="F61" s="12"/>
      <c r="G61" s="13">
        <v>100</v>
      </c>
      <c r="H61" s="13" t="s">
        <v>46</v>
      </c>
      <c r="I61" s="10">
        <v>2001</v>
      </c>
      <c r="J61" s="10" t="s">
        <v>1275</v>
      </c>
      <c r="K61" s="8"/>
      <c r="L61" s="8" t="s">
        <v>1280</v>
      </c>
      <c r="M61" s="4" t="s">
        <v>1264</v>
      </c>
      <c r="N61" s="3" t="s">
        <v>1276</v>
      </c>
      <c r="O61" s="3">
        <v>70000</v>
      </c>
      <c r="P61" s="3"/>
      <c r="Q61" s="3"/>
      <c r="R61" s="3">
        <f t="shared" si="0"/>
        <v>70000</v>
      </c>
      <c r="S61" s="14">
        <f t="shared" si="1"/>
        <v>10000</v>
      </c>
      <c r="T61" s="14"/>
      <c r="U61" s="14"/>
      <c r="V61" s="4">
        <f t="shared" si="2"/>
        <v>100</v>
      </c>
    </row>
    <row r="62" customFormat="1" spans="1:22">
      <c r="A62" s="12">
        <f t="shared" si="3"/>
        <v>100038301</v>
      </c>
      <c r="B62" s="12">
        <v>1</v>
      </c>
      <c r="C62" s="12">
        <v>1000383</v>
      </c>
      <c r="D62" s="12">
        <f>COUNTIF($C$59:C62,C62)</f>
        <v>1</v>
      </c>
      <c r="E62" s="12" t="s">
        <v>1281</v>
      </c>
      <c r="F62" s="12"/>
      <c r="G62" s="13">
        <v>1000</v>
      </c>
      <c r="H62" s="13" t="s">
        <v>46</v>
      </c>
      <c r="I62" s="10">
        <v>2001</v>
      </c>
      <c r="J62" s="10" t="s">
        <v>1275</v>
      </c>
      <c r="K62" s="8"/>
      <c r="L62" s="8" t="s">
        <v>1282</v>
      </c>
      <c r="M62" s="4" t="s">
        <v>1265</v>
      </c>
      <c r="N62" s="3" t="s">
        <v>1276</v>
      </c>
      <c r="O62" s="3">
        <v>700000</v>
      </c>
      <c r="P62" s="3"/>
      <c r="Q62" s="3"/>
      <c r="R62" s="3">
        <f t="shared" si="0"/>
        <v>700000</v>
      </c>
      <c r="S62" s="14">
        <f t="shared" si="1"/>
        <v>100000</v>
      </c>
      <c r="T62" s="14"/>
      <c r="U62" s="14"/>
      <c r="V62" s="4">
        <f t="shared" si="2"/>
        <v>1000</v>
      </c>
    </row>
    <row r="63" s="3" customFormat="1" spans="1:22">
      <c r="A63" s="14">
        <v>10027</v>
      </c>
      <c r="B63" s="14">
        <v>1</v>
      </c>
      <c r="C63" s="14">
        <v>7</v>
      </c>
      <c r="D63" s="12">
        <f>COUNTIF($C$63:C63,C63)</f>
        <v>1</v>
      </c>
      <c r="E63" s="14" t="s">
        <v>1274</v>
      </c>
      <c r="F63" s="14"/>
      <c r="G63" s="15">
        <v>10</v>
      </c>
      <c r="H63" s="15" t="s">
        <v>46</v>
      </c>
      <c r="I63" s="11">
        <v>2002</v>
      </c>
      <c r="J63" s="11" t="s">
        <v>1275</v>
      </c>
      <c r="K63" s="16" t="s">
        <v>1283</v>
      </c>
      <c r="L63" s="16">
        <v>70007</v>
      </c>
      <c r="M63" s="4" t="s">
        <v>1243</v>
      </c>
      <c r="P63" s="4"/>
    </row>
    <row r="65" s="4" customFormat="1" spans="1:22">
      <c r="A65" s="14">
        <v>10021</v>
      </c>
      <c r="B65" s="14">
        <v>1</v>
      </c>
      <c r="C65" s="14">
        <v>1</v>
      </c>
      <c r="D65" s="12">
        <f>COUNTIF($C$65:C65,C65)</f>
        <v>1</v>
      </c>
      <c r="E65" s="14" t="s">
        <v>1284</v>
      </c>
      <c r="F65" s="14"/>
      <c r="G65" s="15">
        <v>20</v>
      </c>
      <c r="H65" s="15" t="s">
        <v>46</v>
      </c>
      <c r="I65" s="11">
        <v>1001</v>
      </c>
      <c r="J65" s="11" t="s">
        <v>1285</v>
      </c>
      <c r="K65" s="16" t="s">
        <v>1286</v>
      </c>
      <c r="L65" s="16">
        <v>70001</v>
      </c>
      <c r="M65" s="4" t="s">
        <v>1222</v>
      </c>
      <c r="V65" s="4">
        <f>ROUND(MAX(S65/100,T65/100,U65),0)</f>
        <v>0</v>
      </c>
    </row>
    <row r="66" s="4" customFormat="1" spans="1:22">
      <c r="A66" s="14">
        <v>10022</v>
      </c>
      <c r="B66" s="14">
        <v>1</v>
      </c>
      <c r="C66" s="14">
        <v>2</v>
      </c>
      <c r="D66" s="12">
        <f>COUNTIF($C$65:C66,C66)</f>
        <v>1</v>
      </c>
      <c r="E66" s="14" t="s">
        <v>1287</v>
      </c>
      <c r="F66" s="14"/>
      <c r="G66" s="15">
        <v>100</v>
      </c>
      <c r="H66" s="15" t="s">
        <v>46</v>
      </c>
      <c r="I66" s="11">
        <v>2001</v>
      </c>
      <c r="J66" s="11" t="s">
        <v>1285</v>
      </c>
      <c r="K66" s="16" t="s">
        <v>1283</v>
      </c>
      <c r="L66" s="16">
        <v>70002</v>
      </c>
      <c r="M66" s="4" t="s">
        <v>1288</v>
      </c>
    </row>
    <row r="67" s="4" customFormat="1" spans="1:22">
      <c r="A67" s="14">
        <v>10023</v>
      </c>
      <c r="B67" s="14">
        <v>1</v>
      </c>
      <c r="C67" s="14">
        <v>3</v>
      </c>
      <c r="D67" s="12">
        <f>COUNTIF($C$65:C67,C67)</f>
        <v>1</v>
      </c>
      <c r="E67" s="14" t="s">
        <v>1289</v>
      </c>
      <c r="F67" s="14"/>
      <c r="G67" s="15">
        <v>10</v>
      </c>
      <c r="H67" s="15" t="s">
        <v>46</v>
      </c>
      <c r="I67" s="11">
        <v>2002</v>
      </c>
      <c r="J67" s="11" t="s">
        <v>1290</v>
      </c>
      <c r="K67" s="16" t="s">
        <v>1283</v>
      </c>
      <c r="L67" s="16">
        <v>70003</v>
      </c>
      <c r="M67" s="4" t="s">
        <v>1238</v>
      </c>
    </row>
    <row r="68" s="4" customFormat="1" spans="1:22">
      <c r="A68" s="14">
        <v>10024</v>
      </c>
      <c r="B68" s="14">
        <v>1</v>
      </c>
      <c r="C68" s="14">
        <v>4</v>
      </c>
      <c r="D68" s="12">
        <f>COUNTIF($C$65:C68,C68)</f>
        <v>1</v>
      </c>
      <c r="E68" s="14" t="s">
        <v>1291</v>
      </c>
      <c r="F68" s="14"/>
      <c r="G68" s="15">
        <v>40</v>
      </c>
      <c r="H68" s="15" t="s">
        <v>46</v>
      </c>
      <c r="I68" s="11">
        <v>2003</v>
      </c>
      <c r="J68" s="11" t="s">
        <v>1292</v>
      </c>
      <c r="K68" s="16" t="s">
        <v>1283</v>
      </c>
      <c r="L68" s="16">
        <v>70004</v>
      </c>
      <c r="M68" s="4" t="s">
        <v>1239</v>
      </c>
    </row>
    <row r="69" s="4" customFormat="1" spans="1:22">
      <c r="A69" s="14">
        <v>10025</v>
      </c>
      <c r="B69" s="14">
        <v>1</v>
      </c>
      <c r="C69" s="14">
        <v>5</v>
      </c>
      <c r="D69" s="12">
        <f>COUNTIF($C$65:C69,C69)</f>
        <v>1</v>
      </c>
      <c r="E69" s="14" t="s">
        <v>1293</v>
      </c>
      <c r="F69" s="14"/>
      <c r="G69" s="15">
        <v>10</v>
      </c>
      <c r="H69" s="15" t="s">
        <v>46</v>
      </c>
      <c r="I69" s="11">
        <v>1001</v>
      </c>
      <c r="J69" s="11" t="s">
        <v>1290</v>
      </c>
      <c r="K69" s="16" t="s">
        <v>1283</v>
      </c>
      <c r="L69" s="16">
        <v>70005</v>
      </c>
      <c r="M69" s="4" t="s">
        <v>1240</v>
      </c>
      <c r="N69" s="17"/>
    </row>
    <row r="70" s="4" customFormat="1" spans="1:22">
      <c r="A70" s="14">
        <v>10026</v>
      </c>
      <c r="B70" s="14">
        <v>1</v>
      </c>
      <c r="C70" s="14">
        <v>6</v>
      </c>
      <c r="D70" s="12">
        <f>COUNTIF($C$65:C70,C70)</f>
        <v>1</v>
      </c>
      <c r="E70" s="14" t="s">
        <v>514</v>
      </c>
      <c r="F70" s="14"/>
      <c r="G70" s="15">
        <v>20</v>
      </c>
      <c r="H70" s="15" t="s">
        <v>46</v>
      </c>
      <c r="I70" s="11">
        <v>2001</v>
      </c>
      <c r="J70" s="11" t="s">
        <v>1292</v>
      </c>
      <c r="K70" s="16" t="s">
        <v>1283</v>
      </c>
      <c r="L70" s="16">
        <v>70006</v>
      </c>
      <c r="M70" s="4" t="s">
        <v>1294</v>
      </c>
      <c r="N70" s="17"/>
    </row>
    <row r="71" s="4" customFormat="1" spans="1:22">
      <c r="A71" s="14">
        <v>10028</v>
      </c>
      <c r="B71" s="14">
        <v>1</v>
      </c>
      <c r="C71" s="14">
        <v>8</v>
      </c>
      <c r="D71" s="12">
        <f>COUNTIF($C$65:C71,C71)</f>
        <v>1</v>
      </c>
      <c r="E71" s="14" t="s">
        <v>1210</v>
      </c>
      <c r="F71" s="14"/>
      <c r="G71" s="15">
        <v>5</v>
      </c>
      <c r="H71" s="15" t="s">
        <v>46</v>
      </c>
      <c r="I71" s="11">
        <v>2003</v>
      </c>
      <c r="J71" s="11" t="s">
        <v>1295</v>
      </c>
      <c r="K71" s="16" t="s">
        <v>1283</v>
      </c>
      <c r="L71" s="16">
        <v>70008</v>
      </c>
      <c r="M71" s="4" t="s">
        <v>1212</v>
      </c>
      <c r="N71" s="17"/>
    </row>
    <row r="72" s="4" customFormat="1" spans="1:22">
      <c r="A72" s="14">
        <v>10029</v>
      </c>
      <c r="B72" s="14">
        <v>1</v>
      </c>
      <c r="C72" s="14">
        <v>9</v>
      </c>
      <c r="D72" s="12">
        <f>COUNTIF($C$65:C72,C72)</f>
        <v>1</v>
      </c>
      <c r="E72" s="14" t="s">
        <v>1296</v>
      </c>
      <c r="F72" s="14"/>
      <c r="G72" s="15">
        <v>1</v>
      </c>
      <c r="H72" s="15" t="s">
        <v>46</v>
      </c>
      <c r="I72" s="11">
        <v>1001</v>
      </c>
      <c r="J72" s="11" t="s">
        <v>1297</v>
      </c>
      <c r="K72" s="16" t="s">
        <v>1283</v>
      </c>
      <c r="L72" s="16">
        <v>70009</v>
      </c>
      <c r="M72" s="4" t="s">
        <v>1244</v>
      </c>
      <c r="N72" s="17"/>
    </row>
    <row r="73" s="4" customFormat="1" spans="1:22">
      <c r="A73" s="14">
        <v>10030</v>
      </c>
      <c r="B73" s="14">
        <v>1</v>
      </c>
      <c r="C73" s="14">
        <v>10</v>
      </c>
      <c r="D73" s="12">
        <f>COUNTIF($C$65:C73,C73)</f>
        <v>1</v>
      </c>
      <c r="E73" s="14" t="s">
        <v>1298</v>
      </c>
      <c r="F73" s="14"/>
      <c r="G73" s="15">
        <v>5</v>
      </c>
      <c r="H73" s="15" t="s">
        <v>46</v>
      </c>
      <c r="I73" s="11">
        <v>2001</v>
      </c>
      <c r="J73" s="11" t="s">
        <v>1297</v>
      </c>
      <c r="K73" s="16" t="s">
        <v>1283</v>
      </c>
      <c r="L73" s="16">
        <v>70010</v>
      </c>
      <c r="M73" s="4" t="s">
        <v>1299</v>
      </c>
    </row>
  </sheetData>
  <sortState ref="A1:B41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D9" sqref="D9"/>
    </sheetView>
  </sheetViews>
  <sheetFormatPr defaultColWidth="9" defaultRowHeight="14.25" outlineLevelCol="2"/>
  <cols>
    <col min="1" max="2" width="9" style="1"/>
    <col min="3" max="3" width="25" style="1" customWidth="1"/>
  </cols>
  <sheetData>
    <row r="1" spans="1:3">
      <c r="A1" s="2" t="s">
        <v>11</v>
      </c>
      <c r="B1" s="2" t="s">
        <v>27</v>
      </c>
      <c r="C1" s="2" t="s">
        <v>1300</v>
      </c>
    </row>
    <row r="2" spans="1:3">
      <c r="A2" s="1" t="s">
        <v>1248</v>
      </c>
      <c r="B2" s="1">
        <v>100100</v>
      </c>
      <c r="C2" s="1" t="s">
        <v>1301</v>
      </c>
    </row>
    <row r="3" spans="1:3">
      <c r="A3" s="1" t="s">
        <v>99</v>
      </c>
      <c r="B3" s="1">
        <v>100300</v>
      </c>
      <c r="C3" s="1" t="s">
        <v>97</v>
      </c>
    </row>
    <row r="4" spans="1:3">
      <c r="A4" s="1" t="s">
        <v>88</v>
      </c>
      <c r="B4" s="1">
        <v>100700</v>
      </c>
      <c r="C4" s="1" t="s">
        <v>85</v>
      </c>
    </row>
    <row r="5" spans="1:3">
      <c r="A5" s="1" t="s">
        <v>108</v>
      </c>
      <c r="B5" s="1">
        <v>101200</v>
      </c>
      <c r="C5" s="1" t="s">
        <v>106</v>
      </c>
    </row>
    <row r="6" spans="1:3">
      <c r="A6" s="1" t="s">
        <v>117</v>
      </c>
      <c r="B6" s="1">
        <v>101400</v>
      </c>
      <c r="C6" s="1" t="s">
        <v>115</v>
      </c>
    </row>
    <row r="7" spans="1:3">
      <c r="A7" s="1" t="s">
        <v>138</v>
      </c>
      <c r="B7" s="1">
        <v>101700</v>
      </c>
      <c r="C7" s="1" t="s">
        <v>136</v>
      </c>
    </row>
    <row r="8" spans="1:3">
      <c r="A8" s="1" t="s">
        <v>148</v>
      </c>
      <c r="B8" s="1">
        <v>102100</v>
      </c>
      <c r="C8" s="1" t="s">
        <v>146</v>
      </c>
    </row>
    <row r="9" spans="1:3">
      <c r="A9" s="1" t="s">
        <v>158</v>
      </c>
      <c r="B9" s="1">
        <v>102200</v>
      </c>
      <c r="C9" s="1" t="s">
        <v>156</v>
      </c>
    </row>
    <row r="10" spans="1:3">
      <c r="A10" s="1" t="s">
        <v>167</v>
      </c>
      <c r="B10" s="1">
        <v>102300</v>
      </c>
      <c r="C10" s="1" t="s">
        <v>165</v>
      </c>
    </row>
    <row r="11" spans="1:3">
      <c r="A11" s="1" t="s">
        <v>177</v>
      </c>
      <c r="B11" s="1">
        <v>102400</v>
      </c>
      <c r="C11" s="1" t="s">
        <v>175</v>
      </c>
    </row>
    <row r="12" spans="1:3">
      <c r="A12" s="1" t="s">
        <v>1302</v>
      </c>
      <c r="B12" s="1">
        <v>102500</v>
      </c>
      <c r="C12" s="1" t="s">
        <v>1303</v>
      </c>
    </row>
    <row r="13" spans="1:3">
      <c r="A13" s="1" t="s">
        <v>1304</v>
      </c>
      <c r="B13" s="1">
        <v>200100</v>
      </c>
      <c r="C13" s="1" t="s">
        <v>1305</v>
      </c>
    </row>
    <row r="14" spans="1:3">
      <c r="A14" s="1" t="s">
        <v>1306</v>
      </c>
      <c r="B14" s="1">
        <v>200101</v>
      </c>
      <c r="C14" s="1" t="s">
        <v>1307</v>
      </c>
    </row>
    <row r="15" spans="1:3">
      <c r="A15" s="1" t="s">
        <v>1308</v>
      </c>
      <c r="B15" s="1">
        <v>200300</v>
      </c>
      <c r="C15" s="1" t="s">
        <v>1309</v>
      </c>
    </row>
    <row r="16" spans="1:3">
      <c r="A16" s="1" t="s">
        <v>1310</v>
      </c>
      <c r="B16" s="1">
        <v>200400</v>
      </c>
      <c r="C16" s="1" t="s">
        <v>1311</v>
      </c>
    </row>
    <row r="17" spans="1:3">
      <c r="A17" s="1" t="s">
        <v>1312</v>
      </c>
      <c r="B17" s="1">
        <v>200500</v>
      </c>
      <c r="C17" s="1" t="s">
        <v>1313</v>
      </c>
    </row>
    <row r="18" spans="1:3">
      <c r="A18" s="1" t="s">
        <v>1314</v>
      </c>
      <c r="B18" s="1">
        <v>200600</v>
      </c>
      <c r="C18" s="1" t="s">
        <v>1315</v>
      </c>
    </row>
    <row r="19" spans="1:3">
      <c r="A19" s="1" t="s">
        <v>1316</v>
      </c>
      <c r="B19" s="1">
        <v>200700</v>
      </c>
      <c r="C19" s="1" t="s">
        <v>1317</v>
      </c>
    </row>
    <row r="20" spans="1:3">
      <c r="A20" s="1" t="s">
        <v>1318</v>
      </c>
      <c r="B20" s="1">
        <v>200800</v>
      </c>
      <c r="C20" s="1" t="s">
        <v>1319</v>
      </c>
    </row>
    <row r="21" spans="1:3">
      <c r="A21" s="1" t="s">
        <v>1320</v>
      </c>
      <c r="B21" s="1">
        <v>200900</v>
      </c>
      <c r="C21" s="1" t="s">
        <v>1321</v>
      </c>
    </row>
    <row r="22" spans="1:3">
      <c r="A22" s="1" t="s">
        <v>1322</v>
      </c>
      <c r="B22" s="1">
        <v>300100</v>
      </c>
      <c r="C22" s="1" t="s">
        <v>1323</v>
      </c>
    </row>
    <row r="23" spans="1:3">
      <c r="A23" s="1" t="s">
        <v>1324</v>
      </c>
      <c r="B23" s="1">
        <v>300200</v>
      </c>
      <c r="C23" s="1" t="s">
        <v>1325</v>
      </c>
    </row>
    <row r="24" spans="1:3">
      <c r="A24" s="1" t="s">
        <v>1223</v>
      </c>
      <c r="B24" s="1">
        <v>500000</v>
      </c>
      <c r="C24" s="1" t="s">
        <v>1220</v>
      </c>
    </row>
    <row r="25" spans="1:3">
      <c r="A25" s="1" t="s">
        <v>49</v>
      </c>
      <c r="B25" s="1">
        <v>500001</v>
      </c>
      <c r="C25" s="1" t="s">
        <v>47</v>
      </c>
    </row>
    <row r="26" spans="1:3">
      <c r="A26" s="1" t="s">
        <v>1326</v>
      </c>
      <c r="B26" s="1">
        <v>500002</v>
      </c>
      <c r="C26" s="1" t="s">
        <v>1327</v>
      </c>
    </row>
    <row r="27" spans="1:3">
      <c r="A27" s="1" t="s">
        <v>1328</v>
      </c>
      <c r="B27" s="1">
        <v>500003</v>
      </c>
      <c r="C27" s="1" t="s">
        <v>1329</v>
      </c>
    </row>
    <row r="28" spans="1:3">
      <c r="A28" s="1" t="s">
        <v>1330</v>
      </c>
      <c r="B28" s="1">
        <v>500004</v>
      </c>
      <c r="C28" s="1" t="s">
        <v>618</v>
      </c>
    </row>
    <row r="29" spans="1:3">
      <c r="A29" s="1" t="s">
        <v>1331</v>
      </c>
      <c r="B29" s="1">
        <v>500005</v>
      </c>
      <c r="C29" s="1" t="s">
        <v>1332</v>
      </c>
    </row>
    <row r="30" spans="1:3">
      <c r="A30" s="1" t="s">
        <v>413</v>
      </c>
      <c r="B30" s="1">
        <v>500006</v>
      </c>
      <c r="C30" s="1" t="s">
        <v>411</v>
      </c>
    </row>
    <row r="31" spans="1:3">
      <c r="A31" s="1" t="s">
        <v>128</v>
      </c>
      <c r="B31" s="1">
        <v>500007</v>
      </c>
      <c r="C31" s="1" t="s">
        <v>125</v>
      </c>
    </row>
    <row r="32" spans="1:3">
      <c r="A32" s="1" t="s">
        <v>1133</v>
      </c>
      <c r="B32" s="1">
        <v>600000</v>
      </c>
      <c r="C32" s="1" t="s">
        <v>1211</v>
      </c>
    </row>
    <row r="33" spans="1:3">
      <c r="A33" s="1" t="s">
        <v>1139</v>
      </c>
      <c r="B33" s="1">
        <v>600001</v>
      </c>
      <c r="C33" s="1" t="s">
        <v>1333</v>
      </c>
    </row>
    <row r="34" spans="1:3">
      <c r="A34" s="1" t="s">
        <v>1334</v>
      </c>
      <c r="B34" s="1">
        <v>600002</v>
      </c>
      <c r="C34" s="1" t="s">
        <v>1335</v>
      </c>
    </row>
    <row r="35" spans="1:3">
      <c r="A35" s="1" t="s">
        <v>1135</v>
      </c>
      <c r="B35" s="1">
        <v>600003</v>
      </c>
      <c r="C35" s="1" t="s">
        <v>1336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2025-08-25T03:06:00Z</dcterms:created>
  <dcterms:modified xsi:type="dcterms:W3CDTF">2026-06-26T08:39:57Z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