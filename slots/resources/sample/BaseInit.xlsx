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5F00B03-4F47-441C-91C5-35080DA81AF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Init" sheetId="1" r:id="rId1"/>
  </sheets>
  <calcPr calcId="191029"/>
</workbook>
</file>

<file path=xl/calcChain.xml><?xml version="1.0" encoding="utf-8"?>
<calcChain xmlns="http://schemas.openxmlformats.org/spreadsheetml/2006/main">
  <c r="R9" i="1" l="1"/>
  <c r="P9" i="1"/>
  <c r="R8" i="1"/>
  <c r="P8" i="1"/>
  <c r="R7" i="1"/>
  <c r="P7" i="1"/>
  <c r="R6" i="1"/>
  <c r="P6" i="1"/>
  <c r="R5" i="1"/>
  <c r="P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游戏的ID，唯一码</t>
        </r>
      </text>
    </comment>
    <comment ref="B1" authorId="0" shapeId="0" xr:uid="{00000000-0006-0000-0000-000002000000}">
      <text>
        <r>
          <rPr>
            <b/>
            <sz val="9"/>
            <color rgb="FF000000"/>
            <rFont val="宋体"/>
            <family val="3"/>
            <charset val="134"/>
          </rPr>
          <t xml:space="preserve">Mr.M:
</t>
        </r>
        <r>
          <rPr>
            <sz val="9"/>
            <color rgb="FF000000"/>
            <rFont val="宋体"/>
            <family val="3"/>
            <charset val="134"/>
          </rPr>
          <t>游戏名称，显示在大厅</t>
        </r>
      </text>
    </comment>
    <comment ref="F1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Administrator: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sz val="11"/>
            <color rgb="FF000000"/>
            <rFont val="宋体"/>
            <family val="3"/>
            <charset val="134"/>
          </rPr>
          <t>如果该项目拥有神秘奖池时则需要在此项填写，奖池ID另配奖池专门的配置表
ID1:ID2:ID3
没有则填0</t>
        </r>
      </text>
    </comment>
    <comment ref="I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游戏由多少行组成</t>
        </r>
      </text>
    </comment>
    <comment ref="J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游戏由多少列组成</t>
        </r>
      </text>
    </comment>
    <comment ref="L1" authorId="1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控制押分的系数</t>
        </r>
      </text>
    </comment>
    <comment ref="M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trike/>
            <sz val="9"/>
            <rFont val="宋体"/>
            <family val="3"/>
            <charset val="134"/>
          </rPr>
          <t>每条线使用的金币。满线时代替线数，总押分=单线押分值 X 使用线数</t>
        </r>
        <r>
          <rPr>
            <sz val="9"/>
            <rFont val="宋体"/>
            <family val="3"/>
            <charset val="134"/>
          </rPr>
          <t xml:space="preserve">
控制奖励的系数</t>
        </r>
      </text>
    </comment>
    <comment ref="N1" authorId="0" shapeId="0" xr:uid="{00000000-0006-0000-0000-000009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trike/>
            <sz val="9"/>
            <rFont val="宋体"/>
            <family val="3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family val="3"/>
            <charset val="134"/>
          </rPr>
          <t xml:space="preserve">
满线、满线消除类型的游戏这里都填1</t>
        </r>
      </text>
    </comment>
    <comment ref="P1" authorId="1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总押分     = 单线押分 * 押分倍数 * 线注倍数 * 最大线数 
</t>
        </r>
      </text>
    </comment>
    <comment ref="R1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 shapeId="0" xr:uid="{00000000-0006-0000-0000-00000C000000}">
      <text>
        <r>
          <rPr>
            <sz val="9"/>
            <rFont val="宋体"/>
            <family val="3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<sst xmlns="http://schemas.openxmlformats.org/spreadsheetml/2006/main" count="55" uniqueCount="41">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</sst>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trike/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>
      <alignment vertical="center"/>
    </xf>
    <xf numFmtId="0" fontId="14" fillId="0" borderId="0"/>
  </cellStyleXfs>
  <cellXfs count="16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2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"/>
  <sheetViews>
    <sheetView tabSelected="1" workbookViewId="0">
      <selection activeCell="J13" sqref="J13"/>
    </sheetView>
  </sheetViews>
  <sheetFormatPr defaultColWidth="9" defaultRowHeight="14.25"/>
  <cols>
    <col min="1" max="1" width="9" style="2"/>
    <col min="2" max="2" width="10.5" style="2" customWidth="1"/>
    <col min="3" max="4" width="13.25" style="2" customWidth="1"/>
    <col min="5" max="5" width="24.125" style="2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3" customWidth="1"/>
    <col min="14" max="18" width="9" style="2"/>
    <col min="19" max="19" width="14.125" style="2" customWidth="1"/>
    <col min="20" max="16384" width="9" style="2"/>
  </cols>
  <sheetData>
    <row r="1" spans="1:19" s="1" customFormat="1" ht="21.95" customHeight="1">
      <c r="A1" s="4" t="s">
        <v>0</v>
      </c>
      <c r="B1" s="4" t="s">
        <v>1</v>
      </c>
      <c r="C1" s="4"/>
      <c r="D1" s="4" t="s">
        <v>2</v>
      </c>
      <c r="E1" s="5"/>
      <c r="F1" s="4" t="s">
        <v>3</v>
      </c>
      <c r="G1" s="4"/>
      <c r="H1" s="4" t="s">
        <v>4</v>
      </c>
      <c r="I1" s="4" t="s">
        <v>5</v>
      </c>
      <c r="J1" s="4" t="s">
        <v>6</v>
      </c>
      <c r="K1" s="4"/>
      <c r="L1" s="10" t="s">
        <v>7</v>
      </c>
      <c r="M1" s="10" t="s">
        <v>8</v>
      </c>
      <c r="N1" s="4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4" t="s">
        <v>14</v>
      </c>
    </row>
    <row r="2" spans="1:19" s="1" customFormat="1" ht="16.5">
      <c r="A2" s="6" t="s">
        <v>15</v>
      </c>
      <c r="B2" s="7" t="s">
        <v>15</v>
      </c>
      <c r="C2" s="6"/>
      <c r="D2" s="7" t="s">
        <v>15</v>
      </c>
      <c r="E2" s="7"/>
      <c r="F2" s="7" t="s">
        <v>15</v>
      </c>
      <c r="G2" s="7"/>
      <c r="H2" s="7" t="s">
        <v>16</v>
      </c>
      <c r="I2" s="7" t="s">
        <v>15</v>
      </c>
      <c r="J2" s="7" t="s">
        <v>15</v>
      </c>
      <c r="K2" s="7"/>
      <c r="L2" s="12" t="s">
        <v>17</v>
      </c>
      <c r="M2" s="12" t="s">
        <v>17</v>
      </c>
      <c r="N2" s="7" t="s">
        <v>15</v>
      </c>
      <c r="O2" s="7"/>
      <c r="P2" s="7"/>
      <c r="Q2" s="7"/>
      <c r="R2" s="7"/>
      <c r="S2" s="15" t="s">
        <v>15</v>
      </c>
    </row>
    <row r="3" spans="1:19" s="1" customFormat="1" ht="16.5">
      <c r="A3" s="6" t="s">
        <v>18</v>
      </c>
      <c r="B3" s="6" t="s">
        <v>19</v>
      </c>
      <c r="C3" s="6"/>
      <c r="D3" s="8" t="s">
        <v>20</v>
      </c>
      <c r="E3" s="8"/>
      <c r="F3" s="7" t="s">
        <v>21</v>
      </c>
      <c r="G3" s="7"/>
      <c r="H3" s="7" t="s">
        <v>22</v>
      </c>
      <c r="I3" s="7" t="s">
        <v>23</v>
      </c>
      <c r="J3" s="7" t="s">
        <v>24</v>
      </c>
      <c r="K3" s="7"/>
      <c r="L3" s="12" t="s">
        <v>25</v>
      </c>
      <c r="M3" s="12" t="s">
        <v>26</v>
      </c>
      <c r="N3" s="7" t="s">
        <v>27</v>
      </c>
      <c r="O3" s="7"/>
      <c r="P3" s="7"/>
      <c r="Q3" s="7"/>
      <c r="R3" s="7"/>
      <c r="S3" s="15" t="s">
        <v>28</v>
      </c>
    </row>
    <row r="4" spans="1:19" s="1" customFormat="1" ht="16.5">
      <c r="A4" s="6"/>
      <c r="B4" s="6"/>
      <c r="C4" s="6"/>
      <c r="D4" s="8"/>
      <c r="E4" s="8"/>
      <c r="F4" s="7"/>
      <c r="G4" s="7"/>
      <c r="H4" s="7"/>
      <c r="I4" s="7"/>
      <c r="J4" s="7"/>
      <c r="K4" s="7"/>
      <c r="L4" s="12"/>
      <c r="M4" s="12"/>
      <c r="N4" s="7"/>
      <c r="O4" s="7"/>
      <c r="P4" s="7"/>
      <c r="Q4" s="7"/>
      <c r="R4" s="7"/>
      <c r="S4" s="15"/>
    </row>
    <row r="5" spans="1:19" s="1" customFormat="1" ht="16.5">
      <c r="A5" s="6">
        <v>100100</v>
      </c>
      <c r="B5" s="6">
        <v>100100008</v>
      </c>
      <c r="C5" s="6" t="s">
        <v>29</v>
      </c>
      <c r="D5" s="8">
        <v>1</v>
      </c>
      <c r="E5" s="8" t="s">
        <v>30</v>
      </c>
      <c r="F5" s="7">
        <v>0</v>
      </c>
      <c r="G5" s="7" t="s">
        <v>31</v>
      </c>
      <c r="H5" s="7" t="s">
        <v>32</v>
      </c>
      <c r="I5" s="7">
        <v>4</v>
      </c>
      <c r="J5" s="7">
        <v>5</v>
      </c>
      <c r="K5" s="13" t="s">
        <v>33</v>
      </c>
      <c r="L5" s="12">
        <v>1</v>
      </c>
      <c r="M5" s="12">
        <v>2</v>
      </c>
      <c r="N5" s="7">
        <v>50</v>
      </c>
      <c r="O5" s="7">
        <v>1</v>
      </c>
      <c r="P5" s="7">
        <f t="shared" ref="P5:P8" si="0">N5*M5*L5*O5</f>
        <v>100</v>
      </c>
      <c r="Q5" s="7">
        <v>5</v>
      </c>
      <c r="R5" s="7">
        <f t="shared" ref="R5:R8" si="1">P5*Q5/N5/M5</f>
        <v>5</v>
      </c>
      <c r="S5" s="15">
        <v>1</v>
      </c>
    </row>
    <row r="6" spans="1:19" s="1" customFormat="1" ht="16.5">
      <c r="A6" s="6">
        <v>100300</v>
      </c>
      <c r="B6" s="6">
        <v>100300000</v>
      </c>
      <c r="C6" s="6" t="s">
        <v>34</v>
      </c>
      <c r="D6" s="8">
        <v>1</v>
      </c>
      <c r="E6" s="8" t="s">
        <v>35</v>
      </c>
      <c r="F6" s="7">
        <v>0</v>
      </c>
      <c r="G6" s="7" t="s">
        <v>31</v>
      </c>
      <c r="H6" s="7" t="s">
        <v>36</v>
      </c>
      <c r="I6" s="7">
        <v>3</v>
      </c>
      <c r="J6" s="7">
        <v>3</v>
      </c>
      <c r="K6" s="7"/>
      <c r="L6" s="12">
        <v>1</v>
      </c>
      <c r="M6" s="12">
        <v>1</v>
      </c>
      <c r="N6" s="7">
        <v>1</v>
      </c>
      <c r="O6" s="7">
        <v>1</v>
      </c>
      <c r="P6" s="7">
        <f t="shared" si="0"/>
        <v>1</v>
      </c>
      <c r="Q6" s="7">
        <v>1</v>
      </c>
      <c r="R6" s="7">
        <f t="shared" si="1"/>
        <v>1</v>
      </c>
      <c r="S6" s="15">
        <v>1</v>
      </c>
    </row>
    <row r="7" spans="1:19" s="1" customFormat="1" ht="16.5">
      <c r="A7" s="6">
        <v>100700</v>
      </c>
      <c r="B7" s="6">
        <v>100700000</v>
      </c>
      <c r="C7" s="6" t="s">
        <v>37</v>
      </c>
      <c r="D7" s="8">
        <v>0</v>
      </c>
      <c r="E7" s="8" t="s">
        <v>35</v>
      </c>
      <c r="F7" s="7">
        <v>1</v>
      </c>
      <c r="G7" s="7" t="s">
        <v>38</v>
      </c>
      <c r="H7" s="7">
        <v>0</v>
      </c>
      <c r="I7" s="7">
        <v>4</v>
      </c>
      <c r="J7" s="7">
        <v>5</v>
      </c>
      <c r="K7" s="7"/>
      <c r="L7" s="12">
        <v>1</v>
      </c>
      <c r="M7" s="12">
        <v>1</v>
      </c>
      <c r="N7" s="7">
        <v>15</v>
      </c>
      <c r="O7" s="7">
        <v>1</v>
      </c>
      <c r="P7" s="7">
        <f t="shared" si="0"/>
        <v>15</v>
      </c>
      <c r="Q7" s="7">
        <v>1</v>
      </c>
      <c r="R7" s="7">
        <f>P7*Q7/N7/M7</f>
        <v>1</v>
      </c>
      <c r="S7" s="15">
        <v>1</v>
      </c>
    </row>
    <row r="8" spans="1:19" s="1" customFormat="1" ht="16.5">
      <c r="A8" s="6">
        <v>101200</v>
      </c>
      <c r="B8" s="6">
        <v>101200000</v>
      </c>
      <c r="C8" s="6" t="s">
        <v>39</v>
      </c>
      <c r="D8" s="8">
        <v>1</v>
      </c>
      <c r="E8" s="8" t="s">
        <v>35</v>
      </c>
      <c r="F8" s="7">
        <v>0</v>
      </c>
      <c r="G8" s="7" t="s">
        <v>31</v>
      </c>
      <c r="H8" s="7">
        <v>0</v>
      </c>
      <c r="I8" s="7">
        <v>3</v>
      </c>
      <c r="J8" s="7">
        <v>5</v>
      </c>
      <c r="K8" s="7"/>
      <c r="L8" s="12">
        <v>1</v>
      </c>
      <c r="M8" s="12">
        <v>1</v>
      </c>
      <c r="N8" s="7">
        <v>1</v>
      </c>
      <c r="O8" s="7">
        <v>1</v>
      </c>
      <c r="P8" s="7">
        <f t="shared" si="0"/>
        <v>1</v>
      </c>
      <c r="Q8" s="7">
        <v>1</v>
      </c>
      <c r="R8" s="7">
        <f t="shared" si="1"/>
        <v>1</v>
      </c>
      <c r="S8" s="15">
        <v>1</v>
      </c>
    </row>
    <row r="9" spans="1:19" s="1" customFormat="1" ht="16.5">
      <c r="A9" s="6">
        <v>101400</v>
      </c>
      <c r="B9" s="6">
        <v>101400000</v>
      </c>
      <c r="C9" s="6" t="s">
        <v>40</v>
      </c>
      <c r="D9" s="8">
        <v>0</v>
      </c>
      <c r="E9" s="8" t="s">
        <v>35</v>
      </c>
      <c r="F9" s="7">
        <v>0</v>
      </c>
      <c r="G9" s="7" t="s">
        <v>31</v>
      </c>
      <c r="H9" s="7">
        <v>101400101</v>
      </c>
      <c r="I9" s="7">
        <v>4</v>
      </c>
      <c r="J9" s="7">
        <v>3</v>
      </c>
      <c r="K9" s="7"/>
      <c r="L9" s="12">
        <v>1</v>
      </c>
      <c r="M9" s="12">
        <v>1</v>
      </c>
      <c r="N9" s="7">
        <v>1</v>
      </c>
      <c r="O9" s="7">
        <v>1</v>
      </c>
      <c r="P9" s="7">
        <f>N9*M9*L9*O9</f>
        <v>1</v>
      </c>
      <c r="Q9" s="7">
        <v>1</v>
      </c>
      <c r="R9" s="7">
        <f>P9*Q9/N9/M9</f>
        <v>1</v>
      </c>
      <c r="S9" s="15">
        <v>1</v>
      </c>
    </row>
    <row r="19" spans="8:10">
      <c r="J19" s="14"/>
    </row>
    <row r="20" spans="8:10" ht="16.5">
      <c r="H20" s="9"/>
    </row>
    <row r="21" spans="8:10" ht="16.5">
      <c r="H21" s="9"/>
    </row>
    <row r="22" spans="8:10" ht="16.5">
      <c r="H22" s="9"/>
    </row>
    <row r="23" spans="8:10" ht="16.5">
      <c r="H23" s="9"/>
    </row>
  </sheetData>
  <phoneticPr fontId="15" type="noConversion"/>
  <conditionalFormatting sqref="H20:H22">
    <cfRule type="duplicateValues" dxfId="1" priority="2"/>
  </conditionalFormatting>
  <conditionalFormatting sqref="H23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2025-07-01T03:49:00Z</dcterms:created>
  <dcterms:modified xsi:type="dcterms:W3CDTF">2025-09-08T06:17:14Z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2052-12.1.0.22529</vt:lpwstr>
  </property>
</Properties>
</file>