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<sst xmlns="http://schemas.openxmlformats.org/spreadsheetml/2006/main" count="113" uniqueCount="68">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</sst>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trike/>
      <sz val="9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4"/>
  <sheetViews>
    <sheetView tabSelected="1" zoomScale="85" zoomScaleNormal="85" workbookViewId="0">
      <selection activeCell="N34" sqref="N34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>N5*M5*L5*O5</f>
        <v>100</v>
      </c>
      <c r="Q5" s="11">
        <v>5</v>
      </c>
      <c r="R5" s="11">
        <f t="shared" ref="R5:R16" si="0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ref="P6:P23" si="1">N6*M6*L6*O6</f>
        <v>1</v>
      </c>
      <c r="Q6" s="11">
        <v>1</v>
      </c>
      <c r="R6" s="11">
        <f t="shared" si="0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1"/>
        <v>1</v>
      </c>
      <c r="Q7" s="11">
        <v>2</v>
      </c>
      <c r="R7" s="11">
        <f t="shared" si="0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1"/>
        <v>15</v>
      </c>
      <c r="Q8" s="11">
        <v>1</v>
      </c>
      <c r="R8" s="11">
        <f t="shared" si="0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1"/>
        <v>0.5</v>
      </c>
      <c r="Q9" s="11">
        <v>6</v>
      </c>
      <c r="R9" s="11">
        <f t="shared" si="0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1"/>
        <v>100</v>
      </c>
      <c r="Q10" s="11">
        <v>5</v>
      </c>
      <c r="R10" s="11">
        <f t="shared" si="0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1"/>
        <v>20</v>
      </c>
      <c r="Q11" s="11">
        <v>2</v>
      </c>
      <c r="R11" s="11">
        <f t="shared" si="0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1"/>
        <v>25</v>
      </c>
      <c r="Q12" s="11">
        <v>1</v>
      </c>
      <c r="R12" s="11">
        <f t="shared" si="0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1"/>
        <v>20</v>
      </c>
      <c r="Q13" s="11">
        <v>1</v>
      </c>
      <c r="R13" s="11">
        <f t="shared" si="0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1"/>
        <v>20</v>
      </c>
      <c r="Q14" s="11">
        <v>1</v>
      </c>
      <c r="R14" s="11">
        <f t="shared" si="0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1"/>
        <v>50</v>
      </c>
      <c r="Q15" s="11">
        <v>1</v>
      </c>
      <c r="R15" s="11">
        <f t="shared" si="0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1"/>
        <v>20</v>
      </c>
      <c r="Q16" s="11">
        <v>1</v>
      </c>
      <c r="R16" s="11">
        <f t="shared" si="0"/>
        <v>1</v>
      </c>
      <c r="S16" s="14">
        <v>1</v>
      </c>
    </row>
    <row r="17" s="2" customFormat="1" ht="16.5" spans="1:19">
      <c r="A17" s="2">
        <v>103400</v>
      </c>
      <c r="B17" s="2">
        <v>103000001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>
        <v>0</v>
      </c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f t="shared" si="1"/>
        <v>5</v>
      </c>
      <c r="Q17" s="11">
        <v>1</v>
      </c>
      <c r="R17" s="11">
        <v>1</v>
      </c>
      <c r="S17" s="14">
        <v>1</v>
      </c>
    </row>
    <row r="18" s="2" customFormat="1" ht="16.5" spans="1:19">
      <c r="A18" s="2">
        <v>103500</v>
      </c>
      <c r="B18" s="2">
        <v>102900001</v>
      </c>
      <c r="C18" s="2" t="s">
        <v>56</v>
      </c>
      <c r="D18" s="15">
        <v>1</v>
      </c>
      <c r="E18" s="15" t="s">
        <v>30</v>
      </c>
      <c r="F18" s="11">
        <v>0</v>
      </c>
      <c r="G18" s="11" t="s">
        <v>31</v>
      </c>
      <c r="H18" s="11" t="s">
        <v>57</v>
      </c>
      <c r="I18" s="2">
        <v>4</v>
      </c>
      <c r="J18" s="2">
        <v>3</v>
      </c>
      <c r="L18" s="17">
        <v>1</v>
      </c>
      <c r="M18" s="17">
        <v>1</v>
      </c>
      <c r="N18" s="2">
        <v>10</v>
      </c>
      <c r="O18" s="11">
        <v>1</v>
      </c>
      <c r="P18" s="11">
        <f t="shared" si="1"/>
        <v>10</v>
      </c>
      <c r="Q18" s="11">
        <v>1</v>
      </c>
      <c r="R18" s="11">
        <v>1</v>
      </c>
      <c r="S18" s="14">
        <v>1</v>
      </c>
    </row>
    <row r="19" s="2" customFormat="1" ht="16.5" spans="1:19">
      <c r="A19" s="2">
        <v>103501</v>
      </c>
      <c r="B19" s="2">
        <v>103501001</v>
      </c>
      <c r="C19" s="2" t="s">
        <v>58</v>
      </c>
      <c r="D19" s="15">
        <v>1</v>
      </c>
      <c r="E19" s="15" t="s">
        <v>30</v>
      </c>
      <c r="F19" s="11">
        <v>0</v>
      </c>
      <c r="G19" s="11" t="s">
        <v>31</v>
      </c>
      <c r="H19" s="11" t="s">
        <v>59</v>
      </c>
      <c r="I19" s="2">
        <v>4</v>
      </c>
      <c r="J19" s="2">
        <v>3</v>
      </c>
      <c r="L19" s="17">
        <v>1</v>
      </c>
      <c r="M19" s="17">
        <v>1</v>
      </c>
      <c r="N19" s="2">
        <v>10</v>
      </c>
      <c r="O19" s="11">
        <v>1</v>
      </c>
      <c r="P19" s="11">
        <f t="shared" si="1"/>
        <v>10</v>
      </c>
      <c r="Q19" s="11">
        <v>1</v>
      </c>
      <c r="R19" s="11">
        <v>1</v>
      </c>
      <c r="S19" s="14">
        <v>1</v>
      </c>
    </row>
    <row r="20" s="2" customFormat="1" ht="16.5" spans="1:19">
      <c r="A20" s="2">
        <v>103600</v>
      </c>
      <c r="B20" s="2">
        <v>103600001</v>
      </c>
      <c r="C20" s="2" t="s">
        <v>60</v>
      </c>
      <c r="D20" s="15">
        <v>1</v>
      </c>
      <c r="E20" s="15" t="s">
        <v>30</v>
      </c>
      <c r="F20" s="11">
        <v>0</v>
      </c>
      <c r="G20" s="11" t="s">
        <v>31</v>
      </c>
      <c r="H20" s="11">
        <v>103600101</v>
      </c>
      <c r="I20" s="2">
        <v>3</v>
      </c>
      <c r="J20" s="2">
        <v>3</v>
      </c>
      <c r="L20" s="17">
        <v>1</v>
      </c>
      <c r="M20" s="17">
        <v>1</v>
      </c>
      <c r="N20" s="2">
        <v>5</v>
      </c>
      <c r="O20" s="11">
        <v>1</v>
      </c>
      <c r="P20" s="11">
        <f t="shared" si="1"/>
        <v>5</v>
      </c>
      <c r="Q20" s="11">
        <v>1</v>
      </c>
      <c r="R20" s="11">
        <v>1</v>
      </c>
      <c r="S20" s="14">
        <v>1</v>
      </c>
    </row>
    <row r="21" s="2" customFormat="1" ht="16.5" spans="1:19">
      <c r="A21" s="2">
        <v>102800</v>
      </c>
      <c r="B21" s="2">
        <v>102800001</v>
      </c>
      <c r="C21" s="2" t="s">
        <v>61</v>
      </c>
      <c r="D21" s="15">
        <v>0</v>
      </c>
      <c r="E21" s="15" t="s">
        <v>35</v>
      </c>
      <c r="F21" s="11">
        <v>1</v>
      </c>
      <c r="G21" s="11" t="s">
        <v>38</v>
      </c>
      <c r="H21" s="11" t="s">
        <v>62</v>
      </c>
      <c r="I21" s="2">
        <v>5</v>
      </c>
      <c r="J21" s="2">
        <v>6</v>
      </c>
      <c r="L21" s="17">
        <v>1</v>
      </c>
      <c r="M21" s="17">
        <v>1</v>
      </c>
      <c r="N21" s="2">
        <v>20</v>
      </c>
      <c r="O21" s="11">
        <v>1</v>
      </c>
      <c r="P21" s="11">
        <f t="shared" si="1"/>
        <v>20</v>
      </c>
      <c r="Q21" s="11">
        <v>1</v>
      </c>
      <c r="R21" s="11">
        <v>1</v>
      </c>
      <c r="S21" s="14">
        <v>1</v>
      </c>
    </row>
    <row r="22" s="2" customFormat="1" ht="16.5" spans="1:19">
      <c r="A22" s="2">
        <v>103401</v>
      </c>
      <c r="B22" s="2">
        <v>103400001</v>
      </c>
      <c r="C22" s="2" t="s">
        <v>63</v>
      </c>
      <c r="D22" s="15">
        <v>1</v>
      </c>
      <c r="E22" s="15" t="s">
        <v>30</v>
      </c>
      <c r="F22" s="11">
        <v>0</v>
      </c>
      <c r="G22" s="11" t="s">
        <v>31</v>
      </c>
      <c r="H22" s="11">
        <v>0</v>
      </c>
      <c r="I22" s="2">
        <v>3</v>
      </c>
      <c r="J22" s="2">
        <v>3</v>
      </c>
      <c r="L22" s="17">
        <v>1</v>
      </c>
      <c r="M22" s="17">
        <v>1</v>
      </c>
      <c r="N22" s="2">
        <v>5</v>
      </c>
      <c r="O22" s="11">
        <v>1</v>
      </c>
      <c r="P22" s="11">
        <f t="shared" si="1"/>
        <v>5</v>
      </c>
      <c r="Q22" s="11">
        <v>1</v>
      </c>
      <c r="R22" s="11">
        <v>1</v>
      </c>
      <c r="S22" s="14">
        <v>1</v>
      </c>
    </row>
    <row r="23" s="2" customFormat="1" ht="16.5" spans="1:19">
      <c r="A23" s="2">
        <v>102000</v>
      </c>
      <c r="B23" s="2">
        <v>102200001</v>
      </c>
      <c r="C23" s="2" t="s">
        <v>64</v>
      </c>
      <c r="D23" s="15">
        <v>1</v>
      </c>
      <c r="E23" s="15" t="s">
        <v>30</v>
      </c>
      <c r="F23" s="11">
        <v>0</v>
      </c>
      <c r="G23" s="11" t="s">
        <v>31</v>
      </c>
      <c r="H23" s="11" t="s">
        <v>65</v>
      </c>
      <c r="I23" s="2">
        <v>5</v>
      </c>
      <c r="J23" s="2">
        <v>5</v>
      </c>
      <c r="L23" s="17">
        <v>1</v>
      </c>
      <c r="M23" s="17">
        <v>1</v>
      </c>
      <c r="N23" s="2">
        <v>15</v>
      </c>
      <c r="O23" s="11">
        <v>1</v>
      </c>
      <c r="P23" s="11">
        <f t="shared" si="1"/>
        <v>15</v>
      </c>
      <c r="Q23" s="11">
        <v>1</v>
      </c>
      <c r="R23" s="11">
        <v>1</v>
      </c>
      <c r="S23" s="14">
        <v>1</v>
      </c>
    </row>
    <row r="24" ht="16.5" spans="1:19">
      <c r="A24" s="3">
        <v>103800</v>
      </c>
      <c r="B24" s="3">
        <v>103800001</v>
      </c>
      <c r="C24" s="3" t="s">
        <v>66</v>
      </c>
      <c r="D24" s="4">
        <v>1</v>
      </c>
      <c r="E24" s="15" t="s">
        <v>30</v>
      </c>
      <c r="F24" s="3">
        <v>0</v>
      </c>
      <c r="G24" s="11" t="s">
        <v>31</v>
      </c>
      <c r="H24" s="11" t="s">
        <v>67</v>
      </c>
      <c r="I24" s="3">
        <v>3</v>
      </c>
      <c r="J24" s="3">
        <v>5</v>
      </c>
      <c r="L24" s="5">
        <v>1</v>
      </c>
      <c r="M24" s="5">
        <v>1</v>
      </c>
      <c r="N24" s="3">
        <v>40</v>
      </c>
      <c r="O24" s="3">
        <v>1</v>
      </c>
      <c r="P24" s="3">
        <v>40</v>
      </c>
      <c r="Q24" s="3">
        <v>1</v>
      </c>
      <c r="R24" s="3">
        <v>1</v>
      </c>
      <c r="S24" s="3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2026-01-19T03:56:19Z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