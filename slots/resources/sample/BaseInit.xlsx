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<sst xmlns="http://schemas.openxmlformats.org/spreadsheetml/2006/main" count="136" uniqueCount="79">
  <si>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</si>
  <si>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</si>
  <si>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</si>
  <si>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</si>
  <si>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</si>
  <si>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</si>
  <si>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</si>
  <si>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</si>
  <si>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</si>
  <si>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</si>
  <si>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</si>
  <si>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</si>
  <si>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</si>
  <si>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</si>
  <si>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</si>
  <si>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</si>
  <si>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</si>
  <si>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</si>
  <si>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</si>
  <si>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</si>
  <si>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</si>
  <si>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</si>
  <si>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</si>
  <si>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</si>
  <si>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</si>
  <si>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</si>
  <si>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</si>
  <si>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</si>
  <si>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</si>
  <si>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</si>
  <si>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</si>
  <si>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</si>
  <si>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</si>
  <si>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</si>
  <si>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</si>
  <si>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</si>
  <si>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</si>
  <si>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</si>
  <si>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</si>
  <si>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</si>
  <si>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</si>
  <si>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</si>
  <si>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</si>
  <si>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</si>
  <si>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</si>
  <si>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</si>
  <si>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</si>
  <si>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</si>
  <si>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</si>
  <si>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</si>
  <si>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</si>
  <si>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</si>
  <si>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</si>
  <si>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</si>
  <si>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</si>
  <si>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</si>
  <si>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</si>
  <si>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</si>
  <si>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</si>
  <si>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</si>
  <si>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</si>
  <si>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</si>
  <si>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</si>
  <si>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</si>
  <si>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</si>
  <si>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</si>
  <si>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</si>
  <si>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</si>
  <si>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</si>
  <si>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</si>
  <si>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</si>
  <si>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</si>
  <si>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</si>
  <si>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</si>
  <si>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</si>
  <si>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</si>
  <si>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</si>
  <si>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</si>
  <si>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101600101|106100102|101600103|101600104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</si>
</sst>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trike/>
      <sz val="9"/>
      <name val="宋体"/>
      <charset val="134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1"/>
      <color rgb="FF000000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0" fillId="0" borderId="0"/>
  </cellStyleXfs>
  <cellXfs count="18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2" borderId="1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3" borderId="1" xfId="0" applyFont="1" applyFill="1" applyBorder="1" applyAlignment="1">
      <alignment horizontal="right" vertical="center" wrapText="1"/>
    </xf>
    <xf numFmtId="0" fontId="5" fillId="0" borderId="1" xfId="0" applyFont="1" applyBorder="1" applyAlignment="1">
      <alignment horizontal="right" vertical="top"/>
    </xf>
    <xf numFmtId="0" fontId="1" fillId="0" borderId="0" xfId="0" applyFont="1" applyAlignment="1">
      <alignment horizontal="right" vertical="top"/>
    </xf>
    <xf numFmtId="0" fontId="1" fillId="0" borderId="0" xfId="0" applyFont="1" applyFill="1" applyAlignment="1">
      <alignment horizontal="right" vertical="top"/>
    </xf>
    <xf numFmtId="0" fontId="6" fillId="0" borderId="0" xfId="0" applyFont="1" applyAlignment="1">
      <alignment horizontal="right" vertical="top"/>
    </xf>
    <xf numFmtId="0" fontId="3" fillId="0" borderId="0" xfId="0" applyFont="1" applyAlignment="1">
      <alignment horizontal="right" vertical="top"/>
    </xf>
    <xf numFmtId="0" fontId="5" fillId="0" borderId="0" xfId="0" applyFont="1" applyFill="1" applyAlignment="1">
      <alignment horizontal="right" vertical="top"/>
    </xf>
    <xf numFmtId="0" fontId="1" fillId="0" borderId="0" xfId="0" applyFont="1" applyAlignment="1">
      <alignment horizontal="left" vertical="top"/>
    </xf>
    <xf numFmtId="0" fontId="6" fillId="0" borderId="0" xfId="0" applyFont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0"/>
  <sheetViews>
    <sheetView tabSelected="1" zoomScale="85" zoomScaleNormal="85" workbookViewId="0">
      <selection activeCell="F37" sqref="F37"/>
    </sheetView>
  </sheetViews>
  <sheetFormatPr defaultColWidth="9" defaultRowHeight="14.25"/>
  <cols>
    <col min="1" max="1" width="9" style="3"/>
    <col min="2" max="2" width="10.5" style="3" customWidth="1"/>
    <col min="3" max="3" width="13.25" style="3" customWidth="1"/>
    <col min="4" max="5" width="13.25" style="4" customWidth="1"/>
    <col min="6" max="7" width="9" style="3"/>
    <col min="8" max="8" width="51.125" style="3" customWidth="1"/>
    <col min="9" max="10" width="9" style="3"/>
    <col min="11" max="11" width="10.875" style="3" customWidth="1"/>
    <col min="12" max="13" width="12.875" style="5" customWidth="1"/>
    <col min="14" max="18" width="9" style="3"/>
    <col min="19" max="19" width="14.125" style="3" customWidth="1"/>
    <col min="20" max="16384" width="9" style="3"/>
  </cols>
  <sheetData>
    <row r="1" s="1" customFormat="1" ht="21.95" customHeight="1" spans="1:19">
      <c r="A1" s="6" t="s">
        <v>0</v>
      </c>
      <c r="B1" s="6" t="s">
        <v>1</v>
      </c>
      <c r="C1" s="6"/>
      <c r="D1" s="6" t="s">
        <v>2</v>
      </c>
      <c r="E1" s="7"/>
      <c r="F1" s="6" t="s">
        <v>3</v>
      </c>
      <c r="G1" s="6"/>
      <c r="H1" s="6" t="s">
        <v>4</v>
      </c>
      <c r="I1" s="6" t="s">
        <v>5</v>
      </c>
      <c r="J1" s="6" t="s">
        <v>6</v>
      </c>
      <c r="K1" s="6"/>
      <c r="L1" s="8" t="s">
        <v>7</v>
      </c>
      <c r="M1" s="8" t="s">
        <v>8</v>
      </c>
      <c r="N1" s="6" t="s">
        <v>9</v>
      </c>
      <c r="O1" s="9" t="s">
        <v>10</v>
      </c>
      <c r="P1" s="9" t="s">
        <v>11</v>
      </c>
      <c r="Q1" s="9" t="s">
        <v>12</v>
      </c>
      <c r="R1" s="9" t="s">
        <v>13</v>
      </c>
      <c r="S1" s="6" t="s">
        <v>14</v>
      </c>
    </row>
    <row r="2" s="1" customFormat="1" ht="16.5" spans="1:19">
      <c r="A2" s="10" t="s">
        <v>15</v>
      </c>
      <c r="B2" s="11" t="s">
        <v>15</v>
      </c>
      <c r="C2" s="10"/>
      <c r="D2" s="12" t="s">
        <v>15</v>
      </c>
      <c r="E2" s="12"/>
      <c r="F2" s="11" t="s">
        <v>15</v>
      </c>
      <c r="G2" s="11"/>
      <c r="H2" s="11" t="s">
        <v>16</v>
      </c>
      <c r="I2" s="11" t="s">
        <v>15</v>
      </c>
      <c r="J2" s="11" t="s">
        <v>15</v>
      </c>
      <c r="K2" s="11"/>
      <c r="L2" s="13" t="s">
        <v>17</v>
      </c>
      <c r="M2" s="13" t="s">
        <v>17</v>
      </c>
      <c r="N2" s="11" t="s">
        <v>15</v>
      </c>
      <c r="O2" s="11"/>
      <c r="P2" s="11"/>
      <c r="Q2" s="11"/>
      <c r="R2" s="11"/>
      <c r="S2" s="14" t="s">
        <v>15</v>
      </c>
    </row>
    <row r="3" s="1" customFormat="1" ht="16.5" spans="1:19">
      <c r="A3" s="10" t="s">
        <v>18</v>
      </c>
      <c r="B3" s="10" t="s">
        <v>19</v>
      </c>
      <c r="C3" s="10"/>
      <c r="D3" s="15" t="s">
        <v>20</v>
      </c>
      <c r="E3" s="15"/>
      <c r="F3" s="11" t="s">
        <v>21</v>
      </c>
      <c r="G3" s="11"/>
      <c r="H3" s="11" t="s">
        <v>22</v>
      </c>
      <c r="I3" s="11" t="s">
        <v>23</v>
      </c>
      <c r="J3" s="11" t="s">
        <v>24</v>
      </c>
      <c r="K3" s="11"/>
      <c r="L3" s="13" t="s">
        <v>25</v>
      </c>
      <c r="M3" s="13" t="s">
        <v>26</v>
      </c>
      <c r="N3" s="11" t="s">
        <v>27</v>
      </c>
      <c r="O3" s="11"/>
      <c r="P3" s="11"/>
      <c r="Q3" s="11"/>
      <c r="R3" s="11"/>
      <c r="S3" s="14" t="s">
        <v>28</v>
      </c>
    </row>
    <row r="4" s="1" customFormat="1" ht="16.5" spans="1:19">
      <c r="A4" s="10"/>
      <c r="B4" s="10"/>
      <c r="C4" s="10"/>
      <c r="D4" s="15"/>
      <c r="E4" s="15"/>
      <c r="F4" s="11"/>
      <c r="G4" s="11"/>
      <c r="H4" s="11"/>
      <c r="I4" s="11"/>
      <c r="J4" s="11"/>
      <c r="K4" s="11"/>
      <c r="L4" s="13"/>
      <c r="M4" s="13"/>
      <c r="N4" s="11"/>
      <c r="O4" s="11"/>
      <c r="P4" s="11"/>
      <c r="Q4" s="11"/>
      <c r="R4" s="11"/>
      <c r="S4" s="14"/>
    </row>
    <row r="5" s="1" customFormat="1" ht="16.5" spans="1:19">
      <c r="A5" s="10">
        <v>100100</v>
      </c>
      <c r="B5" s="10">
        <v>100100026</v>
      </c>
      <c r="C5" s="10" t="s">
        <v>29</v>
      </c>
      <c r="D5" s="15">
        <v>1</v>
      </c>
      <c r="E5" s="15" t="s">
        <v>30</v>
      </c>
      <c r="F5" s="11">
        <v>0</v>
      </c>
      <c r="G5" s="11" t="s">
        <v>31</v>
      </c>
      <c r="H5" s="11" t="s">
        <v>32</v>
      </c>
      <c r="I5" s="11">
        <v>4</v>
      </c>
      <c r="J5" s="11">
        <v>5</v>
      </c>
      <c r="K5" s="16" t="s">
        <v>33</v>
      </c>
      <c r="L5" s="13">
        <v>1</v>
      </c>
      <c r="M5" s="13">
        <v>2</v>
      </c>
      <c r="N5" s="11">
        <v>50</v>
      </c>
      <c r="O5" s="11">
        <v>1</v>
      </c>
      <c r="P5" s="11">
        <f>N5*M5*L5*O5</f>
        <v>100</v>
      </c>
      <c r="Q5" s="11">
        <v>5</v>
      </c>
      <c r="R5" s="11">
        <f t="shared" ref="R5:R16" si="0">P5*Q5/N5/M5</f>
        <v>5</v>
      </c>
      <c r="S5" s="14">
        <v>1</v>
      </c>
    </row>
    <row r="6" s="1" customFormat="1" ht="16.5" spans="1:19">
      <c r="A6" s="10">
        <v>100300</v>
      </c>
      <c r="B6" s="10">
        <v>100300001</v>
      </c>
      <c r="C6" s="10" t="s">
        <v>34</v>
      </c>
      <c r="D6" s="15">
        <v>1</v>
      </c>
      <c r="E6" s="15" t="s">
        <v>35</v>
      </c>
      <c r="F6" s="11">
        <v>0</v>
      </c>
      <c r="G6" s="11" t="s">
        <v>31</v>
      </c>
      <c r="H6" s="11" t="s">
        <v>36</v>
      </c>
      <c r="I6" s="11">
        <v>3</v>
      </c>
      <c r="J6" s="11">
        <v>3</v>
      </c>
      <c r="K6" s="11"/>
      <c r="L6" s="13">
        <v>1</v>
      </c>
      <c r="M6" s="13">
        <v>1</v>
      </c>
      <c r="N6" s="11">
        <v>1</v>
      </c>
      <c r="O6" s="11">
        <v>1</v>
      </c>
      <c r="P6" s="11">
        <f t="shared" ref="P6:P23" si="1">N6*M6*L6*O6</f>
        <v>1</v>
      </c>
      <c r="Q6" s="11">
        <v>1</v>
      </c>
      <c r="R6" s="11">
        <f t="shared" si="0"/>
        <v>1</v>
      </c>
      <c r="S6" s="14">
        <v>1</v>
      </c>
    </row>
    <row r="7" s="1" customFormat="1" ht="16.5" spans="1:19">
      <c r="A7" s="10">
        <v>100700</v>
      </c>
      <c r="B7" s="10">
        <v>100700001</v>
      </c>
      <c r="C7" s="10" t="s">
        <v>37</v>
      </c>
      <c r="D7" s="15">
        <v>0</v>
      </c>
      <c r="E7" s="15" t="s">
        <v>35</v>
      </c>
      <c r="F7" s="11">
        <v>1</v>
      </c>
      <c r="G7" s="11" t="s">
        <v>38</v>
      </c>
      <c r="H7" s="11">
        <v>0</v>
      </c>
      <c r="I7" s="11">
        <v>4</v>
      </c>
      <c r="J7" s="11">
        <v>5</v>
      </c>
      <c r="K7" s="11"/>
      <c r="L7" s="13">
        <v>1</v>
      </c>
      <c r="M7" s="13">
        <v>1</v>
      </c>
      <c r="N7" s="11">
        <v>20</v>
      </c>
      <c r="O7" s="11">
        <v>0.05</v>
      </c>
      <c r="P7" s="11">
        <f t="shared" si="1"/>
        <v>1</v>
      </c>
      <c r="Q7" s="11">
        <v>2</v>
      </c>
      <c r="R7" s="11">
        <f t="shared" si="0"/>
        <v>0.1</v>
      </c>
      <c r="S7" s="14">
        <v>1</v>
      </c>
    </row>
    <row r="8" s="1" customFormat="1" ht="16.5" spans="1:19">
      <c r="A8" s="10">
        <v>101200</v>
      </c>
      <c r="B8" s="10">
        <v>101200001</v>
      </c>
      <c r="C8" s="10" t="s">
        <v>39</v>
      </c>
      <c r="D8" s="15">
        <v>1</v>
      </c>
      <c r="E8" s="15" t="s">
        <v>35</v>
      </c>
      <c r="F8" s="11">
        <v>0</v>
      </c>
      <c r="G8" s="11" t="s">
        <v>31</v>
      </c>
      <c r="H8" s="11">
        <v>0</v>
      </c>
      <c r="I8" s="11">
        <v>3</v>
      </c>
      <c r="J8" s="11">
        <v>5</v>
      </c>
      <c r="K8" s="11"/>
      <c r="L8" s="13">
        <v>1</v>
      </c>
      <c r="M8" s="13">
        <v>1</v>
      </c>
      <c r="N8" s="11">
        <v>15</v>
      </c>
      <c r="O8" s="11">
        <v>1</v>
      </c>
      <c r="P8" s="11">
        <f t="shared" si="1"/>
        <v>15</v>
      </c>
      <c r="Q8" s="11">
        <v>1</v>
      </c>
      <c r="R8" s="11">
        <f t="shared" si="0"/>
        <v>1</v>
      </c>
      <c r="S8" s="14">
        <v>1</v>
      </c>
    </row>
    <row r="9" s="1" customFormat="1" ht="16.5" spans="1:19">
      <c r="A9" s="10">
        <v>101400</v>
      </c>
      <c r="B9" s="10">
        <v>101400001</v>
      </c>
      <c r="C9" s="10" t="s">
        <v>40</v>
      </c>
      <c r="D9" s="15">
        <v>0</v>
      </c>
      <c r="E9" s="15" t="s">
        <v>35</v>
      </c>
      <c r="F9" s="11">
        <v>0</v>
      </c>
      <c r="G9" s="11" t="s">
        <v>31</v>
      </c>
      <c r="H9" s="11">
        <v>101400101</v>
      </c>
      <c r="I9" s="11">
        <v>4</v>
      </c>
      <c r="J9" s="11">
        <v>3</v>
      </c>
      <c r="K9" s="11"/>
      <c r="L9" s="13">
        <v>1</v>
      </c>
      <c r="M9" s="13">
        <v>1</v>
      </c>
      <c r="N9" s="11">
        <v>10</v>
      </c>
      <c r="O9" s="11">
        <v>0.05</v>
      </c>
      <c r="P9" s="11">
        <f t="shared" si="1"/>
        <v>0.5</v>
      </c>
      <c r="Q9" s="11">
        <v>6</v>
      </c>
      <c r="R9" s="11">
        <f t="shared" si="0"/>
        <v>0.3</v>
      </c>
      <c r="S9" s="14">
        <v>1</v>
      </c>
    </row>
    <row r="10" s="1" customFormat="1" ht="16.5" spans="1:19">
      <c r="A10" s="10">
        <v>102400</v>
      </c>
      <c r="B10" s="10">
        <v>102400026</v>
      </c>
      <c r="C10" s="10" t="s">
        <v>41</v>
      </c>
      <c r="D10" s="15">
        <v>1</v>
      </c>
      <c r="E10" s="15" t="s">
        <v>30</v>
      </c>
      <c r="F10" s="11">
        <v>0</v>
      </c>
      <c r="G10" s="11" t="s">
        <v>31</v>
      </c>
      <c r="H10" s="11" t="s">
        <v>42</v>
      </c>
      <c r="I10" s="11">
        <v>4</v>
      </c>
      <c r="J10" s="11">
        <v>5</v>
      </c>
      <c r="K10" s="16" t="s">
        <v>33</v>
      </c>
      <c r="L10" s="13">
        <v>1</v>
      </c>
      <c r="M10" s="13">
        <v>2</v>
      </c>
      <c r="N10" s="11">
        <v>50</v>
      </c>
      <c r="O10" s="11">
        <v>1</v>
      </c>
      <c r="P10" s="11">
        <f t="shared" si="1"/>
        <v>100</v>
      </c>
      <c r="Q10" s="11">
        <v>5</v>
      </c>
      <c r="R10" s="11">
        <f t="shared" si="0"/>
        <v>5</v>
      </c>
      <c r="S10" s="14">
        <v>1</v>
      </c>
    </row>
    <row r="11" s="1" customFormat="1" ht="16.5" spans="1:19">
      <c r="A11" s="10">
        <v>101700</v>
      </c>
      <c r="B11" s="10">
        <v>101700001</v>
      </c>
      <c r="C11" s="10" t="s">
        <v>43</v>
      </c>
      <c r="D11" s="15">
        <v>0</v>
      </c>
      <c r="E11" s="15" t="s">
        <v>35</v>
      </c>
      <c r="F11" s="11">
        <v>1</v>
      </c>
      <c r="G11" s="11" t="s">
        <v>38</v>
      </c>
      <c r="H11" s="11" t="s">
        <v>44</v>
      </c>
      <c r="I11" s="11">
        <v>4</v>
      </c>
      <c r="J11" s="11">
        <v>5</v>
      </c>
      <c r="K11" s="11"/>
      <c r="L11" s="13">
        <v>1</v>
      </c>
      <c r="M11" s="13">
        <v>1</v>
      </c>
      <c r="N11" s="11">
        <v>20</v>
      </c>
      <c r="O11" s="11">
        <v>1</v>
      </c>
      <c r="P11" s="11">
        <f t="shared" si="1"/>
        <v>20</v>
      </c>
      <c r="Q11" s="11">
        <v>2</v>
      </c>
      <c r="R11" s="11">
        <f t="shared" si="0"/>
        <v>2</v>
      </c>
      <c r="S11" s="14">
        <v>1</v>
      </c>
    </row>
    <row r="12" s="2" customFormat="1" ht="16.5" spans="1:19">
      <c r="A12" s="2">
        <v>102200</v>
      </c>
      <c r="B12" s="2">
        <v>102200001</v>
      </c>
      <c r="C12" s="2" t="s">
        <v>45</v>
      </c>
      <c r="D12" s="15">
        <v>1</v>
      </c>
      <c r="E12" s="15" t="s">
        <v>30</v>
      </c>
      <c r="F12" s="11">
        <v>0</v>
      </c>
      <c r="G12" s="11" t="s">
        <v>31</v>
      </c>
      <c r="H12" s="11" t="s">
        <v>46</v>
      </c>
      <c r="I12" s="2">
        <v>3</v>
      </c>
      <c r="J12" s="2">
        <v>5</v>
      </c>
      <c r="L12" s="17">
        <v>1</v>
      </c>
      <c r="M12" s="17">
        <v>1</v>
      </c>
      <c r="N12" s="2">
        <v>25</v>
      </c>
      <c r="O12" s="11">
        <v>1</v>
      </c>
      <c r="P12" s="11">
        <f t="shared" si="1"/>
        <v>25</v>
      </c>
      <c r="Q12" s="11">
        <v>1</v>
      </c>
      <c r="R12" s="11">
        <f t="shared" si="0"/>
        <v>1</v>
      </c>
      <c r="S12" s="14">
        <v>1</v>
      </c>
    </row>
    <row r="13" s="2" customFormat="1" ht="16.5" spans="1:19">
      <c r="A13" s="2">
        <v>102100</v>
      </c>
      <c r="B13" s="2">
        <v>102100001</v>
      </c>
      <c r="C13" s="2" t="s">
        <v>47</v>
      </c>
      <c r="D13" s="15">
        <v>0</v>
      </c>
      <c r="E13" s="15" t="s">
        <v>35</v>
      </c>
      <c r="F13" s="11">
        <v>1</v>
      </c>
      <c r="G13" s="11" t="s">
        <v>38</v>
      </c>
      <c r="H13" s="11" t="s">
        <v>48</v>
      </c>
      <c r="I13" s="2">
        <v>3</v>
      </c>
      <c r="J13" s="2">
        <v>5</v>
      </c>
      <c r="L13" s="17">
        <v>1</v>
      </c>
      <c r="M13" s="17">
        <v>1</v>
      </c>
      <c r="N13" s="2">
        <v>20</v>
      </c>
      <c r="O13" s="11">
        <v>1</v>
      </c>
      <c r="P13" s="11">
        <f t="shared" si="1"/>
        <v>20</v>
      </c>
      <c r="Q13" s="11">
        <v>1</v>
      </c>
      <c r="R13" s="11">
        <f t="shared" si="0"/>
        <v>1</v>
      </c>
      <c r="S13" s="14">
        <v>1</v>
      </c>
    </row>
    <row r="14" s="2" customFormat="1" ht="16.5" spans="1:19">
      <c r="A14" s="2">
        <v>101800</v>
      </c>
      <c r="B14" s="2">
        <v>101800001</v>
      </c>
      <c r="C14" s="2" t="s">
        <v>49</v>
      </c>
      <c r="D14" s="15">
        <v>0</v>
      </c>
      <c r="E14" s="15" t="s">
        <v>35</v>
      </c>
      <c r="F14" s="11">
        <v>0</v>
      </c>
      <c r="G14" s="11" t="s">
        <v>31</v>
      </c>
      <c r="H14" s="11" t="s">
        <v>50</v>
      </c>
      <c r="I14" s="2">
        <v>4</v>
      </c>
      <c r="J14" s="2">
        <v>6</v>
      </c>
      <c r="L14" s="17">
        <v>1</v>
      </c>
      <c r="M14" s="17">
        <v>1</v>
      </c>
      <c r="N14" s="2">
        <v>20</v>
      </c>
      <c r="O14" s="11">
        <v>1</v>
      </c>
      <c r="P14" s="11">
        <f t="shared" si="1"/>
        <v>20</v>
      </c>
      <c r="Q14" s="11">
        <v>1</v>
      </c>
      <c r="R14" s="11">
        <f t="shared" si="0"/>
        <v>1</v>
      </c>
      <c r="S14" s="14">
        <v>1</v>
      </c>
    </row>
    <row r="15" s="2" customFormat="1" ht="16.5" spans="1:19">
      <c r="A15" s="2">
        <v>102500</v>
      </c>
      <c r="B15" s="2">
        <v>102500001</v>
      </c>
      <c r="C15" s="2" t="s">
        <v>51</v>
      </c>
      <c r="D15" s="15">
        <v>1</v>
      </c>
      <c r="E15" s="15" t="s">
        <v>30</v>
      </c>
      <c r="F15" s="11">
        <v>0</v>
      </c>
      <c r="G15" s="11" t="s">
        <v>31</v>
      </c>
      <c r="H15" s="11" t="s">
        <v>52</v>
      </c>
      <c r="I15" s="2">
        <v>3</v>
      </c>
      <c r="J15" s="2">
        <v>5</v>
      </c>
      <c r="L15" s="17">
        <v>1</v>
      </c>
      <c r="M15" s="17">
        <v>1</v>
      </c>
      <c r="N15" s="2">
        <v>50</v>
      </c>
      <c r="O15" s="11">
        <v>1</v>
      </c>
      <c r="P15" s="11">
        <f t="shared" si="1"/>
        <v>50</v>
      </c>
      <c r="Q15" s="11">
        <v>1</v>
      </c>
      <c r="R15" s="11">
        <f t="shared" si="0"/>
        <v>1</v>
      </c>
      <c r="S15" s="14">
        <v>1</v>
      </c>
    </row>
    <row r="16" s="2" customFormat="1" ht="16.5" spans="1:19">
      <c r="A16" s="2">
        <v>102300</v>
      </c>
      <c r="B16" s="2">
        <v>102300001</v>
      </c>
      <c r="C16" s="2" t="s">
        <v>53</v>
      </c>
      <c r="D16" s="15">
        <v>0</v>
      </c>
      <c r="E16" s="15" t="s">
        <v>35</v>
      </c>
      <c r="F16" s="11">
        <v>0</v>
      </c>
      <c r="G16" s="11" t="s">
        <v>31</v>
      </c>
      <c r="H16" s="11" t="s">
        <v>54</v>
      </c>
      <c r="I16" s="2">
        <v>4</v>
      </c>
      <c r="J16" s="2">
        <v>5</v>
      </c>
      <c r="L16" s="17">
        <v>1</v>
      </c>
      <c r="M16" s="17">
        <v>1</v>
      </c>
      <c r="N16" s="2">
        <v>20</v>
      </c>
      <c r="O16" s="11">
        <v>1</v>
      </c>
      <c r="P16" s="11">
        <f t="shared" si="1"/>
        <v>20</v>
      </c>
      <c r="Q16" s="11">
        <v>1</v>
      </c>
      <c r="R16" s="11">
        <f t="shared" si="0"/>
        <v>1</v>
      </c>
      <c r="S16" s="14">
        <v>1</v>
      </c>
    </row>
    <row r="17" s="2" customFormat="1" ht="16.5" spans="1:19">
      <c r="A17" s="2">
        <v>103400</v>
      </c>
      <c r="B17" s="2">
        <v>103000001</v>
      </c>
      <c r="C17" s="2" t="s">
        <v>55</v>
      </c>
      <c r="D17" s="15">
        <v>1</v>
      </c>
      <c r="E17" s="15" t="s">
        <v>30</v>
      </c>
      <c r="F17" s="11">
        <v>0</v>
      </c>
      <c r="G17" s="11" t="s">
        <v>31</v>
      </c>
      <c r="H17" s="11">
        <v>103400101</v>
      </c>
      <c r="I17" s="2">
        <v>3</v>
      </c>
      <c r="J17" s="2">
        <v>3</v>
      </c>
      <c r="L17" s="17">
        <v>1</v>
      </c>
      <c r="M17" s="17">
        <v>1</v>
      </c>
      <c r="N17" s="2">
        <v>5</v>
      </c>
      <c r="O17" s="11">
        <v>1</v>
      </c>
      <c r="P17" s="11">
        <f t="shared" si="1"/>
        <v>5</v>
      </c>
      <c r="Q17" s="11">
        <v>1</v>
      </c>
      <c r="R17" s="11">
        <v>1</v>
      </c>
      <c r="S17" s="14">
        <v>1</v>
      </c>
    </row>
    <row r="18" s="2" customFormat="1" ht="16.5" spans="1:19">
      <c r="A18" s="2">
        <v>103500</v>
      </c>
      <c r="B18" s="2">
        <v>102900001</v>
      </c>
      <c r="C18" s="2" t="s">
        <v>56</v>
      </c>
      <c r="D18" s="15">
        <v>1</v>
      </c>
      <c r="E18" s="15" t="s">
        <v>30</v>
      </c>
      <c r="F18" s="11">
        <v>0</v>
      </c>
      <c r="G18" s="11" t="s">
        <v>31</v>
      </c>
      <c r="H18" s="11" t="s">
        <v>57</v>
      </c>
      <c r="I18" s="2">
        <v>4</v>
      </c>
      <c r="J18" s="2">
        <v>3</v>
      </c>
      <c r="L18" s="17">
        <v>1</v>
      </c>
      <c r="M18" s="17">
        <v>1</v>
      </c>
      <c r="N18" s="2">
        <v>10</v>
      </c>
      <c r="O18" s="11">
        <v>1</v>
      </c>
      <c r="P18" s="11">
        <f t="shared" si="1"/>
        <v>10</v>
      </c>
      <c r="Q18" s="11">
        <v>1</v>
      </c>
      <c r="R18" s="11">
        <v>1</v>
      </c>
      <c r="S18" s="14">
        <v>1</v>
      </c>
    </row>
    <row r="19" s="2" customFormat="1" ht="16.5" spans="1:19">
      <c r="A19" s="2">
        <v>103501</v>
      </c>
      <c r="B19" s="2">
        <v>103501001</v>
      </c>
      <c r="C19" s="2" t="s">
        <v>58</v>
      </c>
      <c r="D19" s="15">
        <v>1</v>
      </c>
      <c r="E19" s="15" t="s">
        <v>30</v>
      </c>
      <c r="F19" s="11">
        <v>0</v>
      </c>
      <c r="G19" s="11" t="s">
        <v>31</v>
      </c>
      <c r="H19" s="11" t="s">
        <v>59</v>
      </c>
      <c r="I19" s="2">
        <v>4</v>
      </c>
      <c r="J19" s="2">
        <v>3</v>
      </c>
      <c r="L19" s="17">
        <v>1</v>
      </c>
      <c r="M19" s="17">
        <v>1</v>
      </c>
      <c r="N19" s="2">
        <v>10</v>
      </c>
      <c r="O19" s="11">
        <v>1</v>
      </c>
      <c r="P19" s="11">
        <f t="shared" si="1"/>
        <v>10</v>
      </c>
      <c r="Q19" s="11">
        <v>1</v>
      </c>
      <c r="R19" s="11">
        <v>1</v>
      </c>
      <c r="S19" s="14">
        <v>1</v>
      </c>
    </row>
    <row r="20" s="2" customFormat="1" ht="16.5" spans="1:19">
      <c r="A20" s="2">
        <v>103600</v>
      </c>
      <c r="B20" s="2">
        <v>103600001</v>
      </c>
      <c r="C20" s="2" t="s">
        <v>60</v>
      </c>
      <c r="D20" s="15">
        <v>1</v>
      </c>
      <c r="E20" s="15" t="s">
        <v>30</v>
      </c>
      <c r="F20" s="11">
        <v>0</v>
      </c>
      <c r="G20" s="11" t="s">
        <v>31</v>
      </c>
      <c r="H20" s="11">
        <v>103600101</v>
      </c>
      <c r="I20" s="2">
        <v>3</v>
      </c>
      <c r="J20" s="2">
        <v>3</v>
      </c>
      <c r="L20" s="17">
        <v>1</v>
      </c>
      <c r="M20" s="17">
        <v>1</v>
      </c>
      <c r="N20" s="2">
        <v>5</v>
      </c>
      <c r="O20" s="11">
        <v>1</v>
      </c>
      <c r="P20" s="11">
        <f t="shared" si="1"/>
        <v>5</v>
      </c>
      <c r="Q20" s="11">
        <v>1</v>
      </c>
      <c r="R20" s="11">
        <v>1</v>
      </c>
      <c r="S20" s="14">
        <v>1</v>
      </c>
    </row>
    <row r="21" s="2" customFormat="1" ht="16.5" spans="1:19">
      <c r="A21" s="2">
        <v>102800</v>
      </c>
      <c r="B21" s="2">
        <v>102800001</v>
      </c>
      <c r="C21" s="2" t="s">
        <v>61</v>
      </c>
      <c r="D21" s="15">
        <v>0</v>
      </c>
      <c r="E21" s="15" t="s">
        <v>35</v>
      </c>
      <c r="F21" s="11">
        <v>1</v>
      </c>
      <c r="G21" s="11" t="s">
        <v>38</v>
      </c>
      <c r="H21" s="11" t="s">
        <v>62</v>
      </c>
      <c r="I21" s="2">
        <v>5</v>
      </c>
      <c r="J21" s="2">
        <v>6</v>
      </c>
      <c r="L21" s="17">
        <v>1</v>
      </c>
      <c r="M21" s="17">
        <v>1</v>
      </c>
      <c r="N21" s="2">
        <v>20</v>
      </c>
      <c r="O21" s="11">
        <v>1</v>
      </c>
      <c r="P21" s="11">
        <f t="shared" si="1"/>
        <v>20</v>
      </c>
      <c r="Q21" s="11">
        <v>1</v>
      </c>
      <c r="R21" s="11">
        <v>1</v>
      </c>
      <c r="S21" s="14">
        <v>1</v>
      </c>
    </row>
    <row r="22" s="2" customFormat="1" ht="16.5" spans="1:19">
      <c r="A22" s="2">
        <v>103401</v>
      </c>
      <c r="B22" s="2">
        <v>103401001</v>
      </c>
      <c r="C22" s="2" t="s">
        <v>63</v>
      </c>
      <c r="D22" s="15">
        <v>1</v>
      </c>
      <c r="E22" s="15" t="s">
        <v>30</v>
      </c>
      <c r="F22" s="11">
        <v>0</v>
      </c>
      <c r="G22" s="11" t="s">
        <v>31</v>
      </c>
      <c r="H22" s="11">
        <v>103401101</v>
      </c>
      <c r="I22" s="2">
        <v>3</v>
      </c>
      <c r="J22" s="2">
        <v>3</v>
      </c>
      <c r="L22" s="17">
        <v>1</v>
      </c>
      <c r="M22" s="17">
        <v>1</v>
      </c>
      <c r="N22" s="2">
        <v>5</v>
      </c>
      <c r="O22" s="11">
        <v>1</v>
      </c>
      <c r="P22" s="11">
        <f t="shared" si="1"/>
        <v>5</v>
      </c>
      <c r="Q22" s="11">
        <v>1</v>
      </c>
      <c r="R22" s="11">
        <v>1</v>
      </c>
      <c r="S22" s="14">
        <v>1</v>
      </c>
    </row>
    <row r="23" s="2" customFormat="1" ht="16.5" spans="1:19">
      <c r="A23" s="2">
        <v>102000</v>
      </c>
      <c r="B23" s="2">
        <v>102200001</v>
      </c>
      <c r="C23" s="2" t="s">
        <v>64</v>
      </c>
      <c r="D23" s="15">
        <v>1</v>
      </c>
      <c r="E23" s="15" t="s">
        <v>30</v>
      </c>
      <c r="F23" s="11">
        <v>0</v>
      </c>
      <c r="G23" s="11" t="s">
        <v>31</v>
      </c>
      <c r="H23" s="11" t="s">
        <v>65</v>
      </c>
      <c r="I23" s="2">
        <v>5</v>
      </c>
      <c r="J23" s="2">
        <v>5</v>
      </c>
      <c r="L23" s="17">
        <v>1</v>
      </c>
      <c r="M23" s="17">
        <v>1</v>
      </c>
      <c r="N23" s="2">
        <v>15</v>
      </c>
      <c r="O23" s="11">
        <v>1</v>
      </c>
      <c r="P23" s="11">
        <f t="shared" si="1"/>
        <v>15</v>
      </c>
      <c r="Q23" s="11">
        <v>1</v>
      </c>
      <c r="R23" s="11">
        <v>1</v>
      </c>
      <c r="S23" s="14">
        <v>1</v>
      </c>
    </row>
    <row r="24" ht="16.5" spans="1:19">
      <c r="A24" s="3">
        <v>103800</v>
      </c>
      <c r="B24" s="3">
        <v>103800001</v>
      </c>
      <c r="C24" s="3" t="s">
        <v>66</v>
      </c>
      <c r="D24" s="4">
        <v>1</v>
      </c>
      <c r="E24" s="15" t="s">
        <v>30</v>
      </c>
      <c r="F24" s="3">
        <v>0</v>
      </c>
      <c r="G24" s="11" t="s">
        <v>31</v>
      </c>
      <c r="H24" s="11" t="s">
        <v>67</v>
      </c>
      <c r="I24" s="3">
        <v>3</v>
      </c>
      <c r="J24" s="3">
        <v>5</v>
      </c>
      <c r="L24" s="5">
        <v>1</v>
      </c>
      <c r="M24" s="5">
        <v>1</v>
      </c>
      <c r="N24" s="3">
        <v>40</v>
      </c>
      <c r="O24" s="3">
        <v>1</v>
      </c>
      <c r="P24" s="3">
        <v>40</v>
      </c>
      <c r="Q24" s="3">
        <v>1</v>
      </c>
      <c r="R24" s="3">
        <v>1</v>
      </c>
      <c r="S24" s="3">
        <v>1</v>
      </c>
    </row>
    <row r="25" ht="16.5" spans="1:19">
      <c r="A25" s="3">
        <v>102700</v>
      </c>
      <c r="B25" s="3">
        <v>102700001</v>
      </c>
      <c r="C25" s="3" t="s">
        <v>68</v>
      </c>
      <c r="D25" s="4">
        <v>0</v>
      </c>
      <c r="E25" s="15" t="s">
        <v>35</v>
      </c>
      <c r="F25" s="3">
        <v>0</v>
      </c>
      <c r="G25" s="11" t="s">
        <v>31</v>
      </c>
      <c r="H25" s="11" t="s">
        <v>69</v>
      </c>
      <c r="I25" s="3">
        <v>3</v>
      </c>
      <c r="J25" s="3">
        <v>5</v>
      </c>
      <c r="L25" s="5">
        <v>1</v>
      </c>
      <c r="M25" s="5">
        <v>1</v>
      </c>
      <c r="N25" s="3">
        <v>20</v>
      </c>
      <c r="O25" s="3">
        <v>1</v>
      </c>
      <c r="P25" s="3">
        <v>20</v>
      </c>
      <c r="Q25" s="3">
        <v>1</v>
      </c>
      <c r="R25" s="3">
        <v>1</v>
      </c>
      <c r="S25" s="3">
        <v>1</v>
      </c>
    </row>
    <row r="26" ht="16.5" spans="1:19">
      <c r="A26" s="3">
        <v>103700</v>
      </c>
      <c r="B26" s="3">
        <v>103700001</v>
      </c>
      <c r="C26" s="3" t="s">
        <v>70</v>
      </c>
      <c r="D26" s="4">
        <v>1</v>
      </c>
      <c r="E26" s="15" t="s">
        <v>30</v>
      </c>
      <c r="F26" s="3">
        <v>0</v>
      </c>
      <c r="G26" s="11" t="s">
        <v>31</v>
      </c>
      <c r="H26" s="11">
        <v>103700101</v>
      </c>
      <c r="I26" s="3">
        <v>4</v>
      </c>
      <c r="J26" s="3">
        <v>3</v>
      </c>
      <c r="L26" s="5">
        <v>1</v>
      </c>
      <c r="M26" s="5">
        <v>1</v>
      </c>
      <c r="N26" s="3">
        <v>10</v>
      </c>
      <c r="O26" s="3">
        <v>1</v>
      </c>
      <c r="P26" s="3">
        <v>10</v>
      </c>
      <c r="Q26" s="3">
        <v>1</v>
      </c>
      <c r="R26" s="3">
        <v>1</v>
      </c>
      <c r="S26" s="3">
        <v>1</v>
      </c>
    </row>
    <row r="27" ht="16.5" spans="1:19">
      <c r="A27" s="3">
        <v>103100</v>
      </c>
      <c r="B27" s="3">
        <v>103100001</v>
      </c>
      <c r="C27" s="3" t="s">
        <v>71</v>
      </c>
      <c r="D27" s="4">
        <v>1</v>
      </c>
      <c r="E27" s="15" t="s">
        <v>30</v>
      </c>
      <c r="F27" s="3">
        <v>0</v>
      </c>
      <c r="G27" s="11" t="s">
        <v>31</v>
      </c>
      <c r="H27" s="11" t="s">
        <v>72</v>
      </c>
      <c r="I27" s="3">
        <v>3</v>
      </c>
      <c r="J27" s="3">
        <v>5</v>
      </c>
      <c r="L27" s="5">
        <v>1</v>
      </c>
      <c r="M27" s="5">
        <v>1</v>
      </c>
      <c r="N27" s="3">
        <v>25</v>
      </c>
      <c r="O27" s="3">
        <v>1</v>
      </c>
      <c r="P27" s="3">
        <v>25</v>
      </c>
      <c r="Q27" s="3">
        <v>1</v>
      </c>
      <c r="R27" s="3">
        <v>1</v>
      </c>
      <c r="S27" s="3">
        <v>1</v>
      </c>
    </row>
    <row r="28" ht="16.5" spans="1:19">
      <c r="A28" s="3">
        <v>104000</v>
      </c>
      <c r="B28" s="3">
        <v>104000001</v>
      </c>
      <c r="C28" s="3" t="s">
        <v>73</v>
      </c>
      <c r="D28" s="4">
        <v>1</v>
      </c>
      <c r="E28" s="15" t="s">
        <v>30</v>
      </c>
      <c r="F28" s="3">
        <v>0</v>
      </c>
      <c r="G28" s="11" t="s">
        <v>31</v>
      </c>
      <c r="H28" s="11" t="s">
        <v>74</v>
      </c>
      <c r="I28" s="3">
        <v>3</v>
      </c>
      <c r="J28" s="3">
        <v>5</v>
      </c>
      <c r="L28" s="5">
        <v>1</v>
      </c>
      <c r="M28" s="5">
        <v>1</v>
      </c>
      <c r="N28" s="3">
        <v>40</v>
      </c>
      <c r="O28" s="3">
        <v>1</v>
      </c>
      <c r="P28" s="3">
        <v>40</v>
      </c>
      <c r="Q28" s="3">
        <v>1</v>
      </c>
      <c r="R28" s="3">
        <v>1</v>
      </c>
      <c r="S28" s="3">
        <v>1</v>
      </c>
    </row>
    <row r="29" ht="16.5" spans="1:19">
      <c r="A29" s="3">
        <v>103900</v>
      </c>
      <c r="B29" s="3">
        <v>103900001</v>
      </c>
      <c r="C29" s="3" t="s">
        <v>75</v>
      </c>
      <c r="D29" s="4">
        <v>1</v>
      </c>
      <c r="E29" s="15" t="s">
        <v>30</v>
      </c>
      <c r="F29" s="3">
        <v>0</v>
      </c>
      <c r="G29" s="11" t="s">
        <v>31</v>
      </c>
      <c r="H29" s="11" t="s">
        <v>76</v>
      </c>
      <c r="I29" s="3">
        <v>3</v>
      </c>
      <c r="J29" s="3">
        <v>5</v>
      </c>
      <c r="L29" s="5">
        <v>1</v>
      </c>
      <c r="M29" s="5">
        <v>1</v>
      </c>
      <c r="N29" s="3">
        <v>25</v>
      </c>
      <c r="O29" s="3">
        <v>1</v>
      </c>
      <c r="P29" s="3">
        <v>25</v>
      </c>
      <c r="Q29" s="3">
        <v>1</v>
      </c>
      <c r="R29" s="3">
        <v>1</v>
      </c>
      <c r="S29" s="3">
        <v>1</v>
      </c>
    </row>
    <row r="30" ht="16.5" spans="1:19">
      <c r="A30" s="3">
        <v>101600</v>
      </c>
      <c r="B30" s="3">
        <v>101600001</v>
      </c>
      <c r="C30" s="3" t="s">
        <v>77</v>
      </c>
      <c r="D30" s="4">
        <v>0</v>
      </c>
      <c r="E30" s="15" t="s">
        <v>35</v>
      </c>
      <c r="F30" s="3">
        <v>1</v>
      </c>
      <c r="G30" s="11" t="s">
        <v>38</v>
      </c>
      <c r="H30" s="11" t="s">
        <v>78</v>
      </c>
      <c r="I30" s="3">
        <v>6</v>
      </c>
      <c r="J30" s="3">
        <v>6</v>
      </c>
      <c r="L30" s="5">
        <v>1</v>
      </c>
      <c r="M30" s="5">
        <v>1</v>
      </c>
      <c r="N30" s="3">
        <v>20</v>
      </c>
      <c r="O30" s="3">
        <v>1</v>
      </c>
      <c r="P30" s="3">
        <v>20</v>
      </c>
      <c r="Q30" s="3">
        <v>1</v>
      </c>
      <c r="R30" s="3">
        <v>1</v>
      </c>
      <c r="S30" s="3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2025-07-01T03:49:00Z</dcterms:created>
  <dcterms:modified xsi:type="dcterms:W3CDTF">2026-02-05T03:52:04Z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