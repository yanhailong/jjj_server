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BaseIni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  <author>Administrator</author>
  </authors>
  <commentList>
    <comment ref="A1" authorId="0">
      <text>
        <r>
          <rPr>
            <b/>
            <sz val="9"/>
            <rFont val="宋体"/>
            <charset val="134"/>
          </rPr>
          <t xml:space="preserve">Mr.M:
</t>
        </r>
        <r>
          <rPr>
            <sz val="9"/>
            <rFont val="宋体"/>
            <charset val="134"/>
          </rPr>
          <t>游戏的ID，唯一码</t>
        </r>
      </text>
    </comment>
    <comment ref="B1" authorId="0">
      <text>
        <r>
          <rPr>
            <b/>
            <sz val="9"/>
            <color rgb="FF000000"/>
            <rFont val="宋体"/>
            <charset val="134"/>
          </rPr>
          <t xml:space="preserve">Mr.M:
</t>
        </r>
        <r>
          <rPr>
            <sz val="9"/>
            <color rgb="FF000000"/>
            <rFont val="宋体"/>
            <charset val="134"/>
          </rPr>
          <t>游戏名称，显示在大厅</t>
        </r>
      </text>
    </comment>
    <comment ref="F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1、【普通】 需要判断中奖线位置
2、【满线】 不需要判断中奖线位置
3、【普通消除】 需要判断中奖线位置，中奖后中奖图标消失，上方图案下落，继续判断是否中奖，依次循环，直至不中奖
4、【满线消除】 不需要判断中奖线位置，中奖后中奖图标消失，上方图案下落，继续判断是否中奖，依次循环，直至不中奖</t>
        </r>
      </text>
    </comment>
    <comment ref="H1" authorId="1">
      <text>
        <r>
          <rPr>
            <b/>
            <sz val="9"/>
            <color rgb="FF000000"/>
            <rFont val="宋体"/>
            <charset val="134"/>
          </rPr>
          <t>Administrator:</t>
        </r>
        <r>
          <rPr>
            <sz val="9"/>
            <color rgb="FF000000"/>
            <rFont val="宋体"/>
            <charset val="134"/>
          </rPr>
          <t xml:space="preserve">
</t>
        </r>
        <r>
          <rPr>
            <sz val="11"/>
            <color rgb="FF000000"/>
            <rFont val="宋体"/>
            <charset val="134"/>
          </rPr>
          <t>如果该项目拥有神秘奖池时则需要在此项填写，奖池ID另配奖池专门的配置表
ID1:ID2:ID3
没有则填0</t>
        </r>
      </text>
    </comment>
    <comment ref="I1" authorId="0">
      <text>
        <r>
          <rPr>
            <b/>
            <sz val="9"/>
            <rFont val="宋体"/>
            <charset val="134"/>
          </rPr>
          <t xml:space="preserve">Mr.M:
</t>
        </r>
        <r>
          <rPr>
            <sz val="9"/>
            <rFont val="宋体"/>
            <charset val="134"/>
          </rPr>
          <t>游戏由多少行组成</t>
        </r>
      </text>
    </comment>
    <comment ref="J1" authorId="0">
      <text>
        <r>
          <rPr>
            <b/>
            <sz val="9"/>
            <rFont val="宋体"/>
            <charset val="134"/>
          </rPr>
          <t xml:space="preserve">Mr.M:
</t>
        </r>
        <r>
          <rPr>
            <sz val="9"/>
            <rFont val="宋体"/>
            <charset val="134"/>
          </rPr>
          <t>游戏由多少列组成</t>
        </r>
      </text>
    </comment>
    <comment ref="L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控制押分的系数</t>
        </r>
      </text>
    </comment>
    <comment ref="M1" authorId="0">
      <text>
        <r>
          <rPr>
            <b/>
            <sz val="9"/>
            <rFont val="宋体"/>
            <charset val="134"/>
          </rPr>
          <t xml:space="preserve">Mr.M:
</t>
        </r>
        <r>
          <rPr>
            <strike/>
            <sz val="9"/>
            <rFont val="宋体"/>
            <charset val="134"/>
          </rPr>
          <t>每条线使用的金币。满线时代替线数，总押分=单线押分值 X 使用线数</t>
        </r>
        <r>
          <rPr>
            <sz val="9"/>
            <rFont val="宋体"/>
            <charset val="134"/>
          </rPr>
          <t xml:space="preserve">
控制奖励的系数</t>
        </r>
      </text>
    </comment>
    <comment ref="N1" authorId="0">
      <text>
        <r>
          <rPr>
            <b/>
            <sz val="9"/>
            <rFont val="宋体"/>
            <charset val="134"/>
          </rPr>
          <t xml:space="preserve">Mr.M:
</t>
        </r>
        <r>
          <rPr>
            <strike/>
            <sz val="9"/>
            <rFont val="宋体"/>
            <charset val="134"/>
          </rPr>
          <t xml:space="preserve">玩家进入游戏后，可以使用的最大线数，最大线数和最小线数相同时，则说明不可选择
</t>
        </r>
        <r>
          <rPr>
            <sz val="9"/>
            <rFont val="宋体"/>
            <charset val="134"/>
          </rPr>
          <t xml:space="preserve">
满线、满线消除类型的游戏这里都填1</t>
        </r>
      </text>
    </comment>
    <comment ref="P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总押分     = 单线押分 * 押分倍数 * 线注倍数 * 最大线数 
</t>
        </r>
      </text>
    </comment>
    <comment ref="R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总押分     = 单线押分 * 押分倍数 * 线注倍数 * 最大线数 
总中奖金额 = 总押分 * 所有图案中奖倍数总和 ÷ 最大线数 ÷ 线注倍数
总中奖金额 = 单线押分 * 押分倍数 * 所有图案中奖倍数总和
</t>
        </r>
      </text>
    </comment>
    <comment ref="S1" authorId="1">
      <text>
        <r>
          <rPr>
            <sz val="9"/>
            <rFont val="宋体"/>
            <charset val="134"/>
          </rPr>
          <t>0就是不会自动玩，24小时内可以继续玩免费和小游戏；超过24小时就会销毁没玩的免费和小游戏；
1 就是15秒之后自动完成；</t>
        </r>
      </text>
    </comment>
  </commentList>
</comments>
</file>

<file path=xl/sharedStrings.xml><?xml version="1.0" encoding="utf-8"?>
<sst xmlns="http://schemas.openxmlformats.org/spreadsheetml/2006/main" count="180" uniqueCount="99">
  <si>
    <t>游戏ID</t>
  </si>
  <si>
    <t>名字多语言ID</t>
  </si>
  <si>
    <t>中奖线类型</t>
  </si>
  <si>
    <t>消除类型</t>
  </si>
  <si>
    <t>奖池规则ID</t>
  </si>
  <si>
    <t>初始行数</t>
  </si>
  <si>
    <t>初始列数</t>
  </si>
  <si>
    <t>押分倍数</t>
  </si>
  <si>
    <t>线注倍数</t>
  </si>
  <si>
    <t>最大线数</t>
  </si>
  <si>
    <t>单线押分</t>
  </si>
  <si>
    <t>总押分</t>
  </si>
  <si>
    <t>中奖倍率</t>
  </si>
  <si>
    <t>中奖金额</t>
  </si>
  <si>
    <t>是否自动完成</t>
  </si>
  <si>
    <t>int</t>
  </si>
  <si>
    <t>List&lt;int&gt;{|}</t>
  </si>
  <si>
    <t>List&lt;int&gt;{:}</t>
  </si>
  <si>
    <t>id</t>
  </si>
  <si>
    <t>name</t>
  </si>
  <si>
    <t>lineType</t>
  </si>
  <si>
    <t>type</t>
  </si>
  <si>
    <t>prizePoolIdList</t>
  </si>
  <si>
    <t>rows</t>
  </si>
  <si>
    <t>cols</t>
  </si>
  <si>
    <t>betMultiple</t>
  </si>
  <si>
    <t>lineMultiple</t>
  </si>
  <si>
    <t>maxLine</t>
  </si>
  <si>
    <t>autoCompletion</t>
  </si>
  <si>
    <t>金矿大亨</t>
  </si>
  <si>
    <t>需判断中奖线BaseLine表</t>
  </si>
  <si>
    <t>不消除</t>
  </si>
  <si>
    <t>100100101|100100102|100100103|100100104</t>
  </si>
  <si>
    <t>用于计算坐标ID</t>
  </si>
  <si>
    <t>超级明星</t>
  </si>
  <si>
    <t>满线,不需要走BaseLine表</t>
  </si>
  <si>
    <t>100300101|100300102|100300103|100300104</t>
  </si>
  <si>
    <t>麻将胡了</t>
  </si>
  <si>
    <t>中奖后消除</t>
  </si>
  <si>
    <t>财神</t>
  </si>
  <si>
    <t>埃及艳后</t>
  </si>
  <si>
    <t>财富银行</t>
  </si>
  <si>
    <t>102400101|102400102|102400103|102400104</t>
  </si>
  <si>
    <t>圣诞狂欢夜</t>
  </si>
  <si>
    <t>101700101|101700102|101700103|101700104</t>
  </si>
  <si>
    <t>雷神</t>
  </si>
  <si>
    <t>102200101|102200102|102200103|102200104</t>
  </si>
  <si>
    <t>杰克船长</t>
  </si>
  <si>
    <t>102100101|102100102|102100103|102100104</t>
  </si>
  <si>
    <t>篮球巨星</t>
  </si>
  <si>
    <t>101800101|101800102|101800103|101800104</t>
  </si>
  <si>
    <t>寒冰王座</t>
  </si>
  <si>
    <t>102500101|102500102|102500103|102500104</t>
  </si>
  <si>
    <t>蒸汽时代</t>
  </si>
  <si>
    <t>102300101|102300102|102300103|102300104</t>
  </si>
  <si>
    <t>神马飞扬</t>
  </si>
  <si>
    <t>金蛇招财</t>
  </si>
  <si>
    <t>103500101|103500102|103500103|103500104</t>
  </si>
  <si>
    <t>金钱兔</t>
  </si>
  <si>
    <t>103501101|103501102|103501103|103501104</t>
  </si>
  <si>
    <t>鼠鼠福福</t>
  </si>
  <si>
    <t>王牌DJ</t>
  </si>
  <si>
    <t>102800101|102800102|102800103|102800104</t>
  </si>
  <si>
    <t>虎虎生财</t>
  </si>
  <si>
    <t>宙斯vs哈迪斯</t>
  </si>
  <si>
    <t>102000101|102000102|102000103|102000104</t>
  </si>
  <si>
    <t>恶魔之子</t>
  </si>
  <si>
    <t>103800101|103800102|103800103|103800104</t>
  </si>
  <si>
    <t>象财神</t>
  </si>
  <si>
    <t>102700101|102700102|102700103|102700104</t>
  </si>
  <si>
    <t>10倍金牛</t>
  </si>
  <si>
    <t>绿巨人</t>
  </si>
  <si>
    <t>103100101|103100102|103100103|103100104</t>
  </si>
  <si>
    <t>潘金莲</t>
  </si>
  <si>
    <t>104000101|104000102|104000103|104000104</t>
  </si>
  <si>
    <t>愤怒的小鸡</t>
  </si>
  <si>
    <t>103900101|103900102|103900103|103900104</t>
  </si>
  <si>
    <t>热血足球</t>
  </si>
  <si>
    <t>101600101|101600102|101600103|101600104</t>
  </si>
  <si>
    <t>狼月</t>
  </si>
  <si>
    <t>101500101|101500102|101500103|101500104</t>
  </si>
  <si>
    <t>寻宝黄金城</t>
  </si>
  <si>
    <t>102600101|102600102|102600103|102600104</t>
  </si>
  <si>
    <t>澳门壕梦</t>
  </si>
  <si>
    <t>105000101|105000102|105000103|105000104</t>
  </si>
  <si>
    <t>糖果派对</t>
  </si>
  <si>
    <t>105100101|105100102|105100103|105100104</t>
  </si>
  <si>
    <t>黄金帝国</t>
  </si>
  <si>
    <t>105400101|105400102|105400103|105400104</t>
  </si>
  <si>
    <t>招财猫</t>
  </si>
  <si>
    <t>100800101|100800102|100800103|100800104</t>
  </si>
  <si>
    <t>麻将胡了2</t>
  </si>
  <si>
    <t>赏金大对决</t>
  </si>
  <si>
    <t>105700101|105700102|105700103|105700104</t>
  </si>
  <si>
    <t>极速糖果1000</t>
  </si>
  <si>
    <t>伽罗宝石</t>
  </si>
  <si>
    <t>超级高尔夫</t>
  </si>
  <si>
    <t>104800101|104800102|104800103|104800104</t>
  </si>
  <si>
    <t>伽罗宝石1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</si>
</sst>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b/>
      <sz val="11"/>
      <color theme="1"/>
      <name val="等线"/>
      <charset val="134"/>
      <scheme val="minor"/>
    </font>
    <font>
      <sz val="10"/>
      <name val="微软雅黑"/>
      <charset val="134"/>
    </font>
    <font>
      <b/>
      <sz val="10"/>
      <name val="微软雅黑"/>
      <charset val="134"/>
    </font>
    <font>
      <sz val="10"/>
      <color rgb="FF000000"/>
      <name val="微软雅黑"/>
      <charset val="134"/>
    </font>
    <font>
      <b/>
      <sz val="10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rgb="FF000000"/>
      <name val="宋体"/>
      <charset val="134"/>
    </font>
    <font>
      <b/>
      <sz val="9"/>
      <name val="宋体"/>
      <charset val="134"/>
    </font>
    <font>
      <sz val="11"/>
      <color rgb="FF000000"/>
      <name val="宋体"/>
      <charset val="134"/>
    </font>
    <font>
      <sz val="9"/>
      <name val="宋体"/>
      <charset val="134"/>
    </font>
    <font>
      <b/>
      <sz val="9"/>
      <color rgb="FF000000"/>
      <name val="宋体"/>
      <charset val="134"/>
    </font>
    <font>
      <strike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0" fillId="0" borderId="0"/>
  </cellStyleXfs>
  <cellXfs count="23">
    <xf numFmtId="0" fontId="0" fillId="0" borderId="0" xfId="0">
      <alignment vertic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Fill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4" fillId="2" borderId="1" xfId="0" applyFont="1" applyFill="1" applyBorder="1" applyAlignment="1">
      <alignment horizontal="right" vertical="center" wrapText="1"/>
    </xf>
    <xf numFmtId="0" fontId="4" fillId="0" borderId="1" xfId="0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0" fontId="6" fillId="0" borderId="1" xfId="0" applyFont="1" applyBorder="1" applyAlignment="1">
      <alignment horizontal="right" vertical="top"/>
    </xf>
    <xf numFmtId="0" fontId="2" fillId="0" borderId="0" xfId="0" applyFont="1" applyAlignment="1">
      <alignment horizontal="right" vertical="top"/>
    </xf>
    <xf numFmtId="0" fontId="2" fillId="0" borderId="0" xfId="0" applyFont="1" applyFill="1" applyAlignment="1">
      <alignment horizontal="right" vertical="top"/>
    </xf>
    <xf numFmtId="0" fontId="7" fillId="0" borderId="0" xfId="0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6" fillId="0" borderId="0" xfId="0" applyFont="1" applyFill="1" applyAlignment="1">
      <alignment horizontal="right" vertical="top"/>
    </xf>
    <xf numFmtId="0" fontId="2" fillId="0" borderId="0" xfId="0" applyFont="1" applyAlignment="1">
      <alignment horizontal="left" vertical="top"/>
    </xf>
    <xf numFmtId="0" fontId="7" fillId="0" borderId="0" xfId="0" applyFont="1" applyAlignment="1">
      <alignment horizontal="right" vertical="center"/>
    </xf>
    <xf numFmtId="0" fontId="1" fillId="0" borderId="0" xfId="0" applyFont="1" applyFill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6" fillId="0" borderId="0" xfId="0" applyFont="1" applyFill="1" applyBorder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2"/>
  <sheetViews>
    <sheetView tabSelected="1" zoomScale="85" zoomScaleNormal="85" topLeftCell="A34" workbookViewId="0">
      <selection activeCell="E55" sqref="E55"/>
    </sheetView>
  </sheetViews>
  <sheetFormatPr defaultColWidth="9" defaultRowHeight="14.25"/>
  <cols>
    <col min="1" max="1" width="9" style="5"/>
    <col min="2" max="2" width="10.5" style="5" customWidth="1"/>
    <col min="3" max="3" width="13.25" style="5" customWidth="1"/>
    <col min="4" max="5" width="13.25" style="6" customWidth="1"/>
    <col min="6" max="7" width="9" style="5"/>
    <col min="8" max="8" width="51.125" style="5" customWidth="1"/>
    <col min="9" max="10" width="9" style="5"/>
    <col min="11" max="11" width="10.875" style="5" customWidth="1"/>
    <col min="12" max="13" width="12.875" style="7" customWidth="1"/>
    <col min="14" max="18" width="9" style="5"/>
    <col min="19" max="19" width="14.125" style="5" customWidth="1"/>
    <col min="20" max="16384" width="9" style="5"/>
  </cols>
  <sheetData>
    <row r="1" s="1" customFormat="1" ht="21.95" customHeight="1" spans="1:19">
      <c r="A1" s="8" t="s">
        <v>0</v>
      </c>
      <c r="B1" s="8" t="s">
        <v>1</v>
      </c>
      <c r="C1" s="8"/>
      <c r="D1" s="8" t="s">
        <v>2</v>
      </c>
      <c r="E1" s="9"/>
      <c r="F1" s="8" t="s">
        <v>3</v>
      </c>
      <c r="G1" s="8"/>
      <c r="H1" s="8" t="s">
        <v>4</v>
      </c>
      <c r="I1" s="8" t="s">
        <v>5</v>
      </c>
      <c r="J1" s="8" t="s">
        <v>6</v>
      </c>
      <c r="K1" s="8"/>
      <c r="L1" s="10" t="s">
        <v>7</v>
      </c>
      <c r="M1" s="10" t="s">
        <v>8</v>
      </c>
      <c r="N1" s="8" t="s">
        <v>9</v>
      </c>
      <c r="O1" s="11" t="s">
        <v>10</v>
      </c>
      <c r="P1" s="11" t="s">
        <v>11</v>
      </c>
      <c r="Q1" s="11" t="s">
        <v>12</v>
      </c>
      <c r="R1" s="11" t="s">
        <v>13</v>
      </c>
      <c r="S1" s="8" t="s">
        <v>14</v>
      </c>
    </row>
    <row r="2" s="1" customFormat="1" ht="16.5" spans="1:19">
      <c r="A2" s="12" t="s">
        <v>15</v>
      </c>
      <c r="B2" s="13" t="s">
        <v>15</v>
      </c>
      <c r="C2" s="12"/>
      <c r="D2" s="14" t="s">
        <v>15</v>
      </c>
      <c r="E2" s="14"/>
      <c r="F2" s="13" t="s">
        <v>15</v>
      </c>
      <c r="G2" s="13"/>
      <c r="H2" s="13" t="s">
        <v>16</v>
      </c>
      <c r="I2" s="13" t="s">
        <v>15</v>
      </c>
      <c r="J2" s="13" t="s">
        <v>15</v>
      </c>
      <c r="K2" s="13"/>
      <c r="L2" s="15" t="s">
        <v>17</v>
      </c>
      <c r="M2" s="15" t="s">
        <v>17</v>
      </c>
      <c r="N2" s="13" t="s">
        <v>15</v>
      </c>
      <c r="O2" s="13"/>
      <c r="P2" s="13"/>
      <c r="Q2" s="13"/>
      <c r="R2" s="13"/>
      <c r="S2" s="16" t="s">
        <v>15</v>
      </c>
    </row>
    <row r="3" s="1" customFormat="1" ht="16.5" spans="1:19">
      <c r="A3" s="12" t="s">
        <v>18</v>
      </c>
      <c r="B3" s="12" t="s">
        <v>19</v>
      </c>
      <c r="C3" s="12"/>
      <c r="D3" s="17" t="s">
        <v>20</v>
      </c>
      <c r="E3" s="17"/>
      <c r="F3" s="13" t="s">
        <v>21</v>
      </c>
      <c r="G3" s="13"/>
      <c r="H3" s="13" t="s">
        <v>22</v>
      </c>
      <c r="I3" s="13" t="s">
        <v>23</v>
      </c>
      <c r="J3" s="13" t="s">
        <v>24</v>
      </c>
      <c r="K3" s="13"/>
      <c r="L3" s="15" t="s">
        <v>25</v>
      </c>
      <c r="M3" s="15" t="s">
        <v>26</v>
      </c>
      <c r="N3" s="13" t="s">
        <v>27</v>
      </c>
      <c r="O3" s="13"/>
      <c r="P3" s="13"/>
      <c r="Q3" s="13"/>
      <c r="R3" s="13"/>
      <c r="S3" s="16" t="s">
        <v>28</v>
      </c>
    </row>
    <row r="4" s="1" customFormat="1" ht="16.5" spans="1:19">
      <c r="A4" s="12"/>
      <c r="B4" s="12"/>
      <c r="C4" s="12"/>
      <c r="D4" s="17"/>
      <c r="E4" s="17"/>
      <c r="F4" s="13"/>
      <c r="G4" s="13"/>
      <c r="H4" s="13"/>
      <c r="I4" s="13"/>
      <c r="J4" s="13"/>
      <c r="K4" s="13"/>
      <c r="L4" s="15"/>
      <c r="M4" s="15"/>
      <c r="N4" s="13"/>
      <c r="O4" s="13"/>
      <c r="P4" s="13"/>
      <c r="Q4" s="13"/>
      <c r="R4" s="13"/>
      <c r="S4" s="16"/>
    </row>
    <row r="5" s="2" customFormat="1" ht="16.5" spans="1:19">
      <c r="A5" s="12">
        <v>100100</v>
      </c>
      <c r="B5" s="12">
        <v>100100026</v>
      </c>
      <c r="C5" s="12" t="s">
        <v>29</v>
      </c>
      <c r="D5" s="17">
        <v>1</v>
      </c>
      <c r="E5" s="17" t="s">
        <v>30</v>
      </c>
      <c r="F5" s="13">
        <v>0</v>
      </c>
      <c r="G5" s="13" t="s">
        <v>31</v>
      </c>
      <c r="H5" s="13" t="s">
        <v>32</v>
      </c>
      <c r="I5" s="13">
        <v>4</v>
      </c>
      <c r="J5" s="13">
        <v>5</v>
      </c>
      <c r="K5" s="18" t="s">
        <v>33</v>
      </c>
      <c r="L5" s="15">
        <v>1</v>
      </c>
      <c r="M5" s="15">
        <v>2</v>
      </c>
      <c r="N5" s="13">
        <v>50</v>
      </c>
      <c r="O5" s="13">
        <v>1</v>
      </c>
      <c r="P5" s="13">
        <f>N5*M5*L5*O5</f>
        <v>100</v>
      </c>
      <c r="Q5" s="13">
        <v>5</v>
      </c>
      <c r="R5" s="13">
        <f>P5*Q5/N5/M5</f>
        <v>5</v>
      </c>
      <c r="S5" s="16">
        <v>1</v>
      </c>
    </row>
    <row r="6" s="2" customFormat="1" ht="16.5" spans="1:19">
      <c r="A6" s="12">
        <v>100300</v>
      </c>
      <c r="B6" s="12">
        <v>100300001</v>
      </c>
      <c r="C6" s="12" t="s">
        <v>34</v>
      </c>
      <c r="D6" s="17">
        <v>1</v>
      </c>
      <c r="E6" s="17" t="s">
        <v>35</v>
      </c>
      <c r="F6" s="13">
        <v>0</v>
      </c>
      <c r="G6" s="13" t="s">
        <v>31</v>
      </c>
      <c r="H6" s="13" t="s">
        <v>36</v>
      </c>
      <c r="I6" s="13">
        <v>3</v>
      </c>
      <c r="J6" s="13">
        <v>3</v>
      </c>
      <c r="K6" s="13"/>
      <c r="L6" s="15">
        <v>1</v>
      </c>
      <c r="M6" s="15">
        <v>1</v>
      </c>
      <c r="N6" s="13">
        <v>1</v>
      </c>
      <c r="O6" s="13">
        <v>1</v>
      </c>
      <c r="P6" s="13">
        <f t="shared" ref="P6:P32" si="0">N6*M6*L6*O6</f>
        <v>1</v>
      </c>
      <c r="Q6" s="13">
        <v>1</v>
      </c>
      <c r="R6" s="13">
        <f t="shared" ref="R6:R32" si="1">P6*Q6/N6/M6</f>
        <v>1</v>
      </c>
      <c r="S6" s="16">
        <v>1</v>
      </c>
    </row>
    <row r="7" s="2" customFormat="1" ht="16.5" spans="1:19">
      <c r="A7" s="12">
        <v>100700</v>
      </c>
      <c r="B7" s="12">
        <v>100700001</v>
      </c>
      <c r="C7" s="12" t="s">
        <v>37</v>
      </c>
      <c r="D7" s="17">
        <v>0</v>
      </c>
      <c r="E7" s="17" t="s">
        <v>35</v>
      </c>
      <c r="F7" s="13">
        <v>1</v>
      </c>
      <c r="G7" s="13" t="s">
        <v>38</v>
      </c>
      <c r="H7" s="13">
        <v>0</v>
      </c>
      <c r="I7" s="13">
        <v>4</v>
      </c>
      <c r="J7" s="13">
        <v>5</v>
      </c>
      <c r="K7" s="13"/>
      <c r="L7" s="15">
        <v>1</v>
      </c>
      <c r="M7" s="15">
        <v>1</v>
      </c>
      <c r="N7" s="13">
        <v>20</v>
      </c>
      <c r="O7" s="13">
        <v>0.05</v>
      </c>
      <c r="P7" s="13">
        <f t="shared" si="0"/>
        <v>1</v>
      </c>
      <c r="Q7" s="13">
        <v>2</v>
      </c>
      <c r="R7" s="13">
        <f t="shared" si="1"/>
        <v>0.1</v>
      </c>
      <c r="S7" s="16">
        <v>1</v>
      </c>
    </row>
    <row r="8" s="2" customFormat="1" ht="16.5" spans="1:19">
      <c r="A8" s="12">
        <v>101200</v>
      </c>
      <c r="B8" s="12">
        <v>101200001</v>
      </c>
      <c r="C8" s="12" t="s">
        <v>39</v>
      </c>
      <c r="D8" s="17">
        <v>1</v>
      </c>
      <c r="E8" s="17" t="s">
        <v>35</v>
      </c>
      <c r="F8" s="13">
        <v>0</v>
      </c>
      <c r="G8" s="13" t="s">
        <v>31</v>
      </c>
      <c r="H8" s="13">
        <v>0</v>
      </c>
      <c r="I8" s="13">
        <v>3</v>
      </c>
      <c r="J8" s="13">
        <v>5</v>
      </c>
      <c r="K8" s="13"/>
      <c r="L8" s="15">
        <v>1</v>
      </c>
      <c r="M8" s="15">
        <v>1</v>
      </c>
      <c r="N8" s="13">
        <v>15</v>
      </c>
      <c r="O8" s="13">
        <v>1</v>
      </c>
      <c r="P8" s="13">
        <f t="shared" si="0"/>
        <v>15</v>
      </c>
      <c r="Q8" s="13">
        <v>1</v>
      </c>
      <c r="R8" s="13">
        <f t="shared" si="1"/>
        <v>1</v>
      </c>
      <c r="S8" s="16">
        <v>1</v>
      </c>
    </row>
    <row r="9" s="2" customFormat="1" ht="16.5" spans="1:19">
      <c r="A9" s="12">
        <v>101400</v>
      </c>
      <c r="B9" s="12">
        <v>101400001</v>
      </c>
      <c r="C9" s="12" t="s">
        <v>40</v>
      </c>
      <c r="D9" s="17">
        <v>0</v>
      </c>
      <c r="E9" s="17" t="s">
        <v>35</v>
      </c>
      <c r="F9" s="13">
        <v>0</v>
      </c>
      <c r="G9" s="13" t="s">
        <v>31</v>
      </c>
      <c r="H9" s="13">
        <v>101400101</v>
      </c>
      <c r="I9" s="13">
        <v>4</v>
      </c>
      <c r="J9" s="13">
        <v>3</v>
      </c>
      <c r="K9" s="13"/>
      <c r="L9" s="15">
        <v>1</v>
      </c>
      <c r="M9" s="15">
        <v>1</v>
      </c>
      <c r="N9" s="13">
        <v>10</v>
      </c>
      <c r="O9" s="13">
        <v>0.05</v>
      </c>
      <c r="P9" s="13">
        <f t="shared" si="0"/>
        <v>0.5</v>
      </c>
      <c r="Q9" s="13">
        <v>6</v>
      </c>
      <c r="R9" s="13">
        <f t="shared" si="1"/>
        <v>0.3</v>
      </c>
      <c r="S9" s="16">
        <v>1</v>
      </c>
    </row>
    <row r="10" s="2" customFormat="1" ht="16.5" spans="1:19">
      <c r="A10" s="12">
        <v>102400</v>
      </c>
      <c r="B10" s="12">
        <v>102400026</v>
      </c>
      <c r="C10" s="12" t="s">
        <v>41</v>
      </c>
      <c r="D10" s="17">
        <v>1</v>
      </c>
      <c r="E10" s="17" t="s">
        <v>30</v>
      </c>
      <c r="F10" s="13">
        <v>0</v>
      </c>
      <c r="G10" s="13" t="s">
        <v>31</v>
      </c>
      <c r="H10" s="13" t="s">
        <v>42</v>
      </c>
      <c r="I10" s="13">
        <v>4</v>
      </c>
      <c r="J10" s="13">
        <v>5</v>
      </c>
      <c r="K10" s="18" t="s">
        <v>33</v>
      </c>
      <c r="L10" s="15">
        <v>1</v>
      </c>
      <c r="M10" s="15">
        <v>2</v>
      </c>
      <c r="N10" s="13">
        <v>50</v>
      </c>
      <c r="O10" s="13">
        <v>1</v>
      </c>
      <c r="P10" s="13">
        <f t="shared" si="0"/>
        <v>100</v>
      </c>
      <c r="Q10" s="13">
        <v>5</v>
      </c>
      <c r="R10" s="13">
        <f t="shared" si="1"/>
        <v>5</v>
      </c>
      <c r="S10" s="16">
        <v>1</v>
      </c>
    </row>
    <row r="11" s="2" customFormat="1" ht="16.5" spans="1:19">
      <c r="A11" s="12">
        <v>101700</v>
      </c>
      <c r="B11" s="12">
        <v>101700001</v>
      </c>
      <c r="C11" s="12" t="s">
        <v>43</v>
      </c>
      <c r="D11" s="17">
        <v>0</v>
      </c>
      <c r="E11" s="17" t="s">
        <v>35</v>
      </c>
      <c r="F11" s="13">
        <v>1</v>
      </c>
      <c r="G11" s="13" t="s">
        <v>38</v>
      </c>
      <c r="H11" s="13" t="s">
        <v>44</v>
      </c>
      <c r="I11" s="13">
        <v>4</v>
      </c>
      <c r="J11" s="13">
        <v>5</v>
      </c>
      <c r="K11" s="13"/>
      <c r="L11" s="15">
        <v>1</v>
      </c>
      <c r="M11" s="15">
        <v>1</v>
      </c>
      <c r="N11" s="13">
        <v>20</v>
      </c>
      <c r="O11" s="13">
        <v>1</v>
      </c>
      <c r="P11" s="13">
        <f t="shared" si="0"/>
        <v>20</v>
      </c>
      <c r="Q11" s="13">
        <v>2</v>
      </c>
      <c r="R11" s="13">
        <f t="shared" si="1"/>
        <v>2</v>
      </c>
      <c r="S11" s="16">
        <v>1</v>
      </c>
    </row>
    <row r="12" s="3" customFormat="1" ht="16.5" spans="1:19">
      <c r="A12" s="3">
        <v>102200</v>
      </c>
      <c r="B12" s="3">
        <v>102200001</v>
      </c>
      <c r="C12" s="3" t="s">
        <v>45</v>
      </c>
      <c r="D12" s="17">
        <v>1</v>
      </c>
      <c r="E12" s="17" t="s">
        <v>30</v>
      </c>
      <c r="F12" s="13">
        <v>0</v>
      </c>
      <c r="G12" s="13" t="s">
        <v>31</v>
      </c>
      <c r="H12" s="13" t="s">
        <v>46</v>
      </c>
      <c r="I12" s="3">
        <v>3</v>
      </c>
      <c r="J12" s="3">
        <v>5</v>
      </c>
      <c r="L12" s="19">
        <v>1</v>
      </c>
      <c r="M12" s="19">
        <v>1</v>
      </c>
      <c r="N12" s="3">
        <v>25</v>
      </c>
      <c r="O12" s="13">
        <v>1</v>
      </c>
      <c r="P12" s="13">
        <f t="shared" si="0"/>
        <v>25</v>
      </c>
      <c r="Q12" s="13">
        <v>1</v>
      </c>
      <c r="R12" s="13">
        <f t="shared" si="1"/>
        <v>1</v>
      </c>
      <c r="S12" s="16">
        <v>1</v>
      </c>
    </row>
    <row r="13" s="3" customFormat="1" ht="16.5" spans="1:19">
      <c r="A13" s="3">
        <v>102100</v>
      </c>
      <c r="B13" s="3">
        <v>102100001</v>
      </c>
      <c r="C13" s="3" t="s">
        <v>47</v>
      </c>
      <c r="D13" s="17">
        <v>0</v>
      </c>
      <c r="E13" s="17" t="s">
        <v>35</v>
      </c>
      <c r="F13" s="13">
        <v>1</v>
      </c>
      <c r="G13" s="13" t="s">
        <v>38</v>
      </c>
      <c r="H13" s="13" t="s">
        <v>48</v>
      </c>
      <c r="I13" s="3">
        <v>3</v>
      </c>
      <c r="J13" s="3">
        <v>5</v>
      </c>
      <c r="L13" s="19">
        <v>1</v>
      </c>
      <c r="M13" s="19">
        <v>1</v>
      </c>
      <c r="N13" s="3">
        <v>20</v>
      </c>
      <c r="O13" s="13">
        <v>1</v>
      </c>
      <c r="P13" s="13">
        <f t="shared" si="0"/>
        <v>20</v>
      </c>
      <c r="Q13" s="13">
        <v>1</v>
      </c>
      <c r="R13" s="13">
        <f t="shared" si="1"/>
        <v>1</v>
      </c>
      <c r="S13" s="16">
        <v>1</v>
      </c>
    </row>
    <row r="14" s="3" customFormat="1" ht="16.5" spans="1:19">
      <c r="A14" s="3">
        <v>101800</v>
      </c>
      <c r="B14" s="3">
        <v>101800001</v>
      </c>
      <c r="C14" s="3" t="s">
        <v>49</v>
      </c>
      <c r="D14" s="17">
        <v>0</v>
      </c>
      <c r="E14" s="17" t="s">
        <v>35</v>
      </c>
      <c r="F14" s="13">
        <v>0</v>
      </c>
      <c r="G14" s="13" t="s">
        <v>31</v>
      </c>
      <c r="H14" s="13" t="s">
        <v>50</v>
      </c>
      <c r="I14" s="3">
        <v>4</v>
      </c>
      <c r="J14" s="3">
        <v>6</v>
      </c>
      <c r="L14" s="19">
        <v>1</v>
      </c>
      <c r="M14" s="19">
        <v>1</v>
      </c>
      <c r="N14" s="3">
        <v>20</v>
      </c>
      <c r="O14" s="13">
        <v>1</v>
      </c>
      <c r="P14" s="13">
        <f t="shared" si="0"/>
        <v>20</v>
      </c>
      <c r="Q14" s="13">
        <v>1</v>
      </c>
      <c r="R14" s="13">
        <f t="shared" si="1"/>
        <v>1</v>
      </c>
      <c r="S14" s="16">
        <v>1</v>
      </c>
    </row>
    <row r="15" s="3" customFormat="1" ht="16.5" spans="1:19">
      <c r="A15" s="3">
        <v>102500</v>
      </c>
      <c r="B15" s="3">
        <v>102500001</v>
      </c>
      <c r="C15" s="3" t="s">
        <v>51</v>
      </c>
      <c r="D15" s="17">
        <v>1</v>
      </c>
      <c r="E15" s="17" t="s">
        <v>30</v>
      </c>
      <c r="F15" s="13">
        <v>0</v>
      </c>
      <c r="G15" s="13" t="s">
        <v>31</v>
      </c>
      <c r="H15" s="13" t="s">
        <v>52</v>
      </c>
      <c r="I15" s="3">
        <v>3</v>
      </c>
      <c r="J15" s="3">
        <v>5</v>
      </c>
      <c r="L15" s="19">
        <v>1</v>
      </c>
      <c r="M15" s="19">
        <v>1</v>
      </c>
      <c r="N15" s="3">
        <v>50</v>
      </c>
      <c r="O15" s="13">
        <v>1</v>
      </c>
      <c r="P15" s="13">
        <f t="shared" si="0"/>
        <v>50</v>
      </c>
      <c r="Q15" s="13">
        <v>1</v>
      </c>
      <c r="R15" s="13">
        <f t="shared" si="1"/>
        <v>1</v>
      </c>
      <c r="S15" s="16">
        <v>1</v>
      </c>
    </row>
    <row r="16" s="3" customFormat="1" ht="16.5" spans="1:19">
      <c r="A16" s="3">
        <v>102300</v>
      </c>
      <c r="B16" s="3">
        <v>102300001</v>
      </c>
      <c r="C16" s="3" t="s">
        <v>53</v>
      </c>
      <c r="D16" s="17">
        <v>0</v>
      </c>
      <c r="E16" s="17" t="s">
        <v>35</v>
      </c>
      <c r="F16" s="13">
        <v>0</v>
      </c>
      <c r="G16" s="13" t="s">
        <v>31</v>
      </c>
      <c r="H16" s="13" t="s">
        <v>54</v>
      </c>
      <c r="I16" s="3">
        <v>4</v>
      </c>
      <c r="J16" s="3">
        <v>5</v>
      </c>
      <c r="L16" s="19">
        <v>1</v>
      </c>
      <c r="M16" s="19">
        <v>1</v>
      </c>
      <c r="N16" s="3">
        <v>20</v>
      </c>
      <c r="O16" s="13">
        <v>1</v>
      </c>
      <c r="P16" s="13">
        <f t="shared" si="0"/>
        <v>20</v>
      </c>
      <c r="Q16" s="13">
        <v>1</v>
      </c>
      <c r="R16" s="13">
        <f t="shared" si="1"/>
        <v>1</v>
      </c>
      <c r="S16" s="16">
        <v>1</v>
      </c>
    </row>
    <row r="17" s="3" customFormat="1" ht="16.5" spans="1:19">
      <c r="A17" s="3">
        <v>103400</v>
      </c>
      <c r="B17" s="3">
        <v>103000001</v>
      </c>
      <c r="C17" s="3" t="s">
        <v>55</v>
      </c>
      <c r="D17" s="17">
        <v>1</v>
      </c>
      <c r="E17" s="17" t="s">
        <v>30</v>
      </c>
      <c r="F17" s="13">
        <v>0</v>
      </c>
      <c r="G17" s="13" t="s">
        <v>31</v>
      </c>
      <c r="H17" s="13">
        <v>103400101</v>
      </c>
      <c r="I17" s="3">
        <v>3</v>
      </c>
      <c r="J17" s="3">
        <v>3</v>
      </c>
      <c r="L17" s="19">
        <v>1</v>
      </c>
      <c r="M17" s="19">
        <v>1</v>
      </c>
      <c r="N17" s="3">
        <v>5</v>
      </c>
      <c r="O17" s="13">
        <v>1</v>
      </c>
      <c r="P17" s="13">
        <f t="shared" si="0"/>
        <v>5</v>
      </c>
      <c r="Q17" s="13">
        <v>1</v>
      </c>
      <c r="R17" s="13">
        <f t="shared" si="1"/>
        <v>1</v>
      </c>
      <c r="S17" s="16">
        <v>1</v>
      </c>
    </row>
    <row r="18" s="3" customFormat="1" ht="16.5" spans="1:19">
      <c r="A18" s="3">
        <v>103500</v>
      </c>
      <c r="B18" s="3">
        <v>102900001</v>
      </c>
      <c r="C18" s="3" t="s">
        <v>56</v>
      </c>
      <c r="D18" s="17">
        <v>1</v>
      </c>
      <c r="E18" s="17" t="s">
        <v>30</v>
      </c>
      <c r="F18" s="13">
        <v>0</v>
      </c>
      <c r="G18" s="13" t="s">
        <v>31</v>
      </c>
      <c r="H18" s="13" t="s">
        <v>57</v>
      </c>
      <c r="I18" s="3">
        <v>4</v>
      </c>
      <c r="J18" s="3">
        <v>3</v>
      </c>
      <c r="L18" s="19">
        <v>1</v>
      </c>
      <c r="M18" s="19">
        <v>1</v>
      </c>
      <c r="N18" s="3">
        <v>10</v>
      </c>
      <c r="O18" s="13">
        <v>1</v>
      </c>
      <c r="P18" s="13">
        <f t="shared" si="0"/>
        <v>10</v>
      </c>
      <c r="Q18" s="13">
        <v>1</v>
      </c>
      <c r="R18" s="13">
        <f t="shared" si="1"/>
        <v>1</v>
      </c>
      <c r="S18" s="16">
        <v>1</v>
      </c>
    </row>
    <row r="19" s="3" customFormat="1" ht="16.5" spans="1:19">
      <c r="A19" s="3">
        <v>103501</v>
      </c>
      <c r="B19" s="3">
        <v>103501001</v>
      </c>
      <c r="C19" s="3" t="s">
        <v>58</v>
      </c>
      <c r="D19" s="17">
        <v>1</v>
      </c>
      <c r="E19" s="17" t="s">
        <v>30</v>
      </c>
      <c r="F19" s="13">
        <v>0</v>
      </c>
      <c r="G19" s="13" t="s">
        <v>31</v>
      </c>
      <c r="H19" s="13" t="s">
        <v>59</v>
      </c>
      <c r="I19" s="3">
        <v>4</v>
      </c>
      <c r="J19" s="3">
        <v>3</v>
      </c>
      <c r="L19" s="19">
        <v>1</v>
      </c>
      <c r="M19" s="19">
        <v>1</v>
      </c>
      <c r="N19" s="3">
        <v>10</v>
      </c>
      <c r="O19" s="13">
        <v>1</v>
      </c>
      <c r="P19" s="13">
        <f t="shared" si="0"/>
        <v>10</v>
      </c>
      <c r="Q19" s="13">
        <v>1</v>
      </c>
      <c r="R19" s="13">
        <f t="shared" si="1"/>
        <v>1</v>
      </c>
      <c r="S19" s="16">
        <v>1</v>
      </c>
    </row>
    <row r="20" s="3" customFormat="1" ht="16.5" spans="1:19">
      <c r="A20" s="3">
        <v>103600</v>
      </c>
      <c r="B20" s="3">
        <v>103600001</v>
      </c>
      <c r="C20" s="3" t="s">
        <v>60</v>
      </c>
      <c r="D20" s="17">
        <v>1</v>
      </c>
      <c r="E20" s="17" t="s">
        <v>30</v>
      </c>
      <c r="F20" s="13">
        <v>0</v>
      </c>
      <c r="G20" s="13" t="s">
        <v>31</v>
      </c>
      <c r="H20" s="13">
        <v>103600101</v>
      </c>
      <c r="I20" s="3">
        <v>3</v>
      </c>
      <c r="J20" s="3">
        <v>3</v>
      </c>
      <c r="L20" s="19">
        <v>1</v>
      </c>
      <c r="M20" s="19">
        <v>1</v>
      </c>
      <c r="N20" s="3">
        <v>5</v>
      </c>
      <c r="O20" s="13">
        <v>1</v>
      </c>
      <c r="P20" s="13">
        <f t="shared" si="0"/>
        <v>5</v>
      </c>
      <c r="Q20" s="13">
        <v>1</v>
      </c>
      <c r="R20" s="13">
        <f t="shared" si="1"/>
        <v>1</v>
      </c>
      <c r="S20" s="16">
        <v>1</v>
      </c>
    </row>
    <row r="21" s="3" customFormat="1" ht="16.5" spans="1:19">
      <c r="A21" s="3">
        <v>102800</v>
      </c>
      <c r="B21" s="3">
        <v>102800001</v>
      </c>
      <c r="C21" s="3" t="s">
        <v>61</v>
      </c>
      <c r="D21" s="17">
        <v>0</v>
      </c>
      <c r="E21" s="17" t="s">
        <v>35</v>
      </c>
      <c r="F21" s="13">
        <v>1</v>
      </c>
      <c r="G21" s="13" t="s">
        <v>38</v>
      </c>
      <c r="H21" s="13" t="s">
        <v>62</v>
      </c>
      <c r="I21" s="3">
        <v>5</v>
      </c>
      <c r="J21" s="3">
        <v>6</v>
      </c>
      <c r="L21" s="19">
        <v>1</v>
      </c>
      <c r="M21" s="19">
        <v>1</v>
      </c>
      <c r="N21" s="3">
        <v>20</v>
      </c>
      <c r="O21" s="13">
        <v>1</v>
      </c>
      <c r="P21" s="13">
        <f t="shared" si="0"/>
        <v>20</v>
      </c>
      <c r="Q21" s="13">
        <v>1</v>
      </c>
      <c r="R21" s="13">
        <f t="shared" si="1"/>
        <v>1</v>
      </c>
      <c r="S21" s="16">
        <v>1</v>
      </c>
    </row>
    <row r="22" s="3" customFormat="1" ht="16.5" spans="1:19">
      <c r="A22" s="3">
        <v>103401</v>
      </c>
      <c r="B22" s="3">
        <v>103401001</v>
      </c>
      <c r="C22" s="3" t="s">
        <v>63</v>
      </c>
      <c r="D22" s="17">
        <v>1</v>
      </c>
      <c r="E22" s="17" t="s">
        <v>30</v>
      </c>
      <c r="F22" s="13">
        <v>0</v>
      </c>
      <c r="G22" s="13" t="s">
        <v>31</v>
      </c>
      <c r="H22" s="13">
        <v>103401101</v>
      </c>
      <c r="I22" s="3">
        <v>3</v>
      </c>
      <c r="J22" s="3">
        <v>3</v>
      </c>
      <c r="L22" s="19">
        <v>1</v>
      </c>
      <c r="M22" s="19">
        <v>1</v>
      </c>
      <c r="N22" s="3">
        <v>5</v>
      </c>
      <c r="O22" s="13">
        <v>1</v>
      </c>
      <c r="P22" s="13">
        <f t="shared" si="0"/>
        <v>5</v>
      </c>
      <c r="Q22" s="13">
        <v>1</v>
      </c>
      <c r="R22" s="13">
        <f t="shared" si="1"/>
        <v>1</v>
      </c>
      <c r="S22" s="16">
        <v>1</v>
      </c>
    </row>
    <row r="23" s="3" customFormat="1" ht="16.5" spans="1:19">
      <c r="A23" s="3">
        <v>102000</v>
      </c>
      <c r="B23" s="3">
        <v>102200001</v>
      </c>
      <c r="C23" s="3" t="s">
        <v>64</v>
      </c>
      <c r="D23" s="17">
        <v>1</v>
      </c>
      <c r="E23" s="17" t="s">
        <v>30</v>
      </c>
      <c r="F23" s="13">
        <v>0</v>
      </c>
      <c r="G23" s="13" t="s">
        <v>31</v>
      </c>
      <c r="H23" s="13" t="s">
        <v>65</v>
      </c>
      <c r="I23" s="3">
        <v>5</v>
      </c>
      <c r="J23" s="3">
        <v>5</v>
      </c>
      <c r="L23" s="19">
        <v>1</v>
      </c>
      <c r="M23" s="19">
        <v>1</v>
      </c>
      <c r="N23" s="3">
        <v>15</v>
      </c>
      <c r="O23" s="13">
        <v>1</v>
      </c>
      <c r="P23" s="13">
        <f t="shared" si="0"/>
        <v>15</v>
      </c>
      <c r="Q23" s="13">
        <v>1</v>
      </c>
      <c r="R23" s="13">
        <f t="shared" si="1"/>
        <v>1</v>
      </c>
      <c r="S23" s="16">
        <v>1</v>
      </c>
    </row>
    <row r="24" s="4" customFormat="1" ht="16.5" spans="1:19">
      <c r="A24" s="4">
        <v>103800</v>
      </c>
      <c r="B24" s="4">
        <v>103800001</v>
      </c>
      <c r="C24" s="4" t="s">
        <v>66</v>
      </c>
      <c r="D24" s="20">
        <v>1</v>
      </c>
      <c r="E24" s="17" t="s">
        <v>30</v>
      </c>
      <c r="F24" s="4">
        <v>0</v>
      </c>
      <c r="G24" s="13" t="s">
        <v>31</v>
      </c>
      <c r="H24" s="13" t="s">
        <v>67</v>
      </c>
      <c r="I24" s="4">
        <v>3</v>
      </c>
      <c r="J24" s="4">
        <v>5</v>
      </c>
      <c r="K24" s="4"/>
      <c r="L24" s="21">
        <v>1</v>
      </c>
      <c r="M24" s="21">
        <v>1</v>
      </c>
      <c r="N24" s="4">
        <v>40</v>
      </c>
      <c r="O24" s="4">
        <v>1</v>
      </c>
      <c r="P24" s="13">
        <f t="shared" si="0"/>
        <v>40</v>
      </c>
      <c r="Q24" s="4">
        <v>1</v>
      </c>
      <c r="R24" s="13">
        <f t="shared" si="1"/>
        <v>1</v>
      </c>
      <c r="S24" s="4">
        <v>1</v>
      </c>
    </row>
    <row r="25" s="4" customFormat="1" ht="16.5" spans="1:19">
      <c r="A25" s="4">
        <v>102700</v>
      </c>
      <c r="B25" s="4">
        <v>102700001</v>
      </c>
      <c r="C25" s="4" t="s">
        <v>68</v>
      </c>
      <c r="D25" s="20">
        <v>0</v>
      </c>
      <c r="E25" s="17" t="s">
        <v>35</v>
      </c>
      <c r="F25" s="4">
        <v>0</v>
      </c>
      <c r="G25" s="13" t="s">
        <v>31</v>
      </c>
      <c r="H25" s="13" t="s">
        <v>69</v>
      </c>
      <c r="I25" s="4">
        <v>3</v>
      </c>
      <c r="J25" s="4">
        <v>5</v>
      </c>
      <c r="K25" s="4"/>
      <c r="L25" s="21">
        <v>1</v>
      </c>
      <c r="M25" s="21">
        <v>1</v>
      </c>
      <c r="N25" s="4">
        <v>20</v>
      </c>
      <c r="O25" s="4">
        <v>1</v>
      </c>
      <c r="P25" s="13">
        <f t="shared" si="0"/>
        <v>20</v>
      </c>
      <c r="Q25" s="4">
        <v>1</v>
      </c>
      <c r="R25" s="13">
        <f t="shared" si="1"/>
        <v>1</v>
      </c>
      <c r="S25" s="4">
        <v>1</v>
      </c>
    </row>
    <row r="26" s="4" customFormat="1" ht="16.5" spans="1:19">
      <c r="A26" s="4">
        <v>103700</v>
      </c>
      <c r="B26" s="4">
        <v>103700001</v>
      </c>
      <c r="C26" s="4" t="s">
        <v>70</v>
      </c>
      <c r="D26" s="20">
        <v>1</v>
      </c>
      <c r="E26" s="17" t="s">
        <v>30</v>
      </c>
      <c r="F26" s="4">
        <v>0</v>
      </c>
      <c r="G26" s="13" t="s">
        <v>31</v>
      </c>
      <c r="H26" s="13">
        <v>103700101</v>
      </c>
      <c r="I26" s="4">
        <v>4</v>
      </c>
      <c r="J26" s="4">
        <v>3</v>
      </c>
      <c r="K26" s="4"/>
      <c r="L26" s="21">
        <v>1</v>
      </c>
      <c r="M26" s="21">
        <v>1</v>
      </c>
      <c r="N26" s="4">
        <v>10</v>
      </c>
      <c r="O26" s="4">
        <v>1</v>
      </c>
      <c r="P26" s="13">
        <f t="shared" si="0"/>
        <v>10</v>
      </c>
      <c r="Q26" s="4">
        <v>1</v>
      </c>
      <c r="R26" s="13">
        <f t="shared" si="1"/>
        <v>1</v>
      </c>
      <c r="S26" s="4">
        <v>1</v>
      </c>
    </row>
    <row r="27" s="4" customFormat="1" ht="16.5" spans="1:19">
      <c r="A27" s="4">
        <v>103100</v>
      </c>
      <c r="B27" s="4">
        <v>103100001</v>
      </c>
      <c r="C27" s="4" t="s">
        <v>71</v>
      </c>
      <c r="D27" s="20">
        <v>1</v>
      </c>
      <c r="E27" s="17" t="s">
        <v>30</v>
      </c>
      <c r="F27" s="4">
        <v>0</v>
      </c>
      <c r="G27" s="13" t="s">
        <v>31</v>
      </c>
      <c r="H27" s="13" t="s">
        <v>72</v>
      </c>
      <c r="I27" s="4">
        <v>3</v>
      </c>
      <c r="J27" s="4">
        <v>5</v>
      </c>
      <c r="K27" s="4"/>
      <c r="L27" s="21">
        <v>1</v>
      </c>
      <c r="M27" s="21">
        <v>1</v>
      </c>
      <c r="N27" s="4">
        <v>25</v>
      </c>
      <c r="O27" s="4">
        <v>1</v>
      </c>
      <c r="P27" s="13">
        <f t="shared" si="0"/>
        <v>25</v>
      </c>
      <c r="Q27" s="4">
        <v>1</v>
      </c>
      <c r="R27" s="13">
        <f t="shared" si="1"/>
        <v>1</v>
      </c>
      <c r="S27" s="4">
        <v>1</v>
      </c>
    </row>
    <row r="28" s="4" customFormat="1" ht="16.5" spans="1:19">
      <c r="A28" s="4">
        <v>104000</v>
      </c>
      <c r="B28" s="4">
        <v>104000001</v>
      </c>
      <c r="C28" s="4" t="s">
        <v>73</v>
      </c>
      <c r="D28" s="20">
        <v>1</v>
      </c>
      <c r="E28" s="17" t="s">
        <v>30</v>
      </c>
      <c r="F28" s="4">
        <v>0</v>
      </c>
      <c r="G28" s="13" t="s">
        <v>31</v>
      </c>
      <c r="H28" s="13" t="s">
        <v>74</v>
      </c>
      <c r="I28" s="4">
        <v>3</v>
      </c>
      <c r="J28" s="4">
        <v>5</v>
      </c>
      <c r="K28" s="4"/>
      <c r="L28" s="21">
        <v>1</v>
      </c>
      <c r="M28" s="21">
        <v>1</v>
      </c>
      <c r="N28" s="4">
        <v>40</v>
      </c>
      <c r="O28" s="4">
        <v>1</v>
      </c>
      <c r="P28" s="13">
        <f t="shared" si="0"/>
        <v>40</v>
      </c>
      <c r="Q28" s="4">
        <v>1</v>
      </c>
      <c r="R28" s="13">
        <f t="shared" si="1"/>
        <v>1</v>
      </c>
      <c r="S28" s="4">
        <v>1</v>
      </c>
    </row>
    <row r="29" s="4" customFormat="1" ht="16.5" spans="1:19">
      <c r="A29" s="4">
        <v>103900</v>
      </c>
      <c r="B29" s="4">
        <v>103900001</v>
      </c>
      <c r="C29" s="4" t="s">
        <v>75</v>
      </c>
      <c r="D29" s="20">
        <v>1</v>
      </c>
      <c r="E29" s="17" t="s">
        <v>30</v>
      </c>
      <c r="F29" s="4">
        <v>0</v>
      </c>
      <c r="G29" s="13" t="s">
        <v>31</v>
      </c>
      <c r="H29" s="13" t="s">
        <v>76</v>
      </c>
      <c r="I29" s="4">
        <v>3</v>
      </c>
      <c r="J29" s="4">
        <v>5</v>
      </c>
      <c r="K29" s="4"/>
      <c r="L29" s="21">
        <v>1</v>
      </c>
      <c r="M29" s="21">
        <v>1</v>
      </c>
      <c r="N29" s="4">
        <v>25</v>
      </c>
      <c r="O29" s="4">
        <v>1</v>
      </c>
      <c r="P29" s="13">
        <f t="shared" si="0"/>
        <v>25</v>
      </c>
      <c r="Q29" s="4">
        <v>1</v>
      </c>
      <c r="R29" s="13">
        <f t="shared" si="1"/>
        <v>1</v>
      </c>
      <c r="S29" s="4">
        <v>1</v>
      </c>
    </row>
    <row r="30" s="4" customFormat="1" ht="16.5" spans="1:19">
      <c r="A30" s="4">
        <v>101600</v>
      </c>
      <c r="B30" s="4">
        <v>101600001</v>
      </c>
      <c r="C30" s="4" t="s">
        <v>77</v>
      </c>
      <c r="D30" s="20">
        <v>0</v>
      </c>
      <c r="E30" s="17" t="s">
        <v>35</v>
      </c>
      <c r="F30" s="4">
        <v>1</v>
      </c>
      <c r="G30" s="13" t="s">
        <v>38</v>
      </c>
      <c r="H30" s="13" t="s">
        <v>78</v>
      </c>
      <c r="I30" s="4">
        <v>6</v>
      </c>
      <c r="J30" s="4">
        <v>6</v>
      </c>
      <c r="K30" s="4"/>
      <c r="L30" s="21">
        <v>1</v>
      </c>
      <c r="M30" s="21">
        <v>1</v>
      </c>
      <c r="N30" s="4">
        <v>20</v>
      </c>
      <c r="O30" s="4">
        <v>1</v>
      </c>
      <c r="P30" s="13">
        <f t="shared" si="0"/>
        <v>20</v>
      </c>
      <c r="Q30" s="4">
        <v>1</v>
      </c>
      <c r="R30" s="13">
        <f t="shared" si="1"/>
        <v>1</v>
      </c>
      <c r="S30" s="4">
        <v>1</v>
      </c>
    </row>
    <row r="31" s="4" customFormat="1" ht="16.5" spans="1:19">
      <c r="A31" s="4">
        <v>101500</v>
      </c>
      <c r="B31" s="4">
        <v>101500001</v>
      </c>
      <c r="C31" s="4" t="s">
        <v>79</v>
      </c>
      <c r="D31" s="20">
        <v>0</v>
      </c>
      <c r="E31" s="17" t="s">
        <v>35</v>
      </c>
      <c r="F31" s="4">
        <v>1</v>
      </c>
      <c r="G31" s="13" t="s">
        <v>38</v>
      </c>
      <c r="H31" s="13" t="s">
        <v>80</v>
      </c>
      <c r="I31" s="4">
        <v>3</v>
      </c>
      <c r="J31" s="4">
        <v>5</v>
      </c>
      <c r="K31" s="4"/>
      <c r="L31" s="21">
        <v>1</v>
      </c>
      <c r="M31" s="21">
        <v>1</v>
      </c>
      <c r="N31" s="4">
        <v>20</v>
      </c>
      <c r="O31" s="4">
        <v>1</v>
      </c>
      <c r="P31" s="13">
        <f t="shared" si="0"/>
        <v>20</v>
      </c>
      <c r="Q31" s="4">
        <v>1</v>
      </c>
      <c r="R31" s="13">
        <f t="shared" si="1"/>
        <v>1</v>
      </c>
      <c r="S31" s="4">
        <v>1</v>
      </c>
    </row>
    <row r="32" s="4" customFormat="1" ht="16.5" spans="1:19">
      <c r="A32" s="4">
        <v>102600</v>
      </c>
      <c r="B32" s="4">
        <v>102600001</v>
      </c>
      <c r="C32" s="4" t="s">
        <v>81</v>
      </c>
      <c r="D32" s="20">
        <v>0</v>
      </c>
      <c r="E32" s="17" t="s">
        <v>35</v>
      </c>
      <c r="F32" s="4">
        <v>1</v>
      </c>
      <c r="G32" s="13" t="s">
        <v>38</v>
      </c>
      <c r="H32" s="3" t="s">
        <v>82</v>
      </c>
      <c r="I32" s="4">
        <v>6</v>
      </c>
      <c r="J32" s="4">
        <v>6</v>
      </c>
      <c r="K32" s="4"/>
      <c r="L32" s="21">
        <v>1</v>
      </c>
      <c r="M32" s="21">
        <v>1</v>
      </c>
      <c r="N32" s="4">
        <v>20</v>
      </c>
      <c r="O32" s="4">
        <v>1</v>
      </c>
      <c r="P32" s="13">
        <f t="shared" si="0"/>
        <v>20</v>
      </c>
      <c r="Q32" s="4">
        <v>1</v>
      </c>
      <c r="R32" s="13">
        <f t="shared" si="1"/>
        <v>1</v>
      </c>
      <c r="S32" s="4">
        <v>1</v>
      </c>
    </row>
    <row r="33" customFormat="1" ht="16.5" spans="1:19">
      <c r="A33" s="4">
        <v>105000</v>
      </c>
      <c r="B33" s="4">
        <v>105000001</v>
      </c>
      <c r="C33" s="4" t="s">
        <v>83</v>
      </c>
      <c r="D33" s="4">
        <v>0</v>
      </c>
      <c r="E33" s="17" t="s">
        <v>35</v>
      </c>
      <c r="F33" s="4">
        <v>1</v>
      </c>
      <c r="G33" s="13" t="s">
        <v>38</v>
      </c>
      <c r="H33" s="3" t="s">
        <v>84</v>
      </c>
      <c r="I33" s="4">
        <v>5</v>
      </c>
      <c r="J33" s="4">
        <v>6</v>
      </c>
      <c r="K33" s="4"/>
      <c r="L33" s="21">
        <v>1</v>
      </c>
      <c r="M33" s="21">
        <v>1</v>
      </c>
      <c r="N33" s="4">
        <v>20</v>
      </c>
      <c r="O33" s="4">
        <v>1</v>
      </c>
      <c r="P33" s="13">
        <v>20</v>
      </c>
      <c r="Q33" s="4">
        <v>1</v>
      </c>
      <c r="R33" s="13">
        <v>1</v>
      </c>
      <c r="S33" s="4">
        <v>1</v>
      </c>
    </row>
    <row r="34" customFormat="1" ht="16.5" spans="1:19">
      <c r="A34" s="4">
        <v>105100</v>
      </c>
      <c r="B34" s="4">
        <v>105100001</v>
      </c>
      <c r="C34" s="5" t="s">
        <v>85</v>
      </c>
      <c r="D34" s="6">
        <v>0</v>
      </c>
      <c r="E34" s="17" t="s">
        <v>35</v>
      </c>
      <c r="F34" s="5">
        <v>1</v>
      </c>
      <c r="G34" s="5" t="s">
        <v>38</v>
      </c>
      <c r="H34" s="5" t="s">
        <v>86</v>
      </c>
      <c r="I34" s="5">
        <v>6</v>
      </c>
      <c r="J34" s="5">
        <v>6</v>
      </c>
      <c r="K34" s="5"/>
      <c r="L34" s="21">
        <v>1</v>
      </c>
      <c r="M34" s="21">
        <v>1</v>
      </c>
      <c r="N34" s="5">
        <v>10</v>
      </c>
      <c r="O34" s="4">
        <v>1</v>
      </c>
      <c r="P34" s="13">
        <v>10</v>
      </c>
      <c r="Q34" s="4">
        <v>1</v>
      </c>
      <c r="R34" s="13">
        <v>1</v>
      </c>
      <c r="S34" s="4">
        <v>1</v>
      </c>
    </row>
    <row r="35" customFormat="1" ht="16.5" spans="1:19">
      <c r="A35" s="4">
        <v>105400</v>
      </c>
      <c r="B35" s="4">
        <v>105400001</v>
      </c>
      <c r="C35" s="4" t="s">
        <v>87</v>
      </c>
      <c r="D35" s="4">
        <v>0</v>
      </c>
      <c r="E35" s="17" t="s">
        <v>35</v>
      </c>
      <c r="F35" s="4">
        <v>1</v>
      </c>
      <c r="G35" s="13" t="s">
        <v>38</v>
      </c>
      <c r="H35" s="3" t="s">
        <v>88</v>
      </c>
      <c r="I35" s="4">
        <v>5</v>
      </c>
      <c r="J35" s="4">
        <v>6</v>
      </c>
      <c r="K35" s="4"/>
      <c r="L35" s="21">
        <v>1</v>
      </c>
      <c r="M35" s="21">
        <v>1</v>
      </c>
      <c r="N35" s="4">
        <v>20</v>
      </c>
      <c r="O35" s="4">
        <v>1</v>
      </c>
      <c r="P35" s="13">
        <v>20</v>
      </c>
      <c r="Q35" s="4">
        <v>1</v>
      </c>
      <c r="R35" s="13">
        <v>1</v>
      </c>
      <c r="S35" s="4">
        <v>1</v>
      </c>
    </row>
    <row r="36" s="4" customFormat="1" ht="16.5" spans="1:19">
      <c r="A36" s="4">
        <v>100800</v>
      </c>
      <c r="B36" s="4">
        <v>100800001</v>
      </c>
      <c r="C36" s="4" t="s">
        <v>89</v>
      </c>
      <c r="D36" s="20">
        <v>0</v>
      </c>
      <c r="E36" s="17" t="s">
        <v>35</v>
      </c>
      <c r="F36" s="4">
        <v>1</v>
      </c>
      <c r="G36" s="13" t="s">
        <v>38</v>
      </c>
      <c r="H36" s="22" t="s">
        <v>90</v>
      </c>
      <c r="I36" s="4">
        <v>6</v>
      </c>
      <c r="J36" s="4">
        <v>6</v>
      </c>
      <c r="L36" s="21">
        <v>1</v>
      </c>
      <c r="M36" s="21">
        <v>1</v>
      </c>
      <c r="N36" s="4">
        <v>20</v>
      </c>
      <c r="O36" s="4">
        <v>1</v>
      </c>
      <c r="P36" s="13">
        <v>20</v>
      </c>
      <c r="Q36" s="4">
        <v>1</v>
      </c>
      <c r="R36" s="13">
        <v>1</v>
      </c>
      <c r="S36" s="4">
        <v>1</v>
      </c>
    </row>
    <row r="37" s="4" customFormat="1" ht="16.5" spans="1:19">
      <c r="A37" s="4">
        <v>105300</v>
      </c>
      <c r="B37" s="4">
        <v>105300001</v>
      </c>
      <c r="C37" s="4" t="s">
        <v>91</v>
      </c>
      <c r="D37" s="20">
        <v>0</v>
      </c>
      <c r="E37" s="17" t="s">
        <v>35</v>
      </c>
      <c r="F37" s="4">
        <v>1</v>
      </c>
      <c r="G37" s="13" t="s">
        <v>38</v>
      </c>
      <c r="H37" s="4">
        <v>0</v>
      </c>
      <c r="I37" s="4">
        <v>5</v>
      </c>
      <c r="J37" s="4">
        <v>5</v>
      </c>
      <c r="L37" s="21">
        <v>1</v>
      </c>
      <c r="M37" s="21">
        <v>1</v>
      </c>
      <c r="N37" s="4">
        <v>20</v>
      </c>
      <c r="O37" s="4">
        <v>1</v>
      </c>
      <c r="P37" s="13">
        <v>20</v>
      </c>
      <c r="Q37" s="4">
        <v>1</v>
      </c>
      <c r="R37" s="13">
        <v>1</v>
      </c>
      <c r="S37" s="4">
        <v>1</v>
      </c>
    </row>
    <row r="38" s="4" customFormat="1" ht="16.5" spans="1:19">
      <c r="A38" s="4">
        <v>105700</v>
      </c>
      <c r="B38" s="4">
        <v>105700001</v>
      </c>
      <c r="C38" s="4" t="s">
        <v>92</v>
      </c>
      <c r="D38" s="20">
        <v>0</v>
      </c>
      <c r="E38" s="17" t="s">
        <v>35</v>
      </c>
      <c r="F38" s="4">
        <v>1</v>
      </c>
      <c r="G38" s="13" t="s">
        <v>38</v>
      </c>
      <c r="H38" s="3" t="s">
        <v>93</v>
      </c>
      <c r="I38" s="4">
        <v>6</v>
      </c>
      <c r="J38" s="4">
        <v>5</v>
      </c>
      <c r="L38" s="21">
        <v>1</v>
      </c>
      <c r="M38" s="21">
        <v>1</v>
      </c>
      <c r="N38" s="4">
        <v>20</v>
      </c>
      <c r="O38" s="4">
        <v>1</v>
      </c>
      <c r="P38" s="13">
        <v>20</v>
      </c>
      <c r="Q38" s="4">
        <v>1</v>
      </c>
      <c r="R38" s="13">
        <v>1</v>
      </c>
      <c r="S38" s="4">
        <v>1</v>
      </c>
    </row>
    <row r="39" s="4" customFormat="1" ht="16.5" spans="1:19">
      <c r="A39" s="4">
        <v>105800</v>
      </c>
      <c r="B39" s="4">
        <v>105800001</v>
      </c>
      <c r="C39" s="4" t="s">
        <v>94</v>
      </c>
      <c r="D39" s="20">
        <v>0</v>
      </c>
      <c r="E39" s="17" t="s">
        <v>35</v>
      </c>
      <c r="F39" s="4">
        <v>1</v>
      </c>
      <c r="G39" s="13" t="s">
        <v>38</v>
      </c>
      <c r="H39" s="3">
        <v>105800001</v>
      </c>
      <c r="I39" s="4">
        <v>7</v>
      </c>
      <c r="J39" s="4">
        <v>7</v>
      </c>
      <c r="L39" s="21">
        <v>1</v>
      </c>
      <c r="M39" s="21">
        <v>1</v>
      </c>
      <c r="N39" s="4">
        <v>20</v>
      </c>
      <c r="O39" s="4">
        <v>1</v>
      </c>
      <c r="P39" s="13">
        <v>20</v>
      </c>
      <c r="Q39" s="4">
        <v>1</v>
      </c>
      <c r="R39" s="13">
        <v>1</v>
      </c>
      <c r="S39" s="4">
        <v>1</v>
      </c>
    </row>
    <row r="40" customFormat="1" ht="16.5" spans="1:19">
      <c r="A40" s="4">
        <v>105500</v>
      </c>
      <c r="B40" s="4">
        <v>105500001</v>
      </c>
      <c r="C40" s="4" t="s">
        <v>95</v>
      </c>
      <c r="D40" s="20">
        <v>1</v>
      </c>
      <c r="E40" s="20" t="s">
        <v>30</v>
      </c>
      <c r="F40" s="4">
        <v>0</v>
      </c>
      <c r="G40" s="4" t="s">
        <v>31</v>
      </c>
      <c r="H40" s="3">
        <v>105500101</v>
      </c>
      <c r="I40" s="4">
        <v>3</v>
      </c>
      <c r="J40" s="4">
        <v>4</v>
      </c>
      <c r="K40" s="4"/>
      <c r="L40" s="21">
        <v>1</v>
      </c>
      <c r="M40" s="21">
        <v>1</v>
      </c>
      <c r="N40" s="4">
        <v>5</v>
      </c>
      <c r="O40" s="4">
        <v>1</v>
      </c>
      <c r="P40" s="4">
        <v>5</v>
      </c>
      <c r="Q40" s="4">
        <v>1</v>
      </c>
      <c r="R40" s="4">
        <v>1</v>
      </c>
      <c r="S40" s="4">
        <v>1</v>
      </c>
    </row>
    <row r="41" customFormat="1" ht="16.5" spans="1:19">
      <c r="A41" s="4">
        <v>104800</v>
      </c>
      <c r="B41" s="4">
        <v>104800001</v>
      </c>
      <c r="C41" s="4" t="s">
        <v>96</v>
      </c>
      <c r="D41" s="20">
        <v>0</v>
      </c>
      <c r="E41" s="20" t="s">
        <v>35</v>
      </c>
      <c r="F41" s="4">
        <v>1</v>
      </c>
      <c r="G41" s="3" t="s">
        <v>38</v>
      </c>
      <c r="H41" s="3" t="s">
        <v>97</v>
      </c>
      <c r="I41" s="4">
        <v>6</v>
      </c>
      <c r="J41" s="4">
        <v>6</v>
      </c>
      <c r="K41" s="4"/>
      <c r="L41" s="21">
        <v>1</v>
      </c>
      <c r="M41" s="21">
        <v>1</v>
      </c>
      <c r="N41" s="4">
        <v>20</v>
      </c>
      <c r="O41" s="4">
        <v>1</v>
      </c>
      <c r="P41" s="4">
        <v>20</v>
      </c>
      <c r="Q41" s="4">
        <v>1</v>
      </c>
      <c r="R41" s="4">
        <v>1</v>
      </c>
      <c r="S41" s="4">
        <v>1</v>
      </c>
    </row>
    <row r="42" customFormat="1" ht="16.5" spans="1:19">
      <c r="A42" s="4">
        <v>105501</v>
      </c>
      <c r="B42" s="4">
        <v>105501001</v>
      </c>
      <c r="C42" s="4" t="s">
        <v>98</v>
      </c>
      <c r="D42" s="20">
        <v>1</v>
      </c>
      <c r="E42" s="20" t="s">
        <v>30</v>
      </c>
      <c r="F42" s="4">
        <v>0</v>
      </c>
      <c r="G42" s="4" t="s">
        <v>31</v>
      </c>
      <c r="H42" s="3">
        <v>105501101</v>
      </c>
      <c r="I42" s="4">
        <v>3</v>
      </c>
      <c r="J42" s="4">
        <v>4</v>
      </c>
      <c r="K42" s="4"/>
      <c r="L42" s="21">
        <v>1</v>
      </c>
      <c r="M42" s="21">
        <v>1</v>
      </c>
      <c r="N42" s="4">
        <v>5</v>
      </c>
      <c r="O42" s="4">
        <v>1</v>
      </c>
      <c r="P42" s="4">
        <v>5</v>
      </c>
      <c r="Q42" s="4">
        <v>1</v>
      </c>
      <c r="R42" s="4">
        <v>1</v>
      </c>
      <c r="S42" s="4">
        <v>1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BaseInit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2025-07-01T03:49:00Z</dcterms:created>
  <dcterms:modified xsi:type="dcterms:W3CDTF">2026-03-28T03:27:18Z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CCA2D75D99334A128A5AFE012B1064FB_12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