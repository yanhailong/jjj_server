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<sst xmlns="http://schemas.openxmlformats.org/spreadsheetml/2006/main" count="84" uniqueCount="55">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</sst>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trike/>
      <sz val="9"/>
      <name val="宋体"/>
      <charset val="134"/>
    </font>
    <font>
      <sz val="11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20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7" fillId="0" borderId="2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3"/>
  <sheetViews>
    <sheetView tabSelected="1" zoomScale="85" zoomScaleNormal="85" workbookViewId="0">
      <selection activeCell="F27" sqref="F27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1</v>
      </c>
      <c r="P5" s="11">
        <f t="shared" ref="P5:P16" si="0">N5*M5*L5*O5</f>
        <v>100</v>
      </c>
      <c r="Q5" s="11">
        <v>5</v>
      </c>
      <c r="R5" s="11">
        <f t="shared" ref="R5:R16" si="1">P5*Q5/N5/M5</f>
        <v>5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si="0"/>
        <v>1</v>
      </c>
      <c r="Q6" s="11">
        <v>1</v>
      </c>
      <c r="R6" s="11">
        <f t="shared" si="1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0"/>
        <v>1</v>
      </c>
      <c r="Q7" s="11">
        <v>2</v>
      </c>
      <c r="R7" s="11">
        <f t="shared" si="1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0"/>
        <v>15</v>
      </c>
      <c r="Q8" s="11">
        <v>1</v>
      </c>
      <c r="R8" s="11">
        <f t="shared" si="1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0"/>
        <v>0.5</v>
      </c>
      <c r="Q9" s="11">
        <v>6</v>
      </c>
      <c r="R9" s="11">
        <f t="shared" si="1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</v>
      </c>
      <c r="P10" s="11">
        <f t="shared" si="0"/>
        <v>100</v>
      </c>
      <c r="Q10" s="11">
        <v>5</v>
      </c>
      <c r="R10" s="11">
        <f t="shared" si="1"/>
        <v>5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1</v>
      </c>
      <c r="P11" s="11">
        <f t="shared" si="0"/>
        <v>20</v>
      </c>
      <c r="Q11" s="11">
        <v>2</v>
      </c>
      <c r="R11" s="11">
        <f t="shared" si="1"/>
        <v>2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2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7">
        <v>1</v>
      </c>
      <c r="M12" s="17">
        <v>1</v>
      </c>
      <c r="N12" s="2">
        <v>25</v>
      </c>
      <c r="O12" s="11">
        <v>1</v>
      </c>
      <c r="P12" s="11">
        <f t="shared" si="0"/>
        <v>25</v>
      </c>
      <c r="Q12" s="11">
        <v>1</v>
      </c>
      <c r="R12" s="11">
        <f t="shared" si="1"/>
        <v>1</v>
      </c>
      <c r="S12" s="14">
        <v>1</v>
      </c>
    </row>
    <row r="13" s="2" customFormat="1" ht="16.5" spans="1:19">
      <c r="A13" s="2">
        <v>102100</v>
      </c>
      <c r="B13" s="2">
        <v>102100001</v>
      </c>
      <c r="C13" s="2" t="s">
        <v>47</v>
      </c>
      <c r="D13" s="15">
        <v>0</v>
      </c>
      <c r="E13" s="15" t="s">
        <v>35</v>
      </c>
      <c r="F13" s="11">
        <v>1</v>
      </c>
      <c r="G13" s="11" t="s">
        <v>38</v>
      </c>
      <c r="H13" s="11" t="s">
        <v>48</v>
      </c>
      <c r="I13" s="2">
        <v>3</v>
      </c>
      <c r="J13" s="2">
        <v>5</v>
      </c>
      <c r="L13" s="17">
        <v>1</v>
      </c>
      <c r="M13" s="17">
        <v>1</v>
      </c>
      <c r="N13" s="2">
        <v>20</v>
      </c>
      <c r="O13" s="11">
        <v>1</v>
      </c>
      <c r="P13" s="11">
        <f t="shared" si="0"/>
        <v>20</v>
      </c>
      <c r="Q13" s="11">
        <v>1</v>
      </c>
      <c r="R13" s="11">
        <f t="shared" si="1"/>
        <v>1</v>
      </c>
      <c r="S13" s="14">
        <v>1</v>
      </c>
    </row>
    <row r="14" s="2" customFormat="1" ht="16.5" spans="1:19">
      <c r="A14" s="2">
        <v>101800</v>
      </c>
      <c r="B14" s="2">
        <v>101800001</v>
      </c>
      <c r="C14" s="2" t="s">
        <v>49</v>
      </c>
      <c r="D14" s="15">
        <v>0</v>
      </c>
      <c r="E14" s="15" t="s">
        <v>35</v>
      </c>
      <c r="F14" s="11">
        <v>0</v>
      </c>
      <c r="G14" s="11" t="s">
        <v>31</v>
      </c>
      <c r="H14" s="11" t="s">
        <v>50</v>
      </c>
      <c r="I14" s="2">
        <v>4</v>
      </c>
      <c r="J14" s="2">
        <v>6</v>
      </c>
      <c r="L14" s="17">
        <v>1</v>
      </c>
      <c r="M14" s="17">
        <v>1</v>
      </c>
      <c r="N14" s="2">
        <v>20</v>
      </c>
      <c r="O14" s="11">
        <v>1</v>
      </c>
      <c r="P14" s="11">
        <f t="shared" si="0"/>
        <v>20</v>
      </c>
      <c r="Q14" s="11">
        <v>1</v>
      </c>
      <c r="R14" s="11">
        <f t="shared" si="1"/>
        <v>1</v>
      </c>
      <c r="S14" s="14">
        <v>1</v>
      </c>
    </row>
    <row r="15" s="2" customFormat="1" ht="16.5" spans="1:19">
      <c r="A15" s="2">
        <v>102500</v>
      </c>
      <c r="B15" s="2">
        <v>102500001</v>
      </c>
      <c r="C15" s="2" t="s">
        <v>51</v>
      </c>
      <c r="D15" s="15">
        <v>1</v>
      </c>
      <c r="E15" s="15" t="s">
        <v>30</v>
      </c>
      <c r="F15" s="11">
        <v>0</v>
      </c>
      <c r="G15" s="11" t="s">
        <v>31</v>
      </c>
      <c r="H15" s="11" t="s">
        <v>52</v>
      </c>
      <c r="I15" s="2">
        <v>3</v>
      </c>
      <c r="J15" s="2">
        <v>5</v>
      </c>
      <c r="L15" s="17">
        <v>1</v>
      </c>
      <c r="M15" s="17">
        <v>1</v>
      </c>
      <c r="N15" s="2">
        <v>50</v>
      </c>
      <c r="O15" s="11">
        <v>1</v>
      </c>
      <c r="P15" s="11">
        <f t="shared" si="0"/>
        <v>50</v>
      </c>
      <c r="Q15" s="11">
        <v>1</v>
      </c>
      <c r="R15" s="11">
        <f t="shared" si="1"/>
        <v>1</v>
      </c>
      <c r="S15" s="14">
        <v>1</v>
      </c>
    </row>
    <row r="16" s="2" customFormat="1" ht="16.5" spans="1:19">
      <c r="A16" s="2">
        <v>102300</v>
      </c>
      <c r="B16" s="2">
        <v>102300001</v>
      </c>
      <c r="C16" s="2" t="s">
        <v>53</v>
      </c>
      <c r="D16" s="15">
        <v>0</v>
      </c>
      <c r="E16" s="15" t="s">
        <v>35</v>
      </c>
      <c r="F16" s="11">
        <v>0</v>
      </c>
      <c r="G16" s="11" t="s">
        <v>31</v>
      </c>
      <c r="H16" s="11" t="s">
        <v>54</v>
      </c>
      <c r="I16" s="2">
        <v>4</v>
      </c>
      <c r="J16" s="2">
        <v>5</v>
      </c>
      <c r="L16" s="17">
        <v>1</v>
      </c>
      <c r="M16" s="17">
        <v>1</v>
      </c>
      <c r="N16" s="2">
        <v>20</v>
      </c>
      <c r="O16" s="11">
        <v>1</v>
      </c>
      <c r="P16" s="11">
        <f t="shared" si="0"/>
        <v>20</v>
      </c>
      <c r="Q16" s="11">
        <v>1</v>
      </c>
      <c r="R16" s="11">
        <f t="shared" si="1"/>
        <v>1</v>
      </c>
      <c r="S16" s="14">
        <v>1</v>
      </c>
    </row>
    <row r="19" spans="8:10">
      <c r="J19" s="18"/>
    </row>
    <row r="20" ht="16.5" spans="8:10">
      <c r="H20" s="19"/>
    </row>
    <row r="21" ht="16.5" spans="8:10">
      <c r="H21" s="19"/>
    </row>
    <row r="22" ht="16.5" spans="8:10">
      <c r="H22" s="19"/>
    </row>
    <row r="23" ht="16.5" spans="8:10">
      <c r="H23" s="19"/>
    </row>
  </sheetData>
  <conditionalFormatting sqref="H23">
    <cfRule type="duplicateValues" dxfId="0" priority="1"/>
  </conditionalFormatting>
  <conditionalFormatting sqref="H20:H22">
    <cfRule type="duplicateValues" dxfId="0" priority="2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2025-07-01T03:49:00Z</dcterms:created>
  <dcterms:modified xsi:type="dcterms:W3CDTF">2025-12-12T08:21:47Z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